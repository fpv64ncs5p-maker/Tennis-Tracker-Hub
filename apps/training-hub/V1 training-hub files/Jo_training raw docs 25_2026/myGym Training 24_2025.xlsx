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4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5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6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5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7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8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9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10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Ex11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Ex12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6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Ex13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charts/chartEx14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charts/chart7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Ex15.xml" ContentType="application/vnd.ms-office.chartex+xml"/>
  <Override PartName="/xl/charts/style22.xml" ContentType="application/vnd.ms-office.chartstyle+xml"/>
  <Override PartName="/xl/charts/colors22.xml" ContentType="application/vnd.ms-office.chartcolorstyle+xml"/>
  <Override PartName="/xl/charts/chartEx16.xml" ContentType="application/vnd.ms-office.chartex+xml"/>
  <Override PartName="/xl/charts/style23.xml" ContentType="application/vnd.ms-office.chartstyle+xml"/>
  <Override PartName="/xl/charts/colors23.xml" ContentType="application/vnd.ms-office.chartcolorstyle+xml"/>
  <Override PartName="/xl/charts/chart8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22"/>
  <workbookPr/>
  <mc:AlternateContent xmlns:mc="http://schemas.openxmlformats.org/markup-compatibility/2006">
    <mc:Choice Requires="x15">
      <x15ac:absPath xmlns:x15ac="http://schemas.microsoft.com/office/spreadsheetml/2010/11/ac" url="/Users/josinabernardes/Library/Mobile Documents/com~apple~CloudDocs/01 Claude in Docs/Jo files/"/>
    </mc:Choice>
  </mc:AlternateContent>
  <xr:revisionPtr revIDLastSave="0" documentId="13_ncr:1_{42DB211B-5D71-F94A-A67D-341251D78D34}" xr6:coauthVersionLast="47" xr6:coauthVersionMax="47" xr10:uidLastSave="{00000000-0000-0000-0000-000000000000}"/>
  <bookViews>
    <workbookView xWindow="0" yWindow="0" windowWidth="28800" windowHeight="18000" tabRatio="765" activeTab="1" xr2:uid="{00000000-000D-0000-FFFF-FFFF00000000}"/>
  </bookViews>
  <sheets>
    <sheet name="FH_25 Rehab" sheetId="6" r:id="rId1"/>
    <sheet name="Gym 2025" sheetId="1" r:id="rId2"/>
    <sheet name="Climbing_Pyramid" sheetId="3" r:id="rId3"/>
    <sheet name="My Climb Log Aug25" sheetId="7" r:id="rId4"/>
    <sheet name="My ClimbRecov24_25" sheetId="4" r:id="rId5"/>
  </sheets>
  <definedNames>
    <definedName name="_xlchart.v2.0" hidden="1">'My Climb Log Aug25'!$L$58:$L$65</definedName>
    <definedName name="_xlchart.v2.1" hidden="1">'My Climb Log Aug25'!$N$57</definedName>
    <definedName name="_xlchart.v2.10" hidden="1">'My ClimbRecov24_25'!$M$87</definedName>
    <definedName name="_xlchart.v2.11" hidden="1">'My ClimbRecov24_25'!$M$88:$M$95</definedName>
    <definedName name="_xlchart.v2.12" hidden="1">'My ClimbRecov24_25'!$B$81:$B$88</definedName>
    <definedName name="_xlchart.v2.13" hidden="1">'My ClimbRecov24_25'!$C$80</definedName>
    <definedName name="_xlchart.v2.14" hidden="1">'My ClimbRecov24_25'!$C$81:$C$88</definedName>
    <definedName name="_xlchart.v2.15" hidden="1">'My ClimbRecov24_25'!$L$230:$L$237</definedName>
    <definedName name="_xlchart.v2.16" hidden="1">'My ClimbRecov24_25'!$N$229</definedName>
    <definedName name="_xlchart.v2.17" hidden="1">'My ClimbRecov24_25'!$N$230:$N$237</definedName>
    <definedName name="_xlchart.v2.18" hidden="1">'My ClimbRecov24_25'!$L$302:$L$309</definedName>
    <definedName name="_xlchart.v2.19" hidden="1">'My ClimbRecov24_25'!$M$302:$M$309</definedName>
    <definedName name="_xlchart.v2.2" hidden="1">'My Climb Log Aug25'!$N$58:$N$65</definedName>
    <definedName name="_xlchart.v2.20" hidden="1">'My ClimbRecov24_25'!$L$302:$L$309</definedName>
    <definedName name="_xlchart.v2.21" hidden="1">'My ClimbRecov24_25'!$M$302:$M$309</definedName>
    <definedName name="_xlchart.v2.22" hidden="1">'My ClimbRecov24_25'!$L$32:$L$39</definedName>
    <definedName name="_xlchart.v2.23" hidden="1">'My ClimbRecov24_25'!$N$32:$N$39</definedName>
    <definedName name="_xlchart.v2.24" hidden="1">'My ClimbRecov24_25'!$L$158:$L$165</definedName>
    <definedName name="_xlchart.v2.25" hidden="1">'My ClimbRecov24_25'!$N$157</definedName>
    <definedName name="_xlchart.v2.26" hidden="1">'My ClimbRecov24_25'!$N$158:$N$165</definedName>
    <definedName name="_xlchart.v2.27" hidden="1">'My ClimbRecov24_25'!$L$302:$L$309</definedName>
    <definedName name="_xlchart.v2.28" hidden="1">'My ClimbRecov24_25'!$N$301</definedName>
    <definedName name="_xlchart.v2.29" hidden="1">'My ClimbRecov24_25'!$N$302:$N$309</definedName>
    <definedName name="_xlchart.v2.3" hidden="1">'My Climb Log Aug25'!$L$58:$L$65</definedName>
    <definedName name="_xlchart.v2.30" hidden="1">'My ClimbRecov24_25'!$L$302:$L$309</definedName>
    <definedName name="_xlchart.v2.31" hidden="1">'My ClimbRecov24_25'!$N$301</definedName>
    <definedName name="_xlchart.v2.32" hidden="1">'My ClimbRecov24_25'!$N$302:$N$309</definedName>
    <definedName name="_xlchart.v2.33" hidden="1">'My ClimbRecov24_25'!$B$81:$B$88</definedName>
    <definedName name="_xlchart.v2.34" hidden="1">'My ClimbRecov24_25'!$D$80</definedName>
    <definedName name="_xlchart.v2.35" hidden="1">'My ClimbRecov24_25'!$D$81:$D$88</definedName>
    <definedName name="_xlchart.v2.36" hidden="1">'My ClimbRecov24_25'!$L$230:$L$237</definedName>
    <definedName name="_xlchart.v2.37" hidden="1">'My ClimbRecov24_25'!$M$229</definedName>
    <definedName name="_xlchart.v2.38" hidden="1">'My ClimbRecov24_25'!$M$230:$M$237</definedName>
    <definedName name="_xlchart.v2.39" hidden="1">'My ClimbRecov24_25'!$L$32:$L$39</definedName>
    <definedName name="_xlchart.v2.4" hidden="1">'My Climb Log Aug25'!$M$57</definedName>
    <definedName name="_xlchart.v2.40" hidden="1">'My ClimbRecov24_25'!$M$31</definedName>
    <definedName name="_xlchart.v2.41" hidden="1">'My ClimbRecov24_25'!$M$32:$M$39</definedName>
    <definedName name="_xlchart.v2.42" hidden="1">'My ClimbRecov24_25'!$L$158:$L$165</definedName>
    <definedName name="_xlchart.v2.43" hidden="1">'My ClimbRecov24_25'!$M$157</definedName>
    <definedName name="_xlchart.v2.44" hidden="1">'My ClimbRecov24_25'!$M$158:$M$165</definedName>
    <definedName name="_xlchart.v2.5" hidden="1">'My Climb Log Aug25'!$M$58:$M$65</definedName>
    <definedName name="_xlchart.v2.6" hidden="1">'My ClimbRecov24_25'!$L$88:$L$95</definedName>
    <definedName name="_xlchart.v2.7" hidden="1">'My ClimbRecov24_25'!$N$87</definedName>
    <definedName name="_xlchart.v2.8" hidden="1">'My ClimbRecov24_25'!$N$88:$N$95</definedName>
    <definedName name="_xlchart.v2.9" hidden="1">'My ClimbRecov24_25'!$L$88:$L$95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1" i="7" l="1"/>
  <c r="P41" i="7" s="1"/>
  <c r="W36" i="7"/>
  <c r="AB36" i="7" s="1"/>
  <c r="AG36" i="7" s="1"/>
  <c r="R36" i="7"/>
  <c r="AJ54" i="7"/>
  <c r="AE54" i="7"/>
  <c r="Z54" i="7"/>
  <c r="U54" i="7"/>
  <c r="P54" i="7"/>
  <c r="AI53" i="7"/>
  <c r="AH53" i="7"/>
  <c r="AG53" i="7"/>
  <c r="AD53" i="7"/>
  <c r="AC53" i="7"/>
  <c r="AB53" i="7"/>
  <c r="Y53" i="7"/>
  <c r="X53" i="7"/>
  <c r="W53" i="7"/>
  <c r="T53" i="7"/>
  <c r="S53" i="7"/>
  <c r="R53" i="7"/>
  <c r="O53" i="7"/>
  <c r="N53" i="7"/>
  <c r="M53" i="7"/>
  <c r="AJ51" i="7"/>
  <c r="AE51" i="7"/>
  <c r="Z51" i="7"/>
  <c r="U51" i="7"/>
  <c r="P51" i="7"/>
  <c r="AJ50" i="7"/>
  <c r="AE50" i="7"/>
  <c r="Z50" i="7"/>
  <c r="U50" i="7"/>
  <c r="P50" i="7"/>
  <c r="M59" i="7" s="1"/>
  <c r="N59" i="7" s="1"/>
  <c r="AJ49" i="7"/>
  <c r="AE49" i="7"/>
  <c r="Z49" i="7"/>
  <c r="U49" i="7"/>
  <c r="P49" i="7"/>
  <c r="M60" i="7" s="1"/>
  <c r="N60" i="7" s="1"/>
  <c r="AJ48" i="7"/>
  <c r="AE48" i="7"/>
  <c r="Z48" i="7"/>
  <c r="U48" i="7"/>
  <c r="P48" i="7"/>
  <c r="AJ47" i="7"/>
  <c r="AE47" i="7"/>
  <c r="Z47" i="7"/>
  <c r="U47" i="7"/>
  <c r="P47" i="7"/>
  <c r="AJ46" i="7"/>
  <c r="AE46" i="7"/>
  <c r="Z46" i="7"/>
  <c r="U46" i="7"/>
  <c r="P46" i="7"/>
  <c r="AJ45" i="7"/>
  <c r="AE45" i="7"/>
  <c r="Z45" i="7"/>
  <c r="U45" i="7"/>
  <c r="P45" i="7"/>
  <c r="AJ44" i="7"/>
  <c r="AE44" i="7"/>
  <c r="Z44" i="7"/>
  <c r="U44" i="7"/>
  <c r="P44" i="7"/>
  <c r="AJ42" i="7"/>
  <c r="AE42" i="7"/>
  <c r="Z42" i="7"/>
  <c r="U42" i="7"/>
  <c r="P42" i="7"/>
  <c r="AJ41" i="7"/>
  <c r="AE41" i="7"/>
  <c r="Z41" i="7"/>
  <c r="U41" i="7"/>
  <c r="AJ40" i="7"/>
  <c r="AE40" i="7"/>
  <c r="Z40" i="7"/>
  <c r="U40" i="7"/>
  <c r="P40" i="7"/>
  <c r="AJ39" i="7"/>
  <c r="AE39" i="7"/>
  <c r="Z39" i="7"/>
  <c r="U39" i="7"/>
  <c r="P39" i="7"/>
  <c r="AJ38" i="7"/>
  <c r="AE38" i="7"/>
  <c r="Z38" i="7"/>
  <c r="U38" i="7"/>
  <c r="P38" i="7"/>
  <c r="AJ37" i="7"/>
  <c r="AE37" i="7"/>
  <c r="Z37" i="7"/>
  <c r="U37" i="7"/>
  <c r="P37" i="7"/>
  <c r="AC46" i="3"/>
  <c r="AC45" i="3"/>
  <c r="AC44" i="3"/>
  <c r="AC43" i="3"/>
  <c r="AC42" i="3"/>
  <c r="AC41" i="3"/>
  <c r="AC40" i="3"/>
  <c r="AC47" i="3" s="1"/>
  <c r="M58" i="7" l="1"/>
  <c r="N58" i="7" s="1"/>
  <c r="M61" i="7"/>
  <c r="N61" i="7" s="1"/>
  <c r="M62" i="7"/>
  <c r="N62" i="7" s="1"/>
  <c r="N71" i="7"/>
  <c r="M64" i="7"/>
  <c r="N64" i="7" s="1"/>
  <c r="M65" i="7"/>
  <c r="N65" i="7" s="1"/>
  <c r="N70" i="7"/>
  <c r="N72" i="7"/>
  <c r="M63" i="7"/>
  <c r="N63" i="7" s="1"/>
  <c r="M70" i="7"/>
  <c r="BG12" i="1" l="1"/>
  <c r="BJ141" i="1"/>
  <c r="BH141" i="1" s="1"/>
  <c r="BJ138" i="1"/>
  <c r="BH138" i="1" s="1"/>
  <c r="BJ135" i="1"/>
  <c r="BH135" i="1"/>
  <c r="BJ132" i="1"/>
  <c r="BH132" i="1" s="1"/>
  <c r="BJ129" i="1"/>
  <c r="BH129" i="1"/>
  <c r="BJ126" i="1"/>
  <c r="BH126" i="1"/>
  <c r="BJ123" i="1"/>
  <c r="BH123" i="1"/>
  <c r="BJ120" i="1"/>
  <c r="BH120" i="1"/>
  <c r="BJ117" i="1"/>
  <c r="BH117" i="1"/>
  <c r="BJ114" i="1"/>
  <c r="BH114" i="1"/>
  <c r="BJ111" i="1"/>
  <c r="BH111" i="1"/>
  <c r="BJ108" i="1"/>
  <c r="BH108" i="1"/>
  <c r="BJ104" i="1"/>
  <c r="BH104" i="1"/>
  <c r="BJ101" i="1"/>
  <c r="BH101" i="1"/>
  <c r="BJ98" i="1"/>
  <c r="BH98" i="1"/>
  <c r="BJ95" i="1"/>
  <c r="BH95" i="1"/>
  <c r="BJ92" i="1"/>
  <c r="BH92" i="1"/>
  <c r="BJ89" i="1"/>
  <c r="BH89" i="1"/>
  <c r="BJ86" i="1"/>
  <c r="BH86" i="1"/>
  <c r="BJ83" i="1"/>
  <c r="BH83" i="1"/>
  <c r="BJ79" i="1"/>
  <c r="BH79" i="1"/>
  <c r="BJ76" i="1"/>
  <c r="BH76" i="1"/>
  <c r="BJ73" i="1"/>
  <c r="BH73" i="1"/>
  <c r="BJ71" i="1"/>
  <c r="BJ68" i="1"/>
  <c r="BH68" i="1" s="1"/>
  <c r="BH62" i="1"/>
  <c r="BG55" i="1"/>
  <c r="BG54" i="1"/>
  <c r="BG53" i="1"/>
  <c r="BJ52" i="1"/>
  <c r="BG52" i="1"/>
  <c r="BG49" i="1"/>
  <c r="BG48" i="1"/>
  <c r="BG47" i="1"/>
  <c r="BG46" i="1"/>
  <c r="BG45" i="1"/>
  <c r="BG44" i="1"/>
  <c r="BG43" i="1"/>
  <c r="BG42" i="1"/>
  <c r="BG41" i="1"/>
  <c r="BG40" i="1"/>
  <c r="BG39" i="1"/>
  <c r="BK38" i="1"/>
  <c r="BG38" i="1"/>
  <c r="BJ38" i="1" s="1"/>
  <c r="BJ29" i="1"/>
  <c r="BG27" i="1"/>
  <c r="BG26" i="1"/>
  <c r="BG23" i="1"/>
  <c r="BG16" i="1"/>
  <c r="BG15" i="1"/>
  <c r="BG14" i="1"/>
  <c r="BG13" i="1"/>
  <c r="M378" i="4"/>
  <c r="N394" i="4"/>
  <c r="M394" i="4"/>
  <c r="N393" i="4"/>
  <c r="N392" i="4"/>
  <c r="N390" i="4"/>
  <c r="L389" i="4"/>
  <c r="L388" i="4"/>
  <c r="L387" i="4"/>
  <c r="L386" i="4"/>
  <c r="AJ370" i="4"/>
  <c r="AE370" i="4"/>
  <c r="Y370" i="4"/>
  <c r="T370" i="4"/>
  <c r="P370" i="4"/>
  <c r="AI369" i="4"/>
  <c r="AH369" i="4"/>
  <c r="AG369" i="4"/>
  <c r="AD369" i="4"/>
  <c r="AC369" i="4"/>
  <c r="AB369" i="4"/>
  <c r="Y369" i="4"/>
  <c r="X369" i="4"/>
  <c r="W369" i="4"/>
  <c r="T369" i="4"/>
  <c r="S369" i="4"/>
  <c r="R369" i="4"/>
  <c r="O369" i="4"/>
  <c r="N369" i="4"/>
  <c r="M369" i="4"/>
  <c r="AJ367" i="4"/>
  <c r="AE367" i="4"/>
  <c r="Z367" i="4"/>
  <c r="U367" i="4"/>
  <c r="P367" i="4"/>
  <c r="AJ366" i="4"/>
  <c r="AE366" i="4"/>
  <c r="Z366" i="4"/>
  <c r="U366" i="4"/>
  <c r="P366" i="4"/>
  <c r="M375" i="4" s="1"/>
  <c r="N375" i="4" s="1"/>
  <c r="AJ365" i="4"/>
  <c r="AE365" i="4"/>
  <c r="Z365" i="4"/>
  <c r="U365" i="4"/>
  <c r="P365" i="4"/>
  <c r="AJ364" i="4"/>
  <c r="AE364" i="4"/>
  <c r="Z364" i="4"/>
  <c r="U364" i="4"/>
  <c r="P364" i="4"/>
  <c r="AJ363" i="4"/>
  <c r="AE363" i="4"/>
  <c r="Z363" i="4"/>
  <c r="U363" i="4"/>
  <c r="P363" i="4"/>
  <c r="N378" i="4" s="1"/>
  <c r="AJ362" i="4"/>
  <c r="AE362" i="4"/>
  <c r="Z362" i="4"/>
  <c r="U362" i="4"/>
  <c r="P362" i="4"/>
  <c r="AJ361" i="4"/>
  <c r="AE361" i="4"/>
  <c r="Z361" i="4"/>
  <c r="U361" i="4"/>
  <c r="P361" i="4"/>
  <c r="M380" i="4" s="1"/>
  <c r="N380" i="4" s="1"/>
  <c r="AJ360" i="4"/>
  <c r="AE360" i="4"/>
  <c r="Z360" i="4"/>
  <c r="U360" i="4"/>
  <c r="P360" i="4"/>
  <c r="AJ358" i="4"/>
  <c r="AE358" i="4"/>
  <c r="Z358" i="4"/>
  <c r="U358" i="4"/>
  <c r="P358" i="4"/>
  <c r="AJ357" i="4"/>
  <c r="AE357" i="4"/>
  <c r="Z357" i="4"/>
  <c r="U357" i="4"/>
  <c r="P357" i="4"/>
  <c r="AJ356" i="4"/>
  <c r="AE356" i="4"/>
  <c r="M389" i="4" s="1"/>
  <c r="Z356" i="4"/>
  <c r="M388" i="4" s="1"/>
  <c r="U356" i="4"/>
  <c r="M387" i="4" s="1"/>
  <c r="P356" i="4"/>
  <c r="AJ355" i="4"/>
  <c r="AE355" i="4"/>
  <c r="Z355" i="4"/>
  <c r="U355" i="4"/>
  <c r="P355" i="4"/>
  <c r="N395" i="4" s="1"/>
  <c r="AJ354" i="4"/>
  <c r="AE354" i="4"/>
  <c r="Z354" i="4"/>
  <c r="U354" i="4"/>
  <c r="P354" i="4"/>
  <c r="H55" i="6"/>
  <c r="H54" i="6"/>
  <c r="H53" i="6"/>
  <c r="K52" i="6"/>
  <c r="H52" i="6"/>
  <c r="H49" i="6"/>
  <c r="H48" i="6"/>
  <c r="H47" i="6"/>
  <c r="H46" i="6"/>
  <c r="H45" i="6"/>
  <c r="H44" i="6"/>
  <c r="H43" i="6"/>
  <c r="H42" i="6"/>
  <c r="H41" i="6"/>
  <c r="H40" i="6"/>
  <c r="H39" i="6"/>
  <c r="L38" i="6"/>
  <c r="H38" i="6"/>
  <c r="K38" i="6" s="1"/>
  <c r="K29" i="6"/>
  <c r="H27" i="6"/>
  <c r="H26" i="6"/>
  <c r="H23" i="6"/>
  <c r="H16" i="6"/>
  <c r="W15" i="6"/>
  <c r="Y15" i="6" s="1"/>
  <c r="H15" i="6"/>
  <c r="H14" i="6"/>
  <c r="H13" i="6"/>
  <c r="H12" i="6"/>
  <c r="N322" i="4"/>
  <c r="N321" i="4"/>
  <c r="N320" i="4"/>
  <c r="N318" i="4"/>
  <c r="M302" i="4"/>
  <c r="N302" i="4"/>
  <c r="M322" i="4"/>
  <c r="P282" i="4"/>
  <c r="U282" i="4"/>
  <c r="Z282" i="4"/>
  <c r="AE282" i="4"/>
  <c r="AJ282" i="4"/>
  <c r="P283" i="4"/>
  <c r="U283" i="4"/>
  <c r="Z283" i="4"/>
  <c r="N323" i="4" s="1"/>
  <c r="AE283" i="4"/>
  <c r="AJ283" i="4"/>
  <c r="P284" i="4"/>
  <c r="M314" i="4" s="1"/>
  <c r="U284" i="4"/>
  <c r="M315" i="4" s="1"/>
  <c r="Z284" i="4"/>
  <c r="M316" i="4" s="1"/>
  <c r="AE284" i="4"/>
  <c r="M317" i="4" s="1"/>
  <c r="AJ284" i="4"/>
  <c r="P285" i="4"/>
  <c r="U285" i="4"/>
  <c r="Z285" i="4"/>
  <c r="AE285" i="4"/>
  <c r="AJ285" i="4"/>
  <c r="P286" i="4"/>
  <c r="U286" i="4"/>
  <c r="Z286" i="4"/>
  <c r="AE286" i="4"/>
  <c r="AJ286" i="4"/>
  <c r="P288" i="4"/>
  <c r="U288" i="4"/>
  <c r="Z288" i="4"/>
  <c r="AE288" i="4"/>
  <c r="AJ288" i="4"/>
  <c r="P289" i="4"/>
  <c r="U289" i="4"/>
  <c r="Z289" i="4"/>
  <c r="AE289" i="4"/>
  <c r="AJ289" i="4"/>
  <c r="P290" i="4"/>
  <c r="U290" i="4"/>
  <c r="Z290" i="4"/>
  <c r="AE290" i="4"/>
  <c r="AJ290" i="4"/>
  <c r="P291" i="4"/>
  <c r="U291" i="4"/>
  <c r="Z291" i="4"/>
  <c r="AE291" i="4"/>
  <c r="AJ291" i="4"/>
  <c r="P292" i="4"/>
  <c r="M305" i="4" s="1"/>
  <c r="N305" i="4" s="1"/>
  <c r="U292" i="4"/>
  <c r="Z292" i="4"/>
  <c r="AE292" i="4"/>
  <c r="AJ292" i="4"/>
  <c r="P293" i="4"/>
  <c r="U293" i="4"/>
  <c r="Z293" i="4"/>
  <c r="AE293" i="4"/>
  <c r="AJ293" i="4"/>
  <c r="P294" i="4"/>
  <c r="U294" i="4"/>
  <c r="Z294" i="4"/>
  <c r="AE294" i="4"/>
  <c r="AJ294" i="4"/>
  <c r="P295" i="4"/>
  <c r="U295" i="4"/>
  <c r="Z295" i="4"/>
  <c r="AE295" i="4"/>
  <c r="AJ295" i="4"/>
  <c r="M297" i="4"/>
  <c r="N297" i="4"/>
  <c r="O297" i="4"/>
  <c r="R297" i="4"/>
  <c r="S297" i="4"/>
  <c r="T297" i="4"/>
  <c r="W297" i="4"/>
  <c r="X297" i="4"/>
  <c r="Y297" i="4"/>
  <c r="AB297" i="4"/>
  <c r="AC297" i="4"/>
  <c r="AD297" i="4"/>
  <c r="AG297" i="4"/>
  <c r="AH297" i="4"/>
  <c r="AI297" i="4"/>
  <c r="P298" i="4"/>
  <c r="T298" i="4"/>
  <c r="Y298" i="4"/>
  <c r="AE298" i="4"/>
  <c r="AJ298" i="4"/>
  <c r="M303" i="4"/>
  <c r="N303" i="4" s="1"/>
  <c r="L314" i="4"/>
  <c r="L315" i="4"/>
  <c r="L316" i="4"/>
  <c r="L317" i="4"/>
  <c r="M250" i="4"/>
  <c r="M381" i="4" l="1"/>
  <c r="N381" i="4" s="1"/>
  <c r="M376" i="4"/>
  <c r="N376" i="4" s="1"/>
  <c r="M379" i="4"/>
  <c r="N379" i="4" s="1"/>
  <c r="M374" i="4"/>
  <c r="N374" i="4" s="1"/>
  <c r="M377" i="4"/>
  <c r="N377" i="4" s="1"/>
  <c r="M395" i="4"/>
  <c r="M386" i="4"/>
  <c r="M307" i="4"/>
  <c r="N307" i="4" s="1"/>
  <c r="M308" i="4"/>
  <c r="N308" i="4" s="1"/>
  <c r="M306" i="4"/>
  <c r="N306" i="4" s="1"/>
  <c r="M309" i="4"/>
  <c r="N309" i="4" s="1"/>
  <c r="M323" i="4"/>
  <c r="M304" i="4"/>
  <c r="N304" i="4" s="1"/>
  <c r="CI15" i="1"/>
  <c r="CG15" i="1"/>
  <c r="M242" i="4"/>
  <c r="M48" i="4"/>
  <c r="M106" i="4"/>
  <c r="M177" i="4"/>
  <c r="T226" i="4"/>
  <c r="AO27" i="1" l="1"/>
  <c r="AO42" i="1"/>
  <c r="AS38" i="1" l="1"/>
  <c r="AO49" i="1"/>
  <c r="AO26" i="1"/>
  <c r="AO16" i="1"/>
  <c r="R43" i="3" l="1"/>
  <c r="C81" i="4"/>
  <c r="C84" i="4"/>
  <c r="V51" i="3" l="1"/>
  <c r="R46" i="3"/>
  <c r="R45" i="3"/>
  <c r="R41" i="3"/>
  <c r="R42" i="3"/>
  <c r="R40" i="3"/>
  <c r="R44" i="3"/>
  <c r="R47" i="3" l="1"/>
  <c r="AA153" i="4"/>
  <c r="AE226" i="4"/>
  <c r="AD225" i="4"/>
  <c r="AC225" i="4"/>
  <c r="AB225" i="4"/>
  <c r="AE223" i="4"/>
  <c r="AE222" i="4"/>
  <c r="AE221" i="4"/>
  <c r="AE220" i="4"/>
  <c r="AE219" i="4"/>
  <c r="AE218" i="4"/>
  <c r="AE217" i="4"/>
  <c r="AE216" i="4"/>
  <c r="AE214" i="4"/>
  <c r="AE213" i="4"/>
  <c r="AE212" i="4"/>
  <c r="AE211" i="4"/>
  <c r="AE210" i="4"/>
  <c r="AB139" i="4"/>
  <c r="AB151" i="4"/>
  <c r="AB150" i="4"/>
  <c r="AB149" i="4"/>
  <c r="AB148" i="4"/>
  <c r="AB147" i="4"/>
  <c r="AB146" i="4"/>
  <c r="AB145" i="4"/>
  <c r="AB144" i="4"/>
  <c r="AB142" i="4"/>
  <c r="AB141" i="4"/>
  <c r="AB140" i="4"/>
  <c r="M173" i="4" s="1"/>
  <c r="AB138" i="4"/>
  <c r="T225" i="4"/>
  <c r="S225" i="4"/>
  <c r="R225" i="4"/>
  <c r="Y225" i="4"/>
  <c r="X225" i="4"/>
  <c r="W225" i="4"/>
  <c r="O225" i="4"/>
  <c r="P216" i="4"/>
  <c r="Z223" i="4"/>
  <c r="Z222" i="4"/>
  <c r="Z221" i="4"/>
  <c r="Z220" i="4"/>
  <c r="Z219" i="4"/>
  <c r="Z218" i="4"/>
  <c r="Z217" i="4"/>
  <c r="Z216" i="4"/>
  <c r="Z214" i="4"/>
  <c r="Z213" i="4"/>
  <c r="Z212" i="4"/>
  <c r="M244" i="4" s="1"/>
  <c r="Z211" i="4"/>
  <c r="Z210" i="4"/>
  <c r="U223" i="4"/>
  <c r="U222" i="4"/>
  <c r="U221" i="4"/>
  <c r="U220" i="4"/>
  <c r="U219" i="4"/>
  <c r="U218" i="4"/>
  <c r="U217" i="4"/>
  <c r="U216" i="4"/>
  <c r="U214" i="4"/>
  <c r="U213" i="4"/>
  <c r="U212" i="4"/>
  <c r="M243" i="4" s="1"/>
  <c r="U211" i="4"/>
  <c r="U210" i="4"/>
  <c r="P223" i="4"/>
  <c r="P222" i="4"/>
  <c r="P221" i="4"/>
  <c r="P220" i="4"/>
  <c r="P219" i="4"/>
  <c r="P218" i="4"/>
  <c r="P217" i="4"/>
  <c r="P214" i="4"/>
  <c r="P213" i="4"/>
  <c r="P212" i="4"/>
  <c r="P211" i="4"/>
  <c r="P210" i="4"/>
  <c r="AJ219" i="4"/>
  <c r="AJ220" i="4"/>
  <c r="M233" i="4" s="1"/>
  <c r="N233" i="4" s="1"/>
  <c r="AJ221" i="4"/>
  <c r="M232" i="4" s="1"/>
  <c r="N232" i="4" s="1"/>
  <c r="AJ222" i="4"/>
  <c r="AJ223" i="4"/>
  <c r="AJ218" i="4"/>
  <c r="AJ217" i="4"/>
  <c r="AJ216" i="4"/>
  <c r="AJ212" i="4"/>
  <c r="AJ213" i="4"/>
  <c r="AJ214" i="4"/>
  <c r="AJ211" i="4"/>
  <c r="AJ210" i="4"/>
  <c r="AI225" i="4"/>
  <c r="M225" i="4"/>
  <c r="N225" i="4"/>
  <c r="AG225" i="4"/>
  <c r="AH225" i="4"/>
  <c r="P226" i="4"/>
  <c r="Y226" i="4"/>
  <c r="AJ226" i="4"/>
  <c r="L242" i="4"/>
  <c r="L243" i="4"/>
  <c r="L244" i="4"/>
  <c r="L245" i="4"/>
  <c r="N35" i="4"/>
  <c r="AA26" i="4"/>
  <c r="AA25" i="4"/>
  <c r="AA24" i="4"/>
  <c r="AA23" i="4"/>
  <c r="AA22" i="4"/>
  <c r="AA21" i="4"/>
  <c r="AA20" i="4"/>
  <c r="AA19" i="4"/>
  <c r="W26" i="4"/>
  <c r="W25" i="4"/>
  <c r="W24" i="4"/>
  <c r="W23" i="4"/>
  <c r="W22" i="4"/>
  <c r="W21" i="4"/>
  <c r="W20" i="4"/>
  <c r="W19" i="4"/>
  <c r="S26" i="4"/>
  <c r="S25" i="4"/>
  <c r="S24" i="4"/>
  <c r="S23" i="4"/>
  <c r="S22" i="4"/>
  <c r="S21" i="4"/>
  <c r="S20" i="4"/>
  <c r="S19" i="4"/>
  <c r="O26" i="4"/>
  <c r="O25" i="4"/>
  <c r="O24" i="4"/>
  <c r="O23" i="4"/>
  <c r="O22" i="4"/>
  <c r="O21" i="4"/>
  <c r="O20" i="4"/>
  <c r="O19" i="4"/>
  <c r="M91" i="4"/>
  <c r="AE81" i="4"/>
  <c r="AE80" i="4"/>
  <c r="AE79" i="4"/>
  <c r="AE78" i="4"/>
  <c r="AE77" i="4"/>
  <c r="AE76" i="4"/>
  <c r="AE75" i="4"/>
  <c r="AE74" i="4"/>
  <c r="AA81" i="4"/>
  <c r="AA80" i="4"/>
  <c r="AA79" i="4"/>
  <c r="AA78" i="4"/>
  <c r="AA77" i="4"/>
  <c r="AA76" i="4"/>
  <c r="AA75" i="4"/>
  <c r="AA74" i="4"/>
  <c r="W81" i="4"/>
  <c r="W80" i="4"/>
  <c r="W79" i="4"/>
  <c r="W78" i="4"/>
  <c r="W77" i="4"/>
  <c r="W76" i="4"/>
  <c r="W75" i="4"/>
  <c r="W74" i="4"/>
  <c r="S81" i="4"/>
  <c r="S80" i="4"/>
  <c r="S79" i="4"/>
  <c r="S78" i="4"/>
  <c r="S77" i="4"/>
  <c r="S76" i="4"/>
  <c r="S75" i="4"/>
  <c r="S74" i="4"/>
  <c r="O81" i="4"/>
  <c r="O80" i="4"/>
  <c r="O79" i="4"/>
  <c r="O78" i="4"/>
  <c r="O77" i="4"/>
  <c r="O76" i="4"/>
  <c r="O75" i="4"/>
  <c r="O74" i="4"/>
  <c r="AF151" i="4"/>
  <c r="AF150" i="4"/>
  <c r="AF149" i="4"/>
  <c r="AF148" i="4"/>
  <c r="AF147" i="4"/>
  <c r="AF146" i="4"/>
  <c r="AF145" i="4"/>
  <c r="AF144" i="4"/>
  <c r="W151" i="4"/>
  <c r="W150" i="4"/>
  <c r="W149" i="4"/>
  <c r="W148" i="4"/>
  <c r="W147" i="4"/>
  <c r="W146" i="4"/>
  <c r="W145" i="4"/>
  <c r="W144" i="4"/>
  <c r="S151" i="4"/>
  <c r="S150" i="4"/>
  <c r="S149" i="4"/>
  <c r="S148" i="4"/>
  <c r="S147" i="4"/>
  <c r="S146" i="4"/>
  <c r="S145" i="4"/>
  <c r="S144" i="4"/>
  <c r="O145" i="4"/>
  <c r="O146" i="4"/>
  <c r="O147" i="4"/>
  <c r="O148" i="4"/>
  <c r="O149" i="4"/>
  <c r="O150" i="4"/>
  <c r="O151" i="4"/>
  <c r="O144" i="4"/>
  <c r="AR141" i="1"/>
  <c r="AP141" i="1" s="1"/>
  <c r="AR138" i="1"/>
  <c r="AP138" i="1" s="1"/>
  <c r="AR79" i="1"/>
  <c r="AP79" i="1" s="1"/>
  <c r="AR135" i="1"/>
  <c r="AP135" i="1" s="1"/>
  <c r="AR76" i="1"/>
  <c r="AP76" i="1" s="1"/>
  <c r="AR132" i="1"/>
  <c r="AP132" i="1" s="1"/>
  <c r="AR129" i="1"/>
  <c r="AP129" i="1" s="1"/>
  <c r="AR126" i="1"/>
  <c r="AP126" i="1" s="1"/>
  <c r="AR123" i="1"/>
  <c r="AP123" i="1" s="1"/>
  <c r="AR120" i="1"/>
  <c r="AP120" i="1" s="1"/>
  <c r="AR117" i="1"/>
  <c r="AP117" i="1" s="1"/>
  <c r="AR114" i="1"/>
  <c r="AP114" i="1" s="1"/>
  <c r="AR111" i="1"/>
  <c r="AP111" i="1" s="1"/>
  <c r="AR108" i="1"/>
  <c r="AP108" i="1" s="1"/>
  <c r="AR104" i="1"/>
  <c r="AP104" i="1" s="1"/>
  <c r="AR101" i="1"/>
  <c r="AP101" i="1" s="1"/>
  <c r="AR98" i="1"/>
  <c r="AP98" i="1" s="1"/>
  <c r="AR95" i="1"/>
  <c r="AP95" i="1" s="1"/>
  <c r="AR92" i="1"/>
  <c r="AP92" i="1" s="1"/>
  <c r="AR89" i="1"/>
  <c r="AP89" i="1" s="1"/>
  <c r="AR86" i="1"/>
  <c r="AP86" i="1" s="1"/>
  <c r="AR83" i="1"/>
  <c r="AP83" i="1" s="1"/>
  <c r="AR68" i="1"/>
  <c r="AP68" i="1" s="1"/>
  <c r="AR73" i="1"/>
  <c r="AP73" i="1" s="1"/>
  <c r="AR71" i="1"/>
  <c r="AO53" i="1"/>
  <c r="AO54" i="1"/>
  <c r="AO55" i="1"/>
  <c r="AO52" i="1"/>
  <c r="AO43" i="1"/>
  <c r="AO44" i="1"/>
  <c r="AO45" i="1"/>
  <c r="AO46" i="1"/>
  <c r="AO47" i="1"/>
  <c r="AO48" i="1"/>
  <c r="AO41" i="1"/>
  <c r="AO40" i="1"/>
  <c r="AO39" i="1"/>
  <c r="AO38" i="1"/>
  <c r="AR38" i="1" s="1"/>
  <c r="AP62" i="1"/>
  <c r="AR52" i="1"/>
  <c r="AR29" i="1"/>
  <c r="AO23" i="1"/>
  <c r="AO15" i="1"/>
  <c r="AO14" i="1"/>
  <c r="AO13" i="1"/>
  <c r="AO12" i="1"/>
  <c r="O138" i="4"/>
  <c r="AE68" i="4"/>
  <c r="O139" i="4"/>
  <c r="AF154" i="4"/>
  <c r="AF138" i="4" s="1"/>
  <c r="AA154" i="4"/>
  <c r="W154" i="4"/>
  <c r="W138" i="4" s="1"/>
  <c r="S154" i="4"/>
  <c r="O154" i="4"/>
  <c r="AE84" i="4"/>
  <c r="L173" i="4"/>
  <c r="L172" i="4"/>
  <c r="L171" i="4"/>
  <c r="L170" i="4"/>
  <c r="S138" i="4"/>
  <c r="AE153" i="4"/>
  <c r="AD153" i="4"/>
  <c r="Z153" i="4"/>
  <c r="Y153" i="4"/>
  <c r="V153" i="4"/>
  <c r="U153" i="4"/>
  <c r="R153" i="4"/>
  <c r="Q153" i="4"/>
  <c r="N153" i="4"/>
  <c r="M153" i="4"/>
  <c r="AF142" i="4"/>
  <c r="W142" i="4"/>
  <c r="S142" i="4"/>
  <c r="O142" i="4"/>
  <c r="AF141" i="4"/>
  <c r="W141" i="4"/>
  <c r="S141" i="4"/>
  <c r="O141" i="4"/>
  <c r="AF140" i="4"/>
  <c r="W140" i="4"/>
  <c r="M172" i="4" s="1"/>
  <c r="S140" i="4"/>
  <c r="M171" i="4" s="1"/>
  <c r="O140" i="4"/>
  <c r="M170" i="4" s="1"/>
  <c r="AF139" i="4"/>
  <c r="W139" i="4"/>
  <c r="S139" i="4"/>
  <c r="M105" i="4"/>
  <c r="K106" i="4"/>
  <c r="M245" i="4" l="1"/>
  <c r="M163" i="4"/>
  <c r="C86" i="4" s="1"/>
  <c r="M234" i="4"/>
  <c r="N234" i="4" s="1"/>
  <c r="M231" i="4"/>
  <c r="N231" i="4" s="1"/>
  <c r="M237" i="4"/>
  <c r="N237" i="4" s="1"/>
  <c r="M230" i="4"/>
  <c r="M235" i="4"/>
  <c r="N235" i="4" s="1"/>
  <c r="M236" i="4"/>
  <c r="N236" i="4" s="1"/>
  <c r="M162" i="4"/>
  <c r="M174" i="4"/>
  <c r="M159" i="4"/>
  <c r="M165" i="4"/>
  <c r="M161" i="4"/>
  <c r="M158" i="4"/>
  <c r="N158" i="4" s="1"/>
  <c r="D81" i="4" s="1"/>
  <c r="M164" i="4"/>
  <c r="M160" i="4"/>
  <c r="N163" i="4" l="1"/>
  <c r="D86" i="4" s="1"/>
  <c r="N164" i="4"/>
  <c r="D87" i="4" s="1"/>
  <c r="C87" i="4"/>
  <c r="N160" i="4"/>
  <c r="D83" i="4" s="1"/>
  <c r="C83" i="4"/>
  <c r="N165" i="4"/>
  <c r="D88" i="4" s="1"/>
  <c r="C88" i="4"/>
  <c r="N162" i="4"/>
  <c r="D85" i="4" s="1"/>
  <c r="C85" i="4"/>
  <c r="N161" i="4"/>
  <c r="D84" i="4" s="1"/>
  <c r="N159" i="4"/>
  <c r="C82" i="4"/>
  <c r="N230" i="4"/>
  <c r="D82" i="4"/>
  <c r="AD83" i="4"/>
  <c r="AC83" i="4"/>
  <c r="AE72" i="4"/>
  <c r="AE71" i="4"/>
  <c r="AE70" i="4"/>
  <c r="AE69" i="4"/>
  <c r="W84" i="4"/>
  <c r="S84" i="4"/>
  <c r="AD64" i="1" l="1"/>
  <c r="AC12" i="1"/>
  <c r="AC13" i="1"/>
  <c r="AC14" i="1"/>
  <c r="AC15" i="1"/>
  <c r="AF48" i="1"/>
  <c r="AC39" i="1"/>
  <c r="AF36" i="1"/>
  <c r="AF27" i="1"/>
  <c r="AC21" i="1"/>
  <c r="AF18" i="1"/>
  <c r="AF12" i="1"/>
  <c r="L100" i="4"/>
  <c r="L101" i="4"/>
  <c r="L103" i="4"/>
  <c r="L102" i="4"/>
  <c r="AA84" i="4"/>
  <c r="AA68" i="4" s="1"/>
  <c r="W68" i="4"/>
  <c r="O84" i="4"/>
  <c r="Z83" i="4"/>
  <c r="Y83" i="4"/>
  <c r="V83" i="4"/>
  <c r="U83" i="4"/>
  <c r="R83" i="4"/>
  <c r="Q83" i="4"/>
  <c r="M92" i="4"/>
  <c r="M83" i="4"/>
  <c r="AA72" i="4"/>
  <c r="W72" i="4"/>
  <c r="S72" i="4"/>
  <c r="O72" i="4"/>
  <c r="AA71" i="4"/>
  <c r="W71" i="4"/>
  <c r="S71" i="4"/>
  <c r="O71" i="4"/>
  <c r="AA70" i="4"/>
  <c r="M103" i="4" s="1"/>
  <c r="W70" i="4"/>
  <c r="M102" i="4" s="1"/>
  <c r="S70" i="4"/>
  <c r="M101" i="4" s="1"/>
  <c r="O70" i="4"/>
  <c r="M100" i="4" s="1"/>
  <c r="AA69" i="4"/>
  <c r="W69" i="4"/>
  <c r="S69" i="4"/>
  <c r="O69" i="4"/>
  <c r="S68" i="4"/>
  <c r="O68" i="4"/>
  <c r="M93" i="4" l="1"/>
  <c r="N93" i="4" s="1"/>
  <c r="N91" i="4"/>
  <c r="M89" i="4"/>
  <c r="N89" i="4" s="1"/>
  <c r="M104" i="4"/>
  <c r="M88" i="4"/>
  <c r="N88" i="4" s="1"/>
  <c r="M90" i="4"/>
  <c r="N90" i="4" s="1"/>
  <c r="N92" i="4"/>
  <c r="N83" i="4"/>
  <c r="AA28" i="4"/>
  <c r="AA13" i="4" s="1"/>
  <c r="AA14" i="4"/>
  <c r="W28" i="4"/>
  <c r="W13" i="4" s="1"/>
  <c r="S28" i="4"/>
  <c r="S13" i="4" s="1"/>
  <c r="O28" i="4"/>
  <c r="O13" i="4" s="1"/>
  <c r="M94" i="4" l="1"/>
  <c r="N94" i="4" s="1"/>
  <c r="M95" i="4"/>
  <c r="N95" i="4" s="1"/>
  <c r="L47" i="4"/>
  <c r="L46" i="4"/>
  <c r="L45" i="4"/>
  <c r="L44" i="4"/>
  <c r="AA17" i="4"/>
  <c r="AA16" i="4"/>
  <c r="AA15" i="4"/>
  <c r="M47" i="4" s="1"/>
  <c r="W17" i="4"/>
  <c r="W16" i="4"/>
  <c r="W15" i="4"/>
  <c r="M46" i="4" s="1"/>
  <c r="W14" i="4"/>
  <c r="S17" i="4"/>
  <c r="S16" i="4"/>
  <c r="S14" i="4"/>
  <c r="Q15" i="4"/>
  <c r="S15" i="4" s="1"/>
  <c r="M45" i="4" s="1"/>
  <c r="Z27" i="4" l="1"/>
  <c r="Y27" i="4"/>
  <c r="V27" i="4"/>
  <c r="U27" i="4"/>
  <c r="R27" i="4"/>
  <c r="Q27" i="4"/>
  <c r="M37" i="4"/>
  <c r="N37" i="4" s="1"/>
  <c r="M36" i="4"/>
  <c r="N36" i="4" s="1"/>
  <c r="M35" i="4"/>
  <c r="M34" i="4"/>
  <c r="N34" i="4" s="1"/>
  <c r="M33" i="4"/>
  <c r="N33" i="4" s="1"/>
  <c r="M32" i="4"/>
  <c r="N32" i="4" s="1"/>
  <c r="M20" i="4"/>
  <c r="N19" i="4"/>
  <c r="N20" i="4"/>
  <c r="O17" i="4"/>
  <c r="O14" i="4"/>
  <c r="O15" i="4"/>
  <c r="M44" i="4" s="1"/>
  <c r="O16" i="4"/>
  <c r="M38" i="4" l="1"/>
  <c r="N38" i="4" s="1"/>
  <c r="M27" i="4"/>
  <c r="M39" i="4"/>
  <c r="N39" i="4" s="1"/>
  <c r="N27" i="4"/>
  <c r="U47" i="1"/>
  <c r="R38" i="1"/>
  <c r="U35" i="1"/>
  <c r="U26" i="1"/>
  <c r="R20" i="1"/>
  <c r="U17" i="1"/>
  <c r="U12" i="1"/>
  <c r="J12" i="1" l="1"/>
  <c r="J17" i="1"/>
  <c r="J26" i="1"/>
  <c r="J35" i="1"/>
  <c r="J47" i="1"/>
  <c r="K56" i="1"/>
  <c r="G20" i="1"/>
  <c r="G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Josina Bernardes</author>
  </authors>
  <commentList>
    <comment ref="K66" authorId="0" shapeId="0" xr:uid="{2EF2B6B1-3BB5-4C8F-B9E5-65E814AB36B6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69" authorId="0" shapeId="0" xr:uid="{65DA6F7C-B29F-4339-B4CC-CB35616CAEFB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72" authorId="0" shapeId="0" xr:uid="{CCCDC8C1-32A8-4269-A9BD-C83575788ED2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78" authorId="0" shapeId="0" xr:uid="{1FBFE917-0A58-4BBC-8A10-472361210339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81" authorId="0" shapeId="0" xr:uid="{3C7C79C6-DF88-4883-AA51-97407C9D614B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84" authorId="0" shapeId="0" xr:uid="{A915D671-CDF1-4F0A-84A2-837FFA68CF31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91" authorId="0" shapeId="0" xr:uid="{6EF03C49-964C-429D-826D-EF1FD28D832A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94" authorId="0" shapeId="0" xr:uid="{1EC002B1-434F-4BDC-89CB-2124F4C96F45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97" authorId="0" shapeId="0" xr:uid="{ECD9CB4D-B725-4BC1-BDF2-2B781BD852A8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105" authorId="0" shapeId="0" xr:uid="{F7A3EC45-9DCE-4331-9C3D-5976509EC099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108" authorId="0" shapeId="0" xr:uid="{5636D7BA-F197-460E-A320-96026F3FEDDF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111" authorId="0" shapeId="0" xr:uid="{82DA1A56-92A8-4E1C-8BEE-E8396B1C9E9C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120" authorId="0" shapeId="0" xr:uid="{0D7B4626-91A1-46F2-90CF-74480E99CCDD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123" authorId="0" shapeId="0" xr:uid="{64C8C603-A6D8-4F55-8CBD-9830A5BD83D7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126" authorId="0" shapeId="0" xr:uid="{08AFDF4F-E92A-4A79-97F1-F497504F8753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Josina Bernardes</author>
  </authors>
  <commentList>
    <comment ref="M44" authorId="0" shapeId="0" xr:uid="{E6094429-754F-4955-AE18-2DE8F9BA15ED}">
      <text>
        <r>
          <rPr>
            <b/>
            <sz val="9"/>
            <color indexed="81"/>
            <rFont val="Tahoma"/>
            <family val="2"/>
          </rPr>
          <t>Bar 11,3kg</t>
        </r>
      </text>
    </comment>
    <comment ref="AR61" authorId="0" shapeId="0" xr:uid="{07FE5B58-E46F-4FD0-BD56-4166418589A3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BJ61" authorId="0" shapeId="0" xr:uid="{18F9A85F-8EA2-4895-B96A-DDD998779176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AF63" authorId="0" shapeId="0" xr:uid="{77DFEC15-9B83-4B0E-9369-D5E94BCFCDF4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AT94" authorId="0" shapeId="0" xr:uid="{71DC5C3B-98F5-4E3C-9746-27D1BAFA638A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94" authorId="0" shapeId="0" xr:uid="{2A52482E-5E6D-4F96-B50C-1D6F19D3C2DE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97" authorId="0" shapeId="0" xr:uid="{34969861-EDAB-4123-90B5-C0D61D0BBACF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97" authorId="0" shapeId="0" xr:uid="{62F004CA-F31B-4BFA-99C7-F62EA373DD4A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00" authorId="0" shapeId="0" xr:uid="{D6DF520C-318C-41B5-82D7-0E391BB83440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00" authorId="0" shapeId="0" xr:uid="{BA2B727C-A4BC-492C-9D69-1F232BF1C1FB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03" authorId="0" shapeId="0" xr:uid="{62A026FD-D1E4-4ABD-8FF3-C1AD662251BB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03" authorId="0" shapeId="0" xr:uid="{F4A8AC4B-584D-485F-AB4F-DDCC0B3FA988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07" authorId="0" shapeId="0" xr:uid="{79E6D866-E860-4C53-AC9F-E502BC41BA48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07" authorId="0" shapeId="0" xr:uid="{5C7AB409-6EBC-4C15-8B09-C773AF6F58A1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10" authorId="0" shapeId="0" xr:uid="{F3365547-F2C9-4C47-85BE-46C00AE4B790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10" authorId="0" shapeId="0" xr:uid="{ED9259F3-0819-4593-BEA9-63A9B1216223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13" authorId="0" shapeId="0" xr:uid="{0631A400-FEDD-48F7-A27F-5460A219E8AD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13" authorId="0" shapeId="0" xr:uid="{3BD796FF-7887-430A-9756-4E64E05CB8E6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16" authorId="0" shapeId="0" xr:uid="{4F445B31-3BA5-458B-85A3-5DF7920E4C63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16" authorId="0" shapeId="0" xr:uid="{947F732A-84FD-4619-A4EB-3C26225ED05B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19" authorId="0" shapeId="0" xr:uid="{7743A52A-33A3-4FE3-83E9-AEA06C560458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19" authorId="0" shapeId="0" xr:uid="{E157479B-C2FC-4435-9215-A6030DA5EF90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22" authorId="0" shapeId="0" xr:uid="{B327CA6B-DC22-411A-82BB-EC124A43F887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22" authorId="0" shapeId="0" xr:uid="{90C8FBB0-DC5D-4387-ABBF-93296AA24999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25" authorId="0" shapeId="0" xr:uid="{189C9EB8-70C5-4CFC-871E-3099031C2143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25" authorId="0" shapeId="0" xr:uid="{9755FC73-192B-439B-99ED-464B06C29DCF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28" authorId="0" shapeId="0" xr:uid="{B0564432-939A-41E5-AEFB-2F4307373F1D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28" authorId="0" shapeId="0" xr:uid="{11FAB33D-732E-421F-9558-CA1A11FCF43D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31" authorId="0" shapeId="0" xr:uid="{9D0B4982-19C6-4A8F-9C6B-8D93AF7B0A31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31" authorId="0" shapeId="0" xr:uid="{13321EC6-1108-4BD3-8AE0-AC1F4836F1B2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34" authorId="0" shapeId="0" xr:uid="{DDC00BDE-23E1-428A-9278-0450D014A2AD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34" authorId="0" shapeId="0" xr:uid="{91B797A2-CCDC-4C66-8CF1-EB28A8D5AD9D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37" authorId="0" shapeId="0" xr:uid="{3EEFC466-FC1B-48BF-9CFE-CFC4485DBD79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37" authorId="0" shapeId="0" xr:uid="{CA6B9573-EEB0-42C9-8918-750A4F372653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40" authorId="0" shapeId="0" xr:uid="{8CE94EE7-0550-4B4F-89ED-91A70B3A46C7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40" authorId="0" shapeId="0" xr:uid="{3DE6610D-A54C-4B1E-B275-886832BD868B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Josina Bernardes</author>
  </authors>
  <commentList>
    <comment ref="O18" authorId="0" shapeId="0" xr:uid="{96A87C7C-6EA8-441E-89EC-2ECFF972AE59}">
      <text>
        <r>
          <rPr>
            <b/>
            <sz val="9"/>
            <color indexed="81"/>
            <rFont val="Tahoma"/>
            <family val="2"/>
          </rPr>
          <t>Klimmur</t>
        </r>
      </text>
    </comment>
    <comment ref="Q18" authorId="0" shapeId="0" xr:uid="{A06170C8-41BC-4574-AB00-D76CA4398B8B}">
      <text>
        <r>
          <rPr>
            <sz val="8"/>
            <color indexed="81"/>
            <rFont val="Tahoma"/>
            <family val="2"/>
          </rPr>
          <t>Neo: balck 6b+: 1st try, but had the big shoes, used a intermediate hand grip, made it all. The problem is in the beguinning session.</t>
        </r>
      </text>
    </comment>
    <comment ref="R18" authorId="0" shapeId="0" xr:uid="{96E07DDC-ECCD-482A-9767-F6BF724E20B1}">
      <text>
        <r>
          <rPr>
            <sz val="9"/>
            <color indexed="81"/>
            <rFont val="Tahoma"/>
            <family val="2"/>
          </rPr>
          <t>Klim: Black</t>
        </r>
      </text>
    </comment>
    <comment ref="S18" authorId="0" shapeId="0" xr:uid="{D36809FD-06E9-49A6-8080-6581E33C0C00}">
      <text>
        <r>
          <rPr>
            <sz val="9"/>
            <color indexed="81"/>
            <rFont val="Tahoma"/>
            <family val="2"/>
          </rPr>
          <t>Klim: yelow Up room</t>
        </r>
      </text>
    </comment>
    <comment ref="T18" authorId="0" shapeId="0" xr:uid="{FF3AA624-71CB-4ED5-854E-811634CCA104}">
      <text>
        <r>
          <rPr>
            <b/>
            <sz val="9"/>
            <color indexed="81"/>
            <rFont val="Tahoma"/>
            <family val="2"/>
          </rPr>
          <t>Neoliet Outd. Leadinhg</t>
        </r>
      </text>
    </comment>
    <comment ref="N20" authorId="0" shapeId="0" xr:uid="{148E10B9-E2F5-4235-8FC6-79D7D0E2E83A}">
      <text>
        <r>
          <rPr>
            <b/>
            <sz val="9"/>
            <color indexed="81"/>
            <rFont val="Tahoma"/>
            <family val="2"/>
          </rPr>
          <t>Klimmur</t>
        </r>
      </text>
    </comment>
    <comment ref="N21" authorId="0" shapeId="0" xr:uid="{26152FB9-3DCE-4AE2-96C5-5EEE3DB3AFC3}">
      <text>
        <r>
          <rPr>
            <b/>
            <sz val="9"/>
            <color indexed="81"/>
            <rFont val="Tahoma"/>
            <family val="2"/>
          </rPr>
          <t xml:space="preserve">Neo: Lead </t>
        </r>
      </text>
    </comment>
    <comment ref="O21" authorId="0" shapeId="0" xr:uid="{DE9D31A6-17E8-4694-AAB4-3DA69C6A65B7}">
      <text>
        <r>
          <rPr>
            <b/>
            <sz val="9"/>
            <color indexed="81"/>
            <rFont val="Tahoma"/>
            <family val="2"/>
          </rPr>
          <t>Neo</t>
        </r>
      </text>
    </comment>
    <comment ref="Q21" authorId="0" shapeId="0" xr:uid="{CA9ADCC5-65FD-4AA4-9B67-E69E7B98E3B3}">
      <text>
        <r>
          <rPr>
            <b/>
            <sz val="9"/>
            <color indexed="81"/>
            <rFont val="Tahoma"/>
            <family val="2"/>
          </rPr>
          <t>Neo</t>
        </r>
      </text>
    </comment>
    <comment ref="R21" authorId="0" shapeId="0" xr:uid="{F4927544-A341-44D7-A055-012487460B4A}">
      <text>
        <r>
          <rPr>
            <sz val="9"/>
            <color indexed="81"/>
            <rFont val="Tahoma"/>
            <family val="2"/>
          </rPr>
          <t>Klim: Green</t>
        </r>
      </text>
    </comment>
    <comment ref="S21" authorId="0" shapeId="0" xr:uid="{35D55494-3EA5-455D-9FE1-781B6704C504}">
      <text>
        <r>
          <rPr>
            <sz val="9"/>
            <color indexed="81"/>
            <rFont val="Tahoma"/>
            <family val="2"/>
          </rPr>
          <t>Klim: Pink up room</t>
        </r>
      </text>
    </comment>
    <comment ref="U21" authorId="0" shapeId="0" xr:uid="{741B59BA-F9CD-4943-8BF0-C476F4893605}">
      <text>
        <r>
          <rPr>
            <b/>
            <sz val="9"/>
            <color indexed="81"/>
            <rFont val="Tahoma"/>
            <family val="2"/>
          </rPr>
          <t>Neo, outside</t>
        </r>
      </text>
    </comment>
    <comment ref="R29" authorId="0" shapeId="0" xr:uid="{944D14D5-3AE1-4E15-A682-9F7E893DF31B}">
      <text>
        <r>
          <rPr>
            <sz val="9"/>
            <color indexed="81"/>
            <rFont val="Tahoma"/>
            <family val="2"/>
          </rPr>
          <t>Sterk: Pink OH</t>
        </r>
      </text>
    </comment>
    <comment ref="S29" authorId="0" shapeId="0" xr:uid="{1AE20B50-2D59-4624-B757-31CE585A5FC4}">
      <text>
        <r>
          <rPr>
            <b/>
            <sz val="9"/>
            <color indexed="81"/>
            <rFont val="Tahoma"/>
            <family val="2"/>
          </rPr>
          <t>Klimmur 6b: white &amp; Pink OH</t>
        </r>
      </text>
    </comment>
    <comment ref="O30" authorId="0" shapeId="0" xr:uid="{AEAFF819-EEE4-45D6-8701-8B7E189987BA}">
      <text>
        <r>
          <rPr>
            <b/>
            <sz val="9"/>
            <color indexed="81"/>
            <rFont val="Tahoma"/>
            <family val="2"/>
          </rPr>
          <t>Spoor</t>
        </r>
      </text>
    </comment>
    <comment ref="P31" authorId="0" shapeId="0" xr:uid="{CE42E7CD-3A23-4FA2-AF35-E750D48F8BA7}">
      <text>
        <r>
          <rPr>
            <b/>
            <sz val="9"/>
            <color indexed="81"/>
            <rFont val="Tahoma"/>
            <family val="2"/>
          </rPr>
          <t>Sterk</t>
        </r>
      </text>
    </comment>
    <comment ref="T31" authorId="0" shapeId="0" xr:uid="{3D2AF372-6CCD-46E6-9159-12C10A5B315D}">
      <text>
        <r>
          <rPr>
            <sz val="9"/>
            <color indexed="81"/>
            <rFont val="Tahoma"/>
            <family val="2"/>
          </rPr>
          <t>Klimmur Up</t>
        </r>
      </text>
    </comment>
    <comment ref="P32" authorId="0" shapeId="0" xr:uid="{15A3DEA1-BAC3-4FD1-B604-7F86303D1151}">
      <text>
        <r>
          <rPr>
            <b/>
            <sz val="9"/>
            <color indexed="81"/>
            <rFont val="Tahoma"/>
            <family val="2"/>
          </rPr>
          <t xml:space="preserve">Sterk: Balck, Blue </t>
        </r>
      </text>
    </comment>
    <comment ref="Q32" authorId="0" shapeId="0" xr:uid="{43B4D042-95E7-47D7-8019-88155127E96D}">
      <text>
        <r>
          <rPr>
            <b/>
            <sz val="9"/>
            <color indexed="81"/>
            <rFont val="Tahoma"/>
            <family val="2"/>
          </rPr>
          <t xml:space="preserve">Sterk: Balck, Blue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Josina Bernardes</author>
  </authors>
  <commentList>
    <comment ref="N57" authorId="0" shapeId="0" xr:uid="{6657C31E-8927-44DD-8DCB-89D089745FC5}">
      <text>
        <r>
          <rPr>
            <b/>
            <sz val="9"/>
            <color indexed="81"/>
            <rFont val="Tahoma"/>
            <family val="2"/>
          </rPr>
          <t>Average Neoliet 13m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Josina Bernardes</author>
  </authors>
  <commentList>
    <comment ref="N31" authorId="0" shapeId="0" xr:uid="{A7AD157B-AF6E-4554-92DB-1BECA11CF2C0}">
      <text>
        <r>
          <rPr>
            <b/>
            <sz val="9"/>
            <color indexed="81"/>
            <rFont val="Tahoma"/>
            <family val="2"/>
          </rPr>
          <t>Average Neoliet 13m</t>
        </r>
      </text>
    </comment>
    <comment ref="D80" authorId="0" shapeId="0" xr:uid="{7D38DE16-0F37-484D-BCB5-ABFCD16344E8}">
      <text>
        <r>
          <rPr>
            <b/>
            <sz val="9"/>
            <color indexed="81"/>
            <rFont val="Tahoma"/>
            <family val="2"/>
          </rPr>
          <t>Average Neoliet 13m</t>
        </r>
      </text>
    </comment>
    <comment ref="N87" authorId="0" shapeId="0" xr:uid="{7E70D942-C922-45EA-B959-02446F508959}">
      <text>
        <r>
          <rPr>
            <b/>
            <sz val="9"/>
            <color indexed="81"/>
            <rFont val="Tahoma"/>
            <family val="2"/>
          </rPr>
          <t>Average Neoliet 13m</t>
        </r>
      </text>
    </comment>
    <comment ref="AA138" authorId="0" shapeId="0" xr:uid="{D1D3A66B-1B1F-4B5B-B31B-1AB82C0FFC1D}">
      <text>
        <r>
          <rPr>
            <b/>
            <sz val="9"/>
            <color indexed="81"/>
            <rFont val="Tahoma"/>
            <family val="2"/>
          </rPr>
          <t>Playing Fun B's</t>
        </r>
      </text>
    </comment>
    <comment ref="N157" authorId="0" shapeId="0" xr:uid="{0FF21F5B-4DAB-4C2C-A517-009368F685BE}">
      <text>
        <r>
          <rPr>
            <b/>
            <sz val="9"/>
            <color indexed="81"/>
            <rFont val="Tahoma"/>
            <family val="2"/>
          </rPr>
          <t>Average Neoliet 13m</t>
        </r>
      </text>
    </comment>
    <comment ref="AB226" authorId="0" shapeId="0" xr:uid="{3A423D11-551D-4C0E-B2D6-841B34E7432B}">
      <text>
        <r>
          <rPr>
            <b/>
            <sz val="9"/>
            <color indexed="81"/>
            <rFont val="Tahoma"/>
            <family val="2"/>
          </rPr>
          <t>At Home</t>
        </r>
      </text>
    </comment>
    <comment ref="N229" authorId="0" shapeId="0" xr:uid="{FCAEB7E6-C322-4CAE-87E9-B1859A630C4E}">
      <text>
        <r>
          <rPr>
            <b/>
            <sz val="9"/>
            <color indexed="81"/>
            <rFont val="Tahoma"/>
            <family val="2"/>
          </rPr>
          <t>Average Neoliet 13m</t>
        </r>
      </text>
    </comment>
    <comment ref="AB298" authorId="0" shapeId="0" xr:uid="{DF7AEB3C-01F5-477B-A871-EF94C9CDB6A0}">
      <text>
        <r>
          <rPr>
            <b/>
            <sz val="9"/>
            <color indexed="81"/>
            <rFont val="Tahoma"/>
            <family val="2"/>
          </rPr>
          <t>At Home</t>
        </r>
      </text>
    </comment>
    <comment ref="N301" authorId="0" shapeId="0" xr:uid="{B37A208C-BE71-46BE-92A6-8F3B055CC952}">
      <text>
        <r>
          <rPr>
            <b/>
            <sz val="9"/>
            <color indexed="81"/>
            <rFont val="Tahoma"/>
            <family val="2"/>
          </rPr>
          <t>Average Neoliet 13m</t>
        </r>
      </text>
    </comment>
    <comment ref="N373" authorId="0" shapeId="0" xr:uid="{DC3D7A8D-E361-4DF2-A747-AD55ED3541C8}">
      <text>
        <r>
          <rPr>
            <b/>
            <sz val="9"/>
            <color indexed="81"/>
            <rFont val="Tahoma"/>
            <family val="2"/>
          </rPr>
          <t>Average Neoliet 13m</t>
        </r>
      </text>
    </comment>
  </commentList>
</comments>
</file>

<file path=xl/sharedStrings.xml><?xml version="1.0" encoding="utf-8"?>
<sst xmlns="http://schemas.openxmlformats.org/spreadsheetml/2006/main" count="4617" uniqueCount="479">
  <si>
    <t>Training Gym 2024</t>
  </si>
  <si>
    <t>Day:</t>
  </si>
  <si>
    <t>Bike</t>
  </si>
  <si>
    <t>Assault Bike</t>
  </si>
  <si>
    <t>Eiptica</t>
  </si>
  <si>
    <t>Inferior members</t>
  </si>
  <si>
    <t>Core</t>
  </si>
  <si>
    <t>Superior members</t>
  </si>
  <si>
    <t>Fingers</t>
  </si>
  <si>
    <t>Stretching</t>
  </si>
  <si>
    <t>warm-1</t>
  </si>
  <si>
    <t>Warm-2</t>
  </si>
  <si>
    <t>Hip Abdu. N.3</t>
  </si>
  <si>
    <t>Hip Adu. N.3</t>
  </si>
  <si>
    <t>Set</t>
  </si>
  <si>
    <t>Rep</t>
  </si>
  <si>
    <t>Rest</t>
  </si>
  <si>
    <t>Kg</t>
  </si>
  <si>
    <t>3'</t>
  </si>
  <si>
    <t>Exe.N.º</t>
  </si>
  <si>
    <t>Ext.Quaricipets</t>
  </si>
  <si>
    <t>%</t>
  </si>
  <si>
    <t>Max</t>
  </si>
  <si>
    <t>without Machine:</t>
  </si>
  <si>
    <t>With Machine:</t>
  </si>
  <si>
    <t>Scapular pull up</t>
  </si>
  <si>
    <t>1'</t>
  </si>
  <si>
    <t>btw</t>
  </si>
  <si>
    <t>ISO Scapular Pull</t>
  </si>
  <si>
    <t>Time</t>
  </si>
  <si>
    <t>-</t>
  </si>
  <si>
    <t>10''</t>
  </si>
  <si>
    <t>1 arm Scap. Pull up</t>
  </si>
  <si>
    <t>Pull-up</t>
  </si>
  <si>
    <t>?</t>
  </si>
  <si>
    <t>Pull-up Bar</t>
  </si>
  <si>
    <t>Kg:</t>
  </si>
  <si>
    <t>Rear delt. N1</t>
  </si>
  <si>
    <t>Fly Delt. N2</t>
  </si>
  <si>
    <t>Shoulder Press</t>
  </si>
  <si>
    <t>Chest Press</t>
  </si>
  <si>
    <t>Cable Cross Over</t>
  </si>
  <si>
    <t>Plank</t>
  </si>
  <si>
    <t>30''</t>
  </si>
  <si>
    <t>Russian Sit-ups</t>
  </si>
  <si>
    <t>Leg + arms ups</t>
  </si>
  <si>
    <t>Matrix Abd.N.4</t>
  </si>
  <si>
    <t>Low Row</t>
  </si>
  <si>
    <t>Shoulder Rotation</t>
  </si>
  <si>
    <t>Matrix Back&amp;Lat</t>
  </si>
  <si>
    <t>Biciptes</t>
  </si>
  <si>
    <t>Floor ABS rotation</t>
  </si>
  <si>
    <t>2x2kg</t>
  </si>
  <si>
    <t xml:space="preserve">Wrist </t>
  </si>
  <si>
    <t>Wrist Ext.</t>
  </si>
  <si>
    <t>Wrist Int.</t>
  </si>
  <si>
    <t>Wrist Curls Int Roll</t>
  </si>
  <si>
    <t>Wrist Curls Ext Roll</t>
  </si>
  <si>
    <t>Grips w/ Machine</t>
  </si>
  <si>
    <t xml:space="preserve">Rest </t>
  </si>
  <si>
    <t>5'</t>
  </si>
  <si>
    <t>53''</t>
  </si>
  <si>
    <t>Exercises</t>
  </si>
  <si>
    <t>2x</t>
  </si>
  <si>
    <t>10"/20"</t>
  </si>
  <si>
    <t>4'</t>
  </si>
  <si>
    <t>20"10"</t>
  </si>
  <si>
    <t>1x</t>
  </si>
  <si>
    <t>20'</t>
  </si>
  <si>
    <t>R3-5</t>
  </si>
  <si>
    <t>2x3kg</t>
  </si>
  <si>
    <t>Matrix Abd. Up</t>
  </si>
  <si>
    <t>Seated Row bar Matrix</t>
  </si>
  <si>
    <t>Macrocycle:</t>
  </si>
  <si>
    <t>6mth</t>
  </si>
  <si>
    <t>Peak:</t>
  </si>
  <si>
    <t>October</t>
  </si>
  <si>
    <t>Start</t>
  </si>
  <si>
    <t>Base</t>
  </si>
  <si>
    <t>Build</t>
  </si>
  <si>
    <t>End</t>
  </si>
  <si>
    <t>Peak</t>
  </si>
  <si>
    <t>Climbing goal?</t>
  </si>
  <si>
    <t>Gen.Prep</t>
  </si>
  <si>
    <t>Build&amp;Taper</t>
  </si>
  <si>
    <t>Preparation</t>
  </si>
  <si>
    <t>2 - 4 weeks</t>
  </si>
  <si>
    <t>Training Cycle</t>
  </si>
  <si>
    <t>&lt; 8 weeks</t>
  </si>
  <si>
    <t>4 - 6 weeks</t>
  </si>
  <si>
    <t>Phase</t>
  </si>
  <si>
    <t>Taper</t>
  </si>
  <si>
    <t>Deload/Re</t>
  </si>
  <si>
    <t>1 - 2 weeks</t>
  </si>
  <si>
    <t>Duration</t>
  </si>
  <si>
    <t xml:space="preserve"> [1 - 4]</t>
  </si>
  <si>
    <t xml:space="preserve"> [4 - 12]</t>
  </si>
  <si>
    <t xml:space="preserve"> [1 - 2]</t>
  </si>
  <si>
    <t xml:space="preserve"> [1 - 6]</t>
  </si>
  <si>
    <t>Performance</t>
  </si>
  <si>
    <t>2-6 weeks</t>
  </si>
  <si>
    <t>{1 - 2}</t>
  </si>
  <si>
    <t>Deload/Recover</t>
  </si>
  <si>
    <t>2 -4 weeks</t>
  </si>
  <si>
    <t>Training focus</t>
  </si>
  <si>
    <t>Fitness</t>
  </si>
  <si>
    <t>Strengh</t>
  </si>
  <si>
    <t>Max.Strengh</t>
  </si>
  <si>
    <t>Power</t>
  </si>
  <si>
    <t>Recover</t>
  </si>
  <si>
    <t>Perform</t>
  </si>
  <si>
    <t>Specific Fitness</t>
  </si>
  <si>
    <t>Non-Spec</t>
  </si>
  <si>
    <t>Gen/target</t>
  </si>
  <si>
    <t>Very Spec</t>
  </si>
  <si>
    <t>Rec/Spec</t>
  </si>
  <si>
    <t>Goal Focus</t>
  </si>
  <si>
    <t>Non-spec</t>
  </si>
  <si>
    <t>Training Vol:</t>
  </si>
  <si>
    <t>Moderate</t>
  </si>
  <si>
    <t>High</t>
  </si>
  <si>
    <t>Low</t>
  </si>
  <si>
    <t>Training Int.:</t>
  </si>
  <si>
    <t>Mod - High</t>
  </si>
  <si>
    <t>high</t>
  </si>
  <si>
    <t>Fatige from Train</t>
  </si>
  <si>
    <t>Low - Mod</t>
  </si>
  <si>
    <t>Month</t>
  </si>
  <si>
    <t>Goal</t>
  </si>
  <si>
    <t>Training Focus</t>
  </si>
  <si>
    <t>Training Vol.</t>
  </si>
  <si>
    <t>Training Int.</t>
  </si>
  <si>
    <t>Fatigue</t>
  </si>
  <si>
    <t>4 weeks</t>
  </si>
  <si>
    <t>Fitness/Non specific</t>
  </si>
  <si>
    <t>Week</t>
  </si>
  <si>
    <t>Nº Sessions</t>
  </si>
  <si>
    <t>Meters</t>
  </si>
  <si>
    <t>NºRoutes</t>
  </si>
  <si>
    <t>Av_meter</t>
  </si>
  <si>
    <t>Gades:</t>
  </si>
  <si>
    <t>3-4c</t>
  </si>
  <si>
    <t>6a-6a+</t>
  </si>
  <si>
    <t>6b-6b+</t>
  </si>
  <si>
    <t>6c-6c+</t>
  </si>
  <si>
    <t>7a-7a+</t>
  </si>
  <si>
    <t>7b-7b+</t>
  </si>
  <si>
    <t>Total</t>
  </si>
  <si>
    <t>5a-5b+</t>
  </si>
  <si>
    <t>5c-5c+</t>
  </si>
  <si>
    <t>Total:</t>
  </si>
  <si>
    <t>Week:</t>
  </si>
  <si>
    <t>Sunday</t>
  </si>
  <si>
    <t>Monday</t>
  </si>
  <si>
    <t>Tuesday</t>
  </si>
  <si>
    <t>Wednesday</t>
  </si>
  <si>
    <t>Thursday</t>
  </si>
  <si>
    <t>Friday</t>
  </si>
  <si>
    <t>Saturday</t>
  </si>
  <si>
    <t>AM</t>
  </si>
  <si>
    <t>Climb</t>
  </si>
  <si>
    <t>PM</t>
  </si>
  <si>
    <t>Conditioning</t>
  </si>
  <si>
    <t>Finger Board</t>
  </si>
  <si>
    <t>Pyramid 24/25</t>
  </si>
  <si>
    <t>November</t>
  </si>
  <si>
    <t>nr.Rotes</t>
  </si>
  <si>
    <t>46-49</t>
  </si>
  <si>
    <t>Meters 24/25</t>
  </si>
  <si>
    <t>Total meters November:</t>
  </si>
  <si>
    <t>meters</t>
  </si>
  <si>
    <t>m/grade</t>
  </si>
  <si>
    <t>Gym Time:</t>
  </si>
  <si>
    <t>01-04</t>
  </si>
  <si>
    <t>Trials:</t>
  </si>
  <si>
    <t>6c/7a+</t>
  </si>
  <si>
    <t>January</t>
  </si>
  <si>
    <t>Pyramid 2025</t>
  </si>
  <si>
    <t>Meters 2025</t>
  </si>
  <si>
    <t>Training Gym 2025</t>
  </si>
  <si>
    <t>Rowing</t>
  </si>
  <si>
    <t>10'</t>
  </si>
  <si>
    <t>1805m</t>
  </si>
  <si>
    <t>R1-3</t>
  </si>
  <si>
    <t>22w</t>
  </si>
  <si>
    <t>Hip Abdu. N.1</t>
  </si>
  <si>
    <t>Prone Leg Curl (P7/P1-2)</t>
  </si>
  <si>
    <t xml:space="preserve">Seated Tricipets Press </t>
  </si>
  <si>
    <t>Calfs</t>
  </si>
  <si>
    <t>Calfs Machine</t>
  </si>
  <si>
    <t>Bar weight</t>
  </si>
  <si>
    <t>Obs:</t>
  </si>
  <si>
    <t>Got sick this week!</t>
  </si>
  <si>
    <t>Feeling sick!</t>
  </si>
  <si>
    <t>Feeling Ok! Fasting!</t>
  </si>
  <si>
    <t>Total meters January:</t>
  </si>
  <si>
    <t>Total meters December</t>
  </si>
  <si>
    <t>4 - 12 weeks</t>
  </si>
  <si>
    <t>Mod-High</t>
  </si>
  <si>
    <t>From training</t>
  </si>
  <si>
    <t>05-16</t>
  </si>
  <si>
    <t>From:</t>
  </si>
  <si>
    <t>05-09</t>
  </si>
  <si>
    <t>Start leading!</t>
  </si>
  <si>
    <t>February</t>
  </si>
  <si>
    <t>Total meters February</t>
  </si>
  <si>
    <t>Didnt Climb training!</t>
  </si>
  <si>
    <t>Total meters November</t>
  </si>
  <si>
    <t>15'</t>
  </si>
  <si>
    <t>BW</t>
  </si>
  <si>
    <t>Weight less</t>
  </si>
  <si>
    <t>Add weight</t>
  </si>
  <si>
    <t>7''</t>
  </si>
  <si>
    <t>Hang 1 arm hang</t>
  </si>
  <si>
    <t>Day Max</t>
  </si>
  <si>
    <t>T.Max</t>
  </si>
  <si>
    <t>have to check on this…</t>
  </si>
  <si>
    <t>RPE</t>
  </si>
  <si>
    <t>8/10</t>
  </si>
  <si>
    <t>Strengh Intervals &amp; Pw</t>
  </si>
  <si>
    <t>Boulder protocol</t>
  </si>
  <si>
    <t>Power Endurance</t>
  </si>
  <si>
    <t>Routes</t>
  </si>
  <si>
    <t>Quick Redpoint</t>
  </si>
  <si>
    <t>Boulder</t>
  </si>
  <si>
    <t>Volume</t>
  </si>
  <si>
    <t>Route Pyramid</t>
  </si>
  <si>
    <t>AER.Power Protocol</t>
  </si>
  <si>
    <t>ERA. Power Protocol</t>
  </si>
  <si>
    <t>Pyramid</t>
  </si>
  <si>
    <t>R1</t>
  </si>
  <si>
    <t>R2</t>
  </si>
  <si>
    <t>R3</t>
  </si>
  <si>
    <t>R4</t>
  </si>
  <si>
    <t>R5</t>
  </si>
  <si>
    <t>R6</t>
  </si>
  <si>
    <t>R7</t>
  </si>
  <si>
    <t>R8</t>
  </si>
  <si>
    <t>RP: 7b</t>
  </si>
  <si>
    <t>OS: 6c+</t>
  </si>
  <si>
    <t>5c</t>
  </si>
  <si>
    <t>6a+</t>
  </si>
  <si>
    <t>6c</t>
  </si>
  <si>
    <t>7a+</t>
  </si>
  <si>
    <t>7b</t>
  </si>
  <si>
    <t>7a</t>
  </si>
  <si>
    <t>6b+</t>
  </si>
  <si>
    <t>6b</t>
  </si>
  <si>
    <t>Now: Feb 25</t>
  </si>
  <si>
    <t>-1</t>
  </si>
  <si>
    <t>1.5</t>
  </si>
  <si>
    <t>-2</t>
  </si>
  <si>
    <t>max</t>
  </si>
  <si>
    <t>-0.5</t>
  </si>
  <si>
    <t>5a</t>
  </si>
  <si>
    <t>4c</t>
  </si>
  <si>
    <t>5b</t>
  </si>
  <si>
    <t>60'</t>
  </si>
  <si>
    <t>9/10</t>
  </si>
  <si>
    <t>2'</t>
  </si>
  <si>
    <t>6'</t>
  </si>
  <si>
    <t>Lattice training plan assessment:</t>
  </si>
  <si>
    <t>Body Mass:</t>
  </si>
  <si>
    <t>48.9kg</t>
  </si>
  <si>
    <t>Side Split - Isso</t>
  </si>
  <si>
    <t>160cm</t>
  </si>
  <si>
    <t>Pull ups 2rep:</t>
  </si>
  <si>
    <t>12kg</t>
  </si>
  <si>
    <t>Two arm straight hang:</t>
  </si>
  <si>
    <t>44kg</t>
  </si>
  <si>
    <t>Repeaters:</t>
  </si>
  <si>
    <t>+7kg</t>
  </si>
  <si>
    <t>22rep</t>
  </si>
  <si>
    <t>8set.1rep.7''.3'set rest</t>
  </si>
  <si>
    <t>1set.90resp.7''.3''rep rest</t>
  </si>
  <si>
    <t>RPE 10/10</t>
  </si>
  <si>
    <t>Finger boarding and Climbing training</t>
  </si>
  <si>
    <t>1/2 half wooden ball</t>
  </si>
  <si>
    <t>Wide wood pinch</t>
  </si>
  <si>
    <t>Narrow wood pinch</t>
  </si>
  <si>
    <t>Small finger pinch block</t>
  </si>
  <si>
    <t>Shoulder Rot. - Prone</t>
  </si>
  <si>
    <t>60''</t>
  </si>
  <si>
    <t>RM</t>
  </si>
  <si>
    <t>10RM</t>
  </si>
  <si>
    <t>Face Pulls - TRX/Band</t>
  </si>
  <si>
    <t>6/10</t>
  </si>
  <si>
    <t>5RM</t>
  </si>
  <si>
    <t>Arnold Press - Strength</t>
  </si>
  <si>
    <t>Board climb - Max efforts</t>
  </si>
  <si>
    <t>30'</t>
  </si>
  <si>
    <t>10/10</t>
  </si>
  <si>
    <t>Intensity</t>
  </si>
  <si>
    <t>Board climb - Volume</t>
  </si>
  <si>
    <t>Low Row - Strength</t>
  </si>
  <si>
    <t>Bicep Curl</t>
  </si>
  <si>
    <t>Lat pullover - Floor</t>
  </si>
  <si>
    <t>Redpoint - Links</t>
  </si>
  <si>
    <t>Strength &amp; Power</t>
  </si>
  <si>
    <r>
      <rPr>
        <b/>
        <sz val="11"/>
        <color theme="1"/>
        <rFont val="Calibri"/>
        <family val="2"/>
        <scheme val="minor"/>
      </rPr>
      <t>Board Climb</t>
    </r>
    <r>
      <rPr>
        <sz val="11"/>
        <color theme="1"/>
        <rFont val="Calibri"/>
        <family val="2"/>
        <scheme val="minor"/>
      </rPr>
      <t xml:space="preserve"> - Send session</t>
    </r>
  </si>
  <si>
    <r>
      <rPr>
        <b/>
        <sz val="11"/>
        <color theme="1"/>
        <rFont val="Calibri"/>
        <family val="2"/>
        <scheme val="minor"/>
      </rPr>
      <t>Board Climb</t>
    </r>
    <r>
      <rPr>
        <sz val="11"/>
        <color theme="1"/>
        <rFont val="Calibri"/>
        <family val="2"/>
        <scheme val="minor"/>
      </rPr>
      <t xml:space="preserve"> - Volume</t>
    </r>
  </si>
  <si>
    <t>4/10</t>
  </si>
  <si>
    <t>Two Arm Engagement - Lift</t>
  </si>
  <si>
    <t>Two Arm Engagement - ISO</t>
  </si>
  <si>
    <t>Shoulder Press (dumbell)</t>
  </si>
  <si>
    <t>Shoulder Rot. - Seated</t>
  </si>
  <si>
    <t>14RM</t>
  </si>
  <si>
    <t>IYTA Sequence - Prone: 2arms</t>
  </si>
  <si>
    <t>Wide pull ups / Weighted</t>
  </si>
  <si>
    <t>-15</t>
  </si>
  <si>
    <t>Red band</t>
  </si>
  <si>
    <t>AnaCap FB - two arms</t>
  </si>
  <si>
    <t>IYT Sequence - Prone: 2arms</t>
  </si>
  <si>
    <t>3RM</t>
  </si>
  <si>
    <t>Edge Iso Holds</t>
  </si>
  <si>
    <t>F.Board - Power Endurance</t>
  </si>
  <si>
    <t>MS Load (7'') straight</t>
  </si>
  <si>
    <t>Forearms curls - Extensor</t>
  </si>
  <si>
    <t>7RM</t>
  </si>
  <si>
    <t>Forearms curls - Flexor</t>
  </si>
  <si>
    <t>Aerobic Base - Split Continuity</t>
  </si>
  <si>
    <t>Boulder protocol - Streng.&amp;Pw</t>
  </si>
  <si>
    <t>20''</t>
  </si>
  <si>
    <t>AER. Capacity Protocol</t>
  </si>
  <si>
    <t>5/10</t>
  </si>
  <si>
    <t>7/10</t>
  </si>
  <si>
    <t xml:space="preserve">Aerobic Base </t>
  </si>
  <si>
    <t>3 x 4</t>
  </si>
  <si>
    <t>Strength Intervals</t>
  </si>
  <si>
    <t>Aerobic Power Protocol (30-40 Movs)</t>
  </si>
  <si>
    <t>Pull-up + weight</t>
  </si>
  <si>
    <t>+5kg</t>
  </si>
  <si>
    <t>All in One</t>
  </si>
  <si>
    <t>10-13</t>
  </si>
  <si>
    <t>03-30</t>
  </si>
  <si>
    <t>March</t>
  </si>
  <si>
    <t>Total meters March</t>
  </si>
  <si>
    <t>Nov</t>
  </si>
  <si>
    <t>Dec</t>
  </si>
  <si>
    <t>Jan</t>
  </si>
  <si>
    <t>Feb</t>
  </si>
  <si>
    <t>Mar</t>
  </si>
  <si>
    <t>Apr</t>
  </si>
  <si>
    <t>Mai</t>
  </si>
  <si>
    <t>Pyramid 25</t>
  </si>
  <si>
    <r>
      <t>6a-</t>
    </r>
    <r>
      <rPr>
        <b/>
        <sz val="11"/>
        <color theme="1"/>
        <rFont val="Calibri"/>
        <family val="2"/>
        <scheme val="minor"/>
      </rPr>
      <t>6a+</t>
    </r>
  </si>
  <si>
    <r>
      <t>6b-</t>
    </r>
    <r>
      <rPr>
        <b/>
        <sz val="11"/>
        <color theme="1"/>
        <rFont val="Calibri"/>
        <family val="2"/>
        <scheme val="minor"/>
      </rPr>
      <t>6b+</t>
    </r>
  </si>
  <si>
    <r>
      <t>6c-</t>
    </r>
    <r>
      <rPr>
        <b/>
        <sz val="11"/>
        <color theme="1"/>
        <rFont val="Calibri"/>
        <family val="2"/>
        <scheme val="minor"/>
      </rPr>
      <t>6c+</t>
    </r>
  </si>
  <si>
    <r>
      <t>7a-</t>
    </r>
    <r>
      <rPr>
        <b/>
        <sz val="11"/>
        <color theme="1"/>
        <rFont val="Calibri"/>
        <family val="2"/>
        <scheme val="minor"/>
      </rPr>
      <t>7a+</t>
    </r>
  </si>
  <si>
    <r>
      <t>7b-</t>
    </r>
    <r>
      <rPr>
        <b/>
        <sz val="11"/>
        <color theme="1"/>
        <rFont val="Calibri"/>
        <family val="2"/>
        <scheme val="minor"/>
      </rPr>
      <t>7b+</t>
    </r>
  </si>
  <si>
    <t>Moummo, SW</t>
  </si>
  <si>
    <t>Had Colonoscopy</t>
  </si>
  <si>
    <t>1x Base 6a+/1xPw 6b</t>
  </si>
  <si>
    <t>1x Power 6a+/ 1x Fun Power</t>
  </si>
  <si>
    <t>+10pts</t>
  </si>
  <si>
    <t>Points:</t>
  </si>
  <si>
    <t>Points</t>
  </si>
  <si>
    <t>Grades</t>
  </si>
  <si>
    <t>Bonus: +10</t>
  </si>
  <si>
    <t>Total meters January</t>
  </si>
  <si>
    <t>Power 6a+</t>
  </si>
  <si>
    <t>W.U</t>
  </si>
  <si>
    <t>set 1</t>
  </si>
  <si>
    <t>set 2</t>
  </si>
  <si>
    <t>set 3</t>
  </si>
  <si>
    <t>set 4</t>
  </si>
  <si>
    <t>C.D</t>
  </si>
  <si>
    <t>6a</t>
  </si>
  <si>
    <t>15x</t>
  </si>
  <si>
    <t>Base 6a+</t>
  </si>
  <si>
    <t>Power 6b</t>
  </si>
  <si>
    <t>Base 6b</t>
  </si>
  <si>
    <t xml:space="preserve">6a </t>
  </si>
  <si>
    <t>4a</t>
  </si>
  <si>
    <t>1x Power 6b/1xBase 6a+</t>
  </si>
  <si>
    <t>1km</t>
  </si>
  <si>
    <t>R1-2</t>
  </si>
  <si>
    <t>6.9km</t>
  </si>
  <si>
    <t>Leg Press</t>
  </si>
  <si>
    <t>Lat Pulldown-up Bar</t>
  </si>
  <si>
    <t>Rotary Torso</t>
  </si>
  <si>
    <t>Arm curls (Bicipets)</t>
  </si>
  <si>
    <t>48.5kg</t>
  </si>
  <si>
    <t>48.4kg</t>
  </si>
  <si>
    <t>0kg</t>
  </si>
  <si>
    <t>One arm straight hang:</t>
  </si>
  <si>
    <t>Priority:</t>
  </si>
  <si>
    <t>Knee-knee:</t>
  </si>
  <si>
    <t>85cm</t>
  </si>
  <si>
    <t>157cm</t>
  </si>
  <si>
    <t>Hip Adu. N.2 better, its wide</t>
  </si>
  <si>
    <t>Conv.Shoulder Press</t>
  </si>
  <si>
    <t>From 02-25</t>
  </si>
  <si>
    <t>Climbing:</t>
  </si>
  <si>
    <t>RP:</t>
  </si>
  <si>
    <t>Boulder:</t>
  </si>
  <si>
    <t>OS: 6a+/6b</t>
  </si>
  <si>
    <t>Week 1 Plan</t>
  </si>
  <si>
    <t>Rest:</t>
  </si>
  <si>
    <t>C/B:</t>
  </si>
  <si>
    <t>Gym/Power:</t>
  </si>
  <si>
    <t>Tennis:</t>
  </si>
  <si>
    <t>3x</t>
  </si>
  <si>
    <t>Week 2 Plan</t>
  </si>
  <si>
    <t>19rep</t>
  </si>
  <si>
    <t>seconds</t>
  </si>
  <si>
    <t>minutes</t>
  </si>
  <si>
    <t>Combined</t>
  </si>
  <si>
    <t>Boulder fase</t>
  </si>
  <si>
    <t>Neoliet Outside Leading</t>
  </si>
  <si>
    <t>Comb.Points Average:</t>
  </si>
  <si>
    <t>16x</t>
  </si>
  <si>
    <t>4x</t>
  </si>
  <si>
    <t>Project</t>
  </si>
  <si>
    <t>RP</t>
  </si>
  <si>
    <t>8x</t>
  </si>
  <si>
    <t>OS</t>
  </si>
  <si>
    <t>To finish</t>
  </si>
  <si>
    <t>16-8-4-2-1</t>
  </si>
  <si>
    <t>14-18</t>
  </si>
  <si>
    <t>31-04</t>
  </si>
  <si>
    <t>Total meters April</t>
  </si>
  <si>
    <t>Hr:</t>
  </si>
  <si>
    <t>Max.Strengh,Fitn,Specif</t>
  </si>
  <si>
    <t>Gym</t>
  </si>
  <si>
    <t>Resist.</t>
  </si>
  <si>
    <t>Dist.</t>
  </si>
  <si>
    <t>Heel-Heel</t>
  </si>
  <si>
    <t>Exercises calf 2x 2 dif.positions</t>
  </si>
  <si>
    <t>1'-2'</t>
  </si>
  <si>
    <t>8''-10''</t>
  </si>
  <si>
    <t>Reps</t>
  </si>
  <si>
    <t>12-15</t>
  </si>
  <si>
    <t>8-12</t>
  </si>
  <si>
    <t>6-8</t>
  </si>
  <si>
    <t>4-6</t>
  </si>
  <si>
    <t>Calfs Raise</t>
  </si>
  <si>
    <t>With a weight unde the feet</t>
  </si>
  <si>
    <t>bw</t>
  </si>
  <si>
    <t>Calfs Raise with machine</t>
  </si>
  <si>
    <t>Leg Prone/ Leg Curl</t>
  </si>
  <si>
    <t>Week 1 (wed-wed)2-3x/week (42H-72H)</t>
  </si>
  <si>
    <t>Week 2-3 (wed-wed)2-3x/week (42H-72H)</t>
  </si>
  <si>
    <t>3'-5'</t>
  </si>
  <si>
    <t>Date:</t>
  </si>
  <si>
    <t>Week 4-5 (wed-wed)2-3x/week (42H-72H)</t>
  </si>
  <si>
    <t>Week 6-7-8 (wed-wed)2-3x/week (42H-72H)</t>
  </si>
  <si>
    <t>Week 9-10-11-12 (wed-wed)2-3x/week (42H-72H)</t>
  </si>
  <si>
    <t>27-30</t>
  </si>
  <si>
    <t>01-27</t>
  </si>
  <si>
    <t>Got the white blind on the right eye</t>
  </si>
  <si>
    <t>Aquiles</t>
  </si>
  <si>
    <t>Right tennis elbow</t>
  </si>
  <si>
    <t>42,3</t>
  </si>
  <si>
    <t>In Portugal</t>
  </si>
  <si>
    <t>Rehab FisyoHolland (Dyllan)</t>
  </si>
  <si>
    <t>August</t>
  </si>
  <si>
    <t>Here!</t>
  </si>
  <si>
    <t>Surgery</t>
  </si>
  <si>
    <t>12'</t>
  </si>
  <si>
    <t>R1-5</t>
  </si>
  <si>
    <t>4.40km</t>
  </si>
  <si>
    <t>v</t>
  </si>
  <si>
    <t>Leg Extension</t>
  </si>
  <si>
    <t>Leg Press (P3/2)</t>
  </si>
  <si>
    <t>Div. Seated  Row</t>
  </si>
  <si>
    <t>N.º Mov. Avg:</t>
  </si>
  <si>
    <t>Total meters October</t>
  </si>
  <si>
    <t>Work</t>
  </si>
  <si>
    <t>WC Tennis</t>
  </si>
  <si>
    <t>Week 00</t>
  </si>
  <si>
    <t>Climbing</t>
  </si>
  <si>
    <t>Restarted the Fisio Treatement Here, Againt!</t>
  </si>
  <si>
    <t>29th August!</t>
  </si>
  <si>
    <t>From 11-25</t>
  </si>
  <si>
    <t>42-44</t>
  </si>
  <si>
    <t>13-31</t>
  </si>
  <si>
    <t>14th October have the last eye appointment.</t>
  </si>
  <si>
    <t>Going back to normal.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</si>
</sst>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hh:mm:ss;@"/>
    <numFmt numFmtId="166" formatCode="0.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u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sz val="8"/>
      <color indexed="81"/>
      <name val="Tahoma"/>
      <family val="2"/>
    </font>
    <font>
      <b/>
      <sz val="11"/>
      <color theme="7" tint="-0.249977111117893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F93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/>
      <right/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Dashed">
        <color indexed="64"/>
      </top>
      <bottom style="mediumDashed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79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16" fontId="0" fillId="0" borderId="0" xfId="0" applyNumberFormat="1" applyAlignment="1">
      <alignment horizontal="left"/>
    </xf>
    <xf numFmtId="1" fontId="0" fillId="0" borderId="0" xfId="0" applyNumberFormat="1"/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5" fillId="4" borderId="0" xfId="0" applyFont="1" applyFill="1"/>
    <xf numFmtId="0" fontId="5" fillId="5" borderId="0" xfId="0" applyFont="1" applyFill="1"/>
    <xf numFmtId="0" fontId="5" fillId="6" borderId="0" xfId="0" applyFont="1" applyFill="1"/>
    <xf numFmtId="0" fontId="5" fillId="7" borderId="0" xfId="0" applyFont="1" applyFill="1"/>
    <xf numFmtId="0" fontId="5" fillId="8" borderId="0" xfId="0" applyFont="1" applyFill="1"/>
    <xf numFmtId="0" fontId="5" fillId="0" borderId="0" xfId="0" applyFont="1"/>
    <xf numFmtId="0" fontId="0" fillId="9" borderId="0" xfId="0" applyFill="1"/>
    <xf numFmtId="16" fontId="0" fillId="10" borderId="0" xfId="0" applyNumberFormat="1" applyFill="1"/>
    <xf numFmtId="16" fontId="0" fillId="0" borderId="0" xfId="0" applyNumberForma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7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1" xfId="0" applyBorder="1"/>
    <xf numFmtId="0" fontId="0" fillId="0" borderId="18" xfId="0" applyBorder="1"/>
    <xf numFmtId="0" fontId="0" fillId="0" borderId="21" xfId="0" applyBorder="1"/>
    <xf numFmtId="0" fontId="0" fillId="0" borderId="1" xfId="0" applyBorder="1" applyAlignment="1">
      <alignment horizontal="right"/>
    </xf>
    <xf numFmtId="20" fontId="6" fillId="0" borderId="1" xfId="0" applyNumberFormat="1" applyFont="1" applyBorder="1" applyAlignment="1">
      <alignment horizontal="right" wrapText="1"/>
    </xf>
    <xf numFmtId="20" fontId="0" fillId="0" borderId="1" xfId="0" applyNumberFormat="1" applyBorder="1"/>
    <xf numFmtId="1" fontId="6" fillId="0" borderId="1" xfId="0" applyNumberFormat="1" applyFont="1" applyBorder="1" applyAlignment="1">
      <alignment horizontal="right" wrapText="1"/>
    </xf>
    <xf numFmtId="0" fontId="0" fillId="0" borderId="13" xfId="0" applyBorder="1" applyAlignment="1">
      <alignment horizontal="right"/>
    </xf>
    <xf numFmtId="0" fontId="0" fillId="0" borderId="14" xfId="0" applyBorder="1"/>
    <xf numFmtId="0" fontId="0" fillId="0" borderId="15" xfId="0" applyBorder="1"/>
    <xf numFmtId="0" fontId="0" fillId="0" borderId="22" xfId="0" applyBorder="1" applyAlignment="1">
      <alignment horizontal="right"/>
    </xf>
    <xf numFmtId="164" fontId="0" fillId="0" borderId="23" xfId="0" applyNumberFormat="1" applyBorder="1"/>
    <xf numFmtId="0" fontId="0" fillId="0" borderId="23" xfId="0" applyBorder="1"/>
    <xf numFmtId="0" fontId="0" fillId="0" borderId="16" xfId="0" applyBorder="1" applyAlignment="1">
      <alignment horizontal="right"/>
    </xf>
    <xf numFmtId="0" fontId="0" fillId="0" borderId="17" xfId="0" applyBorder="1"/>
    <xf numFmtId="0" fontId="1" fillId="0" borderId="10" xfId="0" applyFont="1" applyBorder="1" applyAlignment="1">
      <alignment horizontal="right"/>
    </xf>
    <xf numFmtId="0" fontId="1" fillId="0" borderId="1" xfId="0" applyFont="1" applyBorder="1"/>
    <xf numFmtId="0" fontId="0" fillId="0" borderId="26" xfId="0" applyBorder="1" applyAlignment="1">
      <alignment horizontal="center"/>
    </xf>
    <xf numFmtId="0" fontId="0" fillId="13" borderId="0" xfId="0" applyFill="1"/>
    <xf numFmtId="0" fontId="1" fillId="0" borderId="27" xfId="0" applyFont="1" applyBorder="1"/>
    <xf numFmtId="0" fontId="0" fillId="0" borderId="11" xfId="0" applyBorder="1" applyAlignment="1">
      <alignment horizontal="right"/>
    </xf>
    <xf numFmtId="0" fontId="0" fillId="0" borderId="26" xfId="0" applyBorder="1"/>
    <xf numFmtId="0" fontId="0" fillId="0" borderId="17" xfId="0" applyBorder="1" applyAlignment="1">
      <alignment horizontal="right"/>
    </xf>
    <xf numFmtId="0" fontId="0" fillId="0" borderId="26" xfId="0" applyBorder="1" applyAlignment="1">
      <alignment horizontal="right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1" fillId="0" borderId="26" xfId="0" applyFont="1" applyBorder="1"/>
    <xf numFmtId="0" fontId="0" fillId="0" borderId="31" xfId="0" applyBorder="1"/>
    <xf numFmtId="0" fontId="0" fillId="0" borderId="32" xfId="0" applyBorder="1"/>
    <xf numFmtId="0" fontId="1" fillId="0" borderId="8" xfId="0" applyFont="1" applyBorder="1" applyAlignment="1">
      <alignment horizontal="right"/>
    </xf>
    <xf numFmtId="0" fontId="0" fillId="0" borderId="33" xfId="0" applyBorder="1"/>
    <xf numFmtId="0" fontId="0" fillId="0" borderId="29" xfId="0" applyBorder="1"/>
    <xf numFmtId="0" fontId="4" fillId="0" borderId="28" xfId="0" applyFont="1" applyBorder="1" applyAlignment="1">
      <alignment horizontal="right"/>
    </xf>
    <xf numFmtId="0" fontId="5" fillId="15" borderId="0" xfId="0" applyFont="1" applyFill="1"/>
    <xf numFmtId="0" fontId="0" fillId="0" borderId="34" xfId="0" applyBorder="1"/>
    <xf numFmtId="0" fontId="0" fillId="0" borderId="35" xfId="0" applyBorder="1"/>
    <xf numFmtId="0" fontId="0" fillId="0" borderId="36" xfId="0" applyBorder="1"/>
    <xf numFmtId="16" fontId="0" fillId="0" borderId="36" xfId="0" quotePrefix="1" applyNumberFormat="1" applyBorder="1"/>
    <xf numFmtId="0" fontId="0" fillId="0" borderId="27" xfId="0" applyBorder="1" applyAlignment="1">
      <alignment horizontal="right"/>
    </xf>
    <xf numFmtId="0" fontId="0" fillId="0" borderId="37" xfId="0" applyBorder="1"/>
    <xf numFmtId="0" fontId="0" fillId="0" borderId="38" xfId="0" applyBorder="1"/>
    <xf numFmtId="0" fontId="0" fillId="0" borderId="27" xfId="0" applyBorder="1"/>
    <xf numFmtId="0" fontId="0" fillId="16" borderId="0" xfId="0" applyFill="1"/>
    <xf numFmtId="0" fontId="0" fillId="16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9" xfId="0" applyBorder="1" applyAlignment="1">
      <alignment horizontal="left"/>
    </xf>
    <xf numFmtId="16" fontId="0" fillId="0" borderId="40" xfId="0" applyNumberFormat="1" applyBorder="1" applyAlignment="1">
      <alignment horizontal="left"/>
    </xf>
    <xf numFmtId="0" fontId="0" fillId="0" borderId="25" xfId="0" applyBorder="1"/>
    <xf numFmtId="0" fontId="0" fillId="0" borderId="41" xfId="0" applyBorder="1" applyAlignment="1">
      <alignment horizontal="center"/>
    </xf>
    <xf numFmtId="0" fontId="1" fillId="16" borderId="24" xfId="0" applyFont="1" applyFill="1" applyBorder="1"/>
    <xf numFmtId="16" fontId="0" fillId="16" borderId="41" xfId="0" applyNumberFormat="1" applyFill="1" applyBorder="1" applyAlignment="1">
      <alignment horizontal="left"/>
    </xf>
    <xf numFmtId="0" fontId="1" fillId="0" borderId="42" xfId="0" applyFont="1" applyBorder="1" applyAlignment="1">
      <alignment horizontal="left"/>
    </xf>
    <xf numFmtId="20" fontId="0" fillId="0" borderId="33" xfId="0" applyNumberFormat="1" applyBorder="1"/>
    <xf numFmtId="20" fontId="0" fillId="0" borderId="29" xfId="0" applyNumberFormat="1" applyBorder="1"/>
    <xf numFmtId="0" fontId="1" fillId="0" borderId="27" xfId="0" applyFont="1" applyBorder="1" applyAlignment="1">
      <alignment horizontal="right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45" xfId="0" applyBorder="1"/>
    <xf numFmtId="0" fontId="0" fillId="0" borderId="46" xfId="0" applyBorder="1"/>
    <xf numFmtId="0" fontId="9" fillId="0" borderId="44" xfId="0" applyFont="1" applyBorder="1" applyAlignment="1">
      <alignment horizontal="center"/>
    </xf>
    <xf numFmtId="0" fontId="0" fillId="0" borderId="20" xfId="0" applyBorder="1" applyAlignment="1">
      <alignment horizontal="right"/>
    </xf>
    <xf numFmtId="0" fontId="0" fillId="0" borderId="20" xfId="0" applyBorder="1"/>
    <xf numFmtId="0" fontId="0" fillId="17" borderId="47" xfId="0" applyFill="1" applyBorder="1"/>
    <xf numFmtId="0" fontId="0" fillId="17" borderId="48" xfId="0" applyFill="1" applyBorder="1" applyAlignment="1">
      <alignment horizontal="right"/>
    </xf>
    <xf numFmtId="0" fontId="1" fillId="17" borderId="15" xfId="0" applyFont="1" applyFill="1" applyBorder="1"/>
    <xf numFmtId="0" fontId="1" fillId="17" borderId="49" xfId="0" applyFont="1" applyFill="1" applyBorder="1"/>
    <xf numFmtId="0" fontId="1" fillId="17" borderId="50" xfId="0" applyFont="1" applyFill="1" applyBorder="1"/>
    <xf numFmtId="0" fontId="0" fillId="0" borderId="21" xfId="0" applyBorder="1" applyAlignment="1">
      <alignment horizontal="center"/>
    </xf>
    <xf numFmtId="20" fontId="0" fillId="0" borderId="15" xfId="0" applyNumberFormat="1" applyBorder="1"/>
    <xf numFmtId="0" fontId="0" fillId="15" borderId="0" xfId="0" applyFill="1"/>
    <xf numFmtId="165" fontId="0" fillId="0" borderId="29" xfId="0" applyNumberFormat="1" applyBorder="1"/>
    <xf numFmtId="0" fontId="0" fillId="12" borderId="0" xfId="0" applyFill="1"/>
    <xf numFmtId="0" fontId="0" fillId="3" borderId="0" xfId="0" quotePrefix="1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0" fillId="18" borderId="1" xfId="0" applyFill="1" applyBorder="1"/>
    <xf numFmtId="0" fontId="4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6" fontId="0" fillId="0" borderId="0" xfId="0" applyNumberFormat="1"/>
    <xf numFmtId="0" fontId="0" fillId="18" borderId="0" xfId="0" applyFill="1"/>
    <xf numFmtId="16" fontId="9" fillId="0" borderId="1" xfId="0" quotePrefix="1" applyNumberFormat="1" applyFont="1" applyBorder="1" applyAlignment="1">
      <alignment horizontal="center"/>
    </xf>
    <xf numFmtId="0" fontId="0" fillId="19" borderId="0" xfId="0" applyFill="1"/>
    <xf numFmtId="0" fontId="0" fillId="0" borderId="1" xfId="0" quotePrefix="1" applyBorder="1" applyAlignment="1">
      <alignment horizontal="center"/>
    </xf>
    <xf numFmtId="0" fontId="1" fillId="0" borderId="16" xfId="0" applyFont="1" applyBorder="1" applyAlignment="1">
      <alignment horizontal="right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19" borderId="17" xfId="0" applyFill="1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44" xfId="0" applyBorder="1" applyAlignment="1">
      <alignment horizontal="right"/>
    </xf>
    <xf numFmtId="0" fontId="1" fillId="19" borderId="27" xfId="0" applyFont="1" applyFill="1" applyBorder="1"/>
    <xf numFmtId="0" fontId="0" fillId="19" borderId="43" xfId="0" applyFill="1" applyBorder="1" applyAlignment="1">
      <alignment horizontal="center"/>
    </xf>
    <xf numFmtId="0" fontId="0" fillId="19" borderId="43" xfId="0" applyFill="1" applyBorder="1"/>
    <xf numFmtId="17" fontId="0" fillId="19" borderId="38" xfId="0" applyNumberFormat="1" applyFill="1" applyBorder="1"/>
    <xf numFmtId="0" fontId="0" fillId="21" borderId="0" xfId="0" applyFill="1"/>
    <xf numFmtId="0" fontId="0" fillId="21" borderId="1" xfId="0" applyFill="1" applyBorder="1" applyAlignment="1">
      <alignment horizontal="center"/>
    </xf>
    <xf numFmtId="0" fontId="0" fillId="21" borderId="1" xfId="0" applyFill="1" applyBorder="1"/>
    <xf numFmtId="0" fontId="0" fillId="19" borderId="39" xfId="0" applyFill="1" applyBorder="1"/>
    <xf numFmtId="0" fontId="0" fillId="2" borderId="14" xfId="0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0" fillId="0" borderId="53" xfId="0" applyBorder="1"/>
    <xf numFmtId="0" fontId="0" fillId="0" borderId="55" xfId="0" applyBorder="1"/>
    <xf numFmtId="0" fontId="0" fillId="0" borderId="17" xfId="0" quotePrefix="1" applyBorder="1" applyAlignment="1">
      <alignment horizontal="center"/>
    </xf>
    <xf numFmtId="9" fontId="0" fillId="0" borderId="17" xfId="0" applyNumberFormat="1" applyBorder="1" applyAlignment="1">
      <alignment horizontal="center"/>
    </xf>
    <xf numFmtId="16" fontId="9" fillId="0" borderId="17" xfId="0" quotePrefix="1" applyNumberFormat="1" applyFont="1" applyBorder="1" applyAlignment="1">
      <alignment horizontal="center"/>
    </xf>
    <xf numFmtId="0" fontId="0" fillId="21" borderId="1" xfId="0" quotePrefix="1" applyFill="1" applyBorder="1"/>
    <xf numFmtId="0" fontId="1" fillId="0" borderId="56" xfId="0" applyFont="1" applyBorder="1" applyAlignment="1">
      <alignment horizontal="right"/>
    </xf>
    <xf numFmtId="0" fontId="0" fillId="19" borderId="26" xfId="0" applyFill="1" applyBorder="1" applyAlignment="1">
      <alignment horizontal="center"/>
    </xf>
    <xf numFmtId="0" fontId="0" fillId="0" borderId="49" xfId="0" applyBorder="1" applyAlignment="1">
      <alignment horizontal="center"/>
    </xf>
    <xf numFmtId="0" fontId="0" fillId="19" borderId="24" xfId="0" applyFill="1" applyBorder="1"/>
    <xf numFmtId="0" fontId="0" fillId="0" borderId="22" xfId="0" applyBorder="1"/>
    <xf numFmtId="0" fontId="0" fillId="0" borderId="16" xfId="0" applyBorder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8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55" xfId="0" applyBorder="1" applyAlignment="1">
      <alignment horizontal="right"/>
    </xf>
    <xf numFmtId="0" fontId="0" fillId="0" borderId="42" xfId="0" applyBorder="1"/>
    <xf numFmtId="0" fontId="0" fillId="0" borderId="25" xfId="0" applyBorder="1" applyAlignment="1">
      <alignment horizontal="right"/>
    </xf>
    <xf numFmtId="0" fontId="0" fillId="0" borderId="59" xfId="0" applyBorder="1"/>
    <xf numFmtId="0" fontId="11" fillId="0" borderId="28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20" borderId="2" xfId="0" applyFont="1" applyFill="1" applyBorder="1" applyAlignment="1">
      <alignment horizontal="left" indent="4"/>
    </xf>
    <xf numFmtId="0" fontId="1" fillId="20" borderId="3" xfId="0" applyFont="1" applyFill="1" applyBorder="1" applyAlignment="1">
      <alignment horizontal="left" indent="4"/>
    </xf>
    <xf numFmtId="0" fontId="1" fillId="20" borderId="4" xfId="0" applyFont="1" applyFill="1" applyBorder="1" applyAlignment="1">
      <alignment horizontal="left" indent="4"/>
    </xf>
    <xf numFmtId="0" fontId="0" fillId="21" borderId="0" xfId="0" applyFill="1" applyAlignment="1">
      <alignment horizontal="center"/>
    </xf>
    <xf numFmtId="0" fontId="0" fillId="19" borderId="51" xfId="0" applyFill="1" applyBorder="1" applyAlignment="1">
      <alignment horizontal="center"/>
    </xf>
    <xf numFmtId="0" fontId="0" fillId="19" borderId="52" xfId="0" applyFill="1" applyBorder="1" applyAlignment="1">
      <alignment horizontal="center"/>
    </xf>
    <xf numFmtId="0" fontId="0" fillId="19" borderId="54" xfId="0" applyFill="1" applyBorder="1" applyAlignment="1">
      <alignment horizontal="center"/>
    </xf>
    <xf numFmtId="0" fontId="0" fillId="0" borderId="41" xfId="0" applyBorder="1"/>
    <xf numFmtId="0" fontId="0" fillId="0" borderId="2" xfId="0" applyBorder="1" applyAlignment="1">
      <alignment horizontal="right"/>
    </xf>
    <xf numFmtId="0" fontId="0" fillId="0" borderId="13" xfId="0" applyBorder="1"/>
    <xf numFmtId="0" fontId="0" fillId="0" borderId="5" xfId="0" applyBorder="1" applyAlignment="1">
      <alignment horizontal="right"/>
    </xf>
    <xf numFmtId="0" fontId="1" fillId="22" borderId="44" xfId="0" applyFont="1" applyFill="1" applyBorder="1"/>
    <xf numFmtId="0" fontId="1" fillId="2" borderId="44" xfId="0" applyFont="1" applyFill="1" applyBorder="1"/>
    <xf numFmtId="0" fontId="0" fillId="17" borderId="0" xfId="0" applyFill="1"/>
    <xf numFmtId="0" fontId="8" fillId="23" borderId="0" xfId="0" applyFont="1" applyFill="1"/>
    <xf numFmtId="0" fontId="4" fillId="0" borderId="0" xfId="0" applyFont="1"/>
    <xf numFmtId="16" fontId="4" fillId="0" borderId="13" xfId="0" applyNumberFormat="1" applyFont="1" applyBorder="1"/>
    <xf numFmtId="16" fontId="4" fillId="0" borderId="14" xfId="0" applyNumberFormat="1" applyFont="1" applyBorder="1"/>
    <xf numFmtId="16" fontId="4" fillId="0" borderId="13" xfId="0" applyNumberFormat="1" applyFont="1" applyBorder="1" applyAlignment="1">
      <alignment horizontal="center"/>
    </xf>
    <xf numFmtId="16" fontId="4" fillId="0" borderId="14" xfId="0" applyNumberFormat="1" applyFont="1" applyBorder="1" applyAlignment="1">
      <alignment horizontal="center"/>
    </xf>
    <xf numFmtId="16" fontId="9" fillId="0" borderId="14" xfId="0" applyNumberFormat="1" applyFont="1" applyBorder="1" applyAlignment="1">
      <alignment horizontal="center"/>
    </xf>
    <xf numFmtId="16" fontId="9" fillId="0" borderId="15" xfId="0" applyNumberFormat="1" applyFont="1" applyBorder="1" applyAlignment="1">
      <alignment horizontal="center"/>
    </xf>
    <xf numFmtId="16" fontId="4" fillId="0" borderId="16" xfId="0" applyNumberFormat="1" applyFont="1" applyBorder="1" applyAlignment="1">
      <alignment horizontal="center"/>
    </xf>
    <xf numFmtId="0" fontId="0" fillId="0" borderId="62" xfId="0" applyBorder="1"/>
    <xf numFmtId="0" fontId="0" fillId="0" borderId="63" xfId="0" applyBorder="1"/>
    <xf numFmtId="0" fontId="0" fillId="0" borderId="30" xfId="0" applyBorder="1"/>
    <xf numFmtId="0" fontId="0" fillId="0" borderId="65" xfId="0" applyBorder="1" applyAlignment="1">
      <alignment horizontal="center"/>
    </xf>
    <xf numFmtId="16" fontId="4" fillId="0" borderId="17" xfId="0" applyNumberFormat="1" applyFont="1" applyBorder="1" applyAlignment="1">
      <alignment horizontal="center"/>
    </xf>
    <xf numFmtId="16" fontId="9" fillId="0" borderId="17" xfId="0" applyNumberFormat="1" applyFont="1" applyBorder="1" applyAlignment="1">
      <alignment horizontal="center"/>
    </xf>
    <xf numFmtId="0" fontId="12" fillId="0" borderId="66" xfId="0" applyFont="1" applyBorder="1" applyAlignment="1">
      <alignment horizontal="right"/>
    </xf>
    <xf numFmtId="0" fontId="0" fillId="0" borderId="67" xfId="0" applyBorder="1"/>
    <xf numFmtId="0" fontId="0" fillId="0" borderId="0" xfId="0" quotePrefix="1"/>
    <xf numFmtId="0" fontId="0" fillId="0" borderId="68" xfId="0" applyBorder="1"/>
    <xf numFmtId="0" fontId="0" fillId="0" borderId="60" xfId="0" applyBorder="1"/>
    <xf numFmtId="0" fontId="0" fillId="0" borderId="64" xfId="0" applyBorder="1"/>
    <xf numFmtId="0" fontId="0" fillId="16" borderId="30" xfId="0" applyFill="1" applyBorder="1"/>
    <xf numFmtId="0" fontId="0" fillId="16" borderId="31" xfId="0" applyFill="1" applyBorder="1"/>
    <xf numFmtId="0" fontId="0" fillId="16" borderId="32" xfId="0" applyFill="1" applyBorder="1"/>
    <xf numFmtId="0" fontId="0" fillId="16" borderId="24" xfId="0" applyFill="1" applyBorder="1" applyAlignment="1">
      <alignment horizontal="center"/>
    </xf>
    <xf numFmtId="0" fontId="0" fillId="16" borderId="13" xfId="0" applyFill="1" applyBorder="1" applyAlignment="1">
      <alignment horizontal="right"/>
    </xf>
    <xf numFmtId="0" fontId="0" fillId="16" borderId="22" xfId="0" applyFill="1" applyBorder="1" applyAlignment="1">
      <alignment horizontal="right"/>
    </xf>
    <xf numFmtId="0" fontId="0" fillId="16" borderId="16" xfId="0" applyFill="1" applyBorder="1" applyAlignment="1">
      <alignment horizontal="right"/>
    </xf>
    <xf numFmtId="0" fontId="0" fillId="0" borderId="44" xfId="0" applyBorder="1" applyAlignment="1">
      <alignment horizontal="center"/>
    </xf>
    <xf numFmtId="16" fontId="0" fillId="23" borderId="14" xfId="0" applyNumberFormat="1" applyFill="1" applyBorder="1"/>
    <xf numFmtId="0" fontId="0" fillId="0" borderId="43" xfId="0" applyBorder="1"/>
    <xf numFmtId="0" fontId="1" fillId="0" borderId="5" xfId="0" applyFont="1" applyBorder="1"/>
    <xf numFmtId="0" fontId="0" fillId="0" borderId="6" xfId="0" applyBorder="1" applyAlignment="1">
      <alignment horizontal="right"/>
    </xf>
    <xf numFmtId="0" fontId="0" fillId="24" borderId="0" xfId="0" applyFill="1"/>
    <xf numFmtId="0" fontId="0" fillId="24" borderId="9" xfId="0" applyFill="1" applyBorder="1"/>
    <xf numFmtId="0" fontId="0" fillId="24" borderId="11" xfId="0" applyFill="1" applyBorder="1"/>
    <xf numFmtId="0" fontId="0" fillId="24" borderId="12" xfId="0" applyFill="1" applyBorder="1"/>
    <xf numFmtId="0" fontId="12" fillId="0" borderId="40" xfId="0" applyFont="1" applyBorder="1" applyAlignment="1">
      <alignment horizontal="right"/>
    </xf>
    <xf numFmtId="0" fontId="0" fillId="0" borderId="69" xfId="0" applyBorder="1"/>
    <xf numFmtId="16" fontId="4" fillId="0" borderId="17" xfId="0" applyNumberFormat="1" applyFont="1" applyBorder="1"/>
    <xf numFmtId="0" fontId="1" fillId="16" borderId="54" xfId="0" applyFont="1" applyFill="1" applyBorder="1"/>
    <xf numFmtId="1" fontId="1" fillId="16" borderId="50" xfId="0" applyNumberFormat="1" applyFont="1" applyFill="1" applyBorder="1"/>
    <xf numFmtId="0" fontId="0" fillId="25" borderId="0" xfId="0" applyFill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9" fontId="5" fillId="0" borderId="5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1" fillId="19" borderId="43" xfId="0" applyFont="1" applyFill="1" applyBorder="1"/>
    <xf numFmtId="0" fontId="0" fillId="14" borderId="0" xfId="0" applyFill="1"/>
    <xf numFmtId="0" fontId="0" fillId="22" borderId="0" xfId="0" applyFill="1"/>
    <xf numFmtId="0" fontId="0" fillId="25" borderId="0" xfId="0" applyFill="1" applyAlignment="1">
      <alignment horizontal="center"/>
    </xf>
    <xf numFmtId="0" fontId="0" fillId="25" borderId="70" xfId="0" applyFill="1" applyBorder="1" applyAlignment="1">
      <alignment horizontal="right"/>
    </xf>
    <xf numFmtId="9" fontId="0" fillId="25" borderId="0" xfId="0" applyNumberFormat="1" applyFill="1" applyAlignment="1">
      <alignment horizontal="center"/>
    </xf>
    <xf numFmtId="20" fontId="0" fillId="0" borderId="0" xfId="0" applyNumberFormat="1"/>
    <xf numFmtId="0" fontId="4" fillId="0" borderId="17" xfId="0" applyFont="1" applyBorder="1"/>
    <xf numFmtId="0" fontId="8" fillId="0" borderId="20" xfId="0" applyFont="1" applyBorder="1" applyAlignment="1">
      <alignment horizontal="center"/>
    </xf>
    <xf numFmtId="0" fontId="0" fillId="0" borderId="8" xfId="0" quotePrefix="1" applyBorder="1"/>
    <xf numFmtId="0" fontId="4" fillId="0" borderId="2" xfId="0" applyFont="1" applyBorder="1" applyAlignment="1">
      <alignment horizontal="center"/>
    </xf>
    <xf numFmtId="0" fontId="17" fillId="0" borderId="3" xfId="0" applyFont="1" applyBorder="1"/>
    <xf numFmtId="2" fontId="0" fillId="0" borderId="3" xfId="0" applyNumberFormat="1" applyBorder="1"/>
    <xf numFmtId="0" fontId="18" fillId="0" borderId="0" xfId="0" applyFont="1"/>
    <xf numFmtId="16" fontId="4" fillId="0" borderId="15" xfId="0" applyNumberFormat="1" applyFont="1" applyBorder="1"/>
    <xf numFmtId="0" fontId="0" fillId="0" borderId="0" xfId="0" applyAlignment="1">
      <alignment horizontal="right"/>
    </xf>
    <xf numFmtId="16" fontId="4" fillId="27" borderId="14" xfId="0" applyNumberFormat="1" applyFont="1" applyFill="1" applyBorder="1"/>
    <xf numFmtId="16" fontId="0" fillId="27" borderId="14" xfId="0" applyNumberFormat="1" applyFill="1" applyBorder="1"/>
    <xf numFmtId="16" fontId="4" fillId="27" borderId="15" xfId="0" applyNumberFormat="1" applyFont="1" applyFill="1" applyBorder="1"/>
    <xf numFmtId="0" fontId="1" fillId="17" borderId="62" xfId="0" applyFont="1" applyFill="1" applyBorder="1"/>
    <xf numFmtId="0" fontId="1" fillId="17" borderId="10" xfId="0" applyFont="1" applyFill="1" applyBorder="1"/>
    <xf numFmtId="0" fontId="1" fillId="17" borderId="71" xfId="0" applyFont="1" applyFill="1" applyBorder="1"/>
    <xf numFmtId="164" fontId="0" fillId="0" borderId="30" xfId="0" applyNumberFormat="1" applyBorder="1"/>
    <xf numFmtId="164" fontId="0" fillId="0" borderId="31" xfId="0" applyNumberFormat="1" applyBorder="1"/>
    <xf numFmtId="164" fontId="0" fillId="0" borderId="32" xfId="0" applyNumberFormat="1" applyBorder="1"/>
    <xf numFmtId="0" fontId="0" fillId="2" borderId="1" xfId="0" applyFill="1" applyBorder="1"/>
    <xf numFmtId="16" fontId="9" fillId="0" borderId="18" xfId="0" applyNumberFormat="1" applyFont="1" applyBorder="1" applyAlignment="1">
      <alignment horizontal="center"/>
    </xf>
    <xf numFmtId="16" fontId="4" fillId="0" borderId="16" xfId="0" applyNumberFormat="1" applyFont="1" applyBorder="1"/>
    <xf numFmtId="0" fontId="0" fillId="11" borderId="20" xfId="0" applyFill="1" applyBorder="1" applyAlignment="1">
      <alignment horizontal="center"/>
    </xf>
    <xf numFmtId="0" fontId="0" fillId="16" borderId="1" xfId="0" applyFill="1" applyBorder="1"/>
    <xf numFmtId="0" fontId="0" fillId="16" borderId="1" xfId="0" applyFill="1" applyBorder="1" applyAlignment="1">
      <alignment horizontal="center"/>
    </xf>
    <xf numFmtId="17" fontId="0" fillId="0" borderId="1" xfId="0" quotePrefix="1" applyNumberFormat="1" applyBorder="1"/>
    <xf numFmtId="9" fontId="0" fillId="0" borderId="1" xfId="0" applyNumberFormat="1" applyBorder="1"/>
    <xf numFmtId="16" fontId="0" fillId="0" borderId="1" xfId="0" quotePrefix="1" applyNumberFormat="1" applyBorder="1" applyAlignment="1">
      <alignment horizontal="right"/>
    </xf>
    <xf numFmtId="0" fontId="0" fillId="0" borderId="1" xfId="0" quotePrefix="1" applyBorder="1"/>
    <xf numFmtId="16" fontId="0" fillId="0" borderId="1" xfId="0" quotePrefix="1" applyNumberFormat="1" applyBorder="1"/>
    <xf numFmtId="0" fontId="0" fillId="0" borderId="1" xfId="0" quotePrefix="1" applyBorder="1" applyAlignment="1">
      <alignment horizontal="right"/>
    </xf>
    <xf numFmtId="0" fontId="0" fillId="29" borderId="1" xfId="0" quotePrefix="1" applyFill="1" applyBorder="1"/>
    <xf numFmtId="9" fontId="0" fillId="29" borderId="1" xfId="0" applyNumberFormat="1" applyFill="1" applyBorder="1"/>
    <xf numFmtId="0" fontId="0" fillId="29" borderId="1" xfId="0" quotePrefix="1" applyFill="1" applyBorder="1" applyAlignment="1">
      <alignment horizontal="right"/>
    </xf>
    <xf numFmtId="0" fontId="0" fillId="2" borderId="1" xfId="0" quotePrefix="1" applyFill="1" applyBorder="1"/>
    <xf numFmtId="9" fontId="0" fillId="2" borderId="1" xfId="0" applyNumberFormat="1" applyFill="1" applyBorder="1"/>
    <xf numFmtId="0" fontId="0" fillId="2" borderId="1" xfId="0" quotePrefix="1" applyFill="1" applyBorder="1" applyAlignment="1">
      <alignment horizontal="right"/>
    </xf>
    <xf numFmtId="0" fontId="0" fillId="6" borderId="1" xfId="0" quotePrefix="1" applyFill="1" applyBorder="1"/>
    <xf numFmtId="9" fontId="0" fillId="6" borderId="1" xfId="0" applyNumberFormat="1" applyFill="1" applyBorder="1"/>
    <xf numFmtId="0" fontId="0" fillId="6" borderId="1" xfId="0" quotePrefix="1" applyFill="1" applyBorder="1" applyAlignment="1">
      <alignment horizontal="right"/>
    </xf>
    <xf numFmtId="0" fontId="1" fillId="16" borderId="0" xfId="0" applyFont="1" applyFill="1"/>
    <xf numFmtId="0" fontId="9" fillId="0" borderId="0" xfId="0" applyFont="1" applyAlignment="1">
      <alignment horizontal="center"/>
    </xf>
    <xf numFmtId="0" fontId="0" fillId="13" borderId="35" xfId="0" applyFill="1" applyBorder="1"/>
    <xf numFmtId="0" fontId="0" fillId="13" borderId="36" xfId="0" applyFill="1" applyBorder="1"/>
    <xf numFmtId="0" fontId="0" fillId="13" borderId="72" xfId="0" applyFill="1" applyBorder="1"/>
    <xf numFmtId="17" fontId="1" fillId="13" borderId="0" xfId="0" applyNumberFormat="1" applyFont="1" applyFill="1" applyAlignment="1">
      <alignment horizontal="center" vertical="center"/>
    </xf>
    <xf numFmtId="16" fontId="0" fillId="0" borderId="19" xfId="0" applyNumberFormat="1" applyBorder="1"/>
    <xf numFmtId="16" fontId="1" fillId="0" borderId="19" xfId="0" applyNumberFormat="1" applyFont="1" applyBorder="1"/>
    <xf numFmtId="16" fontId="0" fillId="0" borderId="20" xfId="0" applyNumberFormat="1" applyBorder="1"/>
    <xf numFmtId="16" fontId="1" fillId="0" borderId="13" xfId="0" applyNumberFormat="1" applyFont="1" applyBorder="1" applyAlignment="1">
      <alignment horizontal="center"/>
    </xf>
    <xf numFmtId="16" fontId="1" fillId="0" borderId="14" xfId="0" applyNumberFormat="1" applyFont="1" applyBorder="1" applyAlignment="1">
      <alignment horizontal="center"/>
    </xf>
    <xf numFmtId="16" fontId="0" fillId="0" borderId="14" xfId="0" applyNumberFormat="1" applyBorder="1" applyAlignment="1">
      <alignment horizontal="center"/>
    </xf>
    <xf numFmtId="16" fontId="0" fillId="0" borderId="15" xfId="0" applyNumberFormat="1" applyBorder="1" applyAlignment="1">
      <alignment horizontal="center"/>
    </xf>
    <xf numFmtId="16" fontId="4" fillId="16" borderId="41" xfId="0" applyNumberFormat="1" applyFont="1" applyFill="1" applyBorder="1" applyAlignment="1">
      <alignment horizontal="left"/>
    </xf>
    <xf numFmtId="0" fontId="0" fillId="26" borderId="0" xfId="0" applyFill="1"/>
    <xf numFmtId="17" fontId="0" fillId="0" borderId="28" xfId="0" applyNumberFormat="1" applyBorder="1" applyAlignment="1">
      <alignment horizontal="center"/>
    </xf>
    <xf numFmtId="0" fontId="0" fillId="0" borderId="66" xfId="0" applyBorder="1" applyAlignment="1">
      <alignment horizontal="center"/>
    </xf>
    <xf numFmtId="165" fontId="0" fillId="0" borderId="73" xfId="0" applyNumberFormat="1" applyBorder="1"/>
    <xf numFmtId="165" fontId="0" fillId="0" borderId="74" xfId="0" applyNumberFormat="1" applyBorder="1"/>
    <xf numFmtId="0" fontId="1" fillId="0" borderId="24" xfId="0" applyFont="1" applyBorder="1"/>
    <xf numFmtId="0" fontId="0" fillId="0" borderId="51" xfId="0" applyBorder="1" applyAlignment="1">
      <alignment horizontal="center"/>
    </xf>
    <xf numFmtId="0" fontId="0" fillId="0" borderId="76" xfId="0" applyBorder="1" applyAlignment="1">
      <alignment horizontal="center"/>
    </xf>
    <xf numFmtId="0" fontId="1" fillId="17" borderId="23" xfId="0" applyFont="1" applyFill="1" applyBorder="1"/>
    <xf numFmtId="0" fontId="16" fillId="0" borderId="1" xfId="0" applyFont="1" applyBorder="1"/>
    <xf numFmtId="0" fontId="15" fillId="0" borderId="1" xfId="0" applyFont="1" applyBorder="1"/>
    <xf numFmtId="0" fontId="1" fillId="30" borderId="1" xfId="0" applyFont="1" applyFill="1" applyBorder="1"/>
    <xf numFmtId="0" fontId="16" fillId="6" borderId="1" xfId="0" applyFont="1" applyFill="1" applyBorder="1"/>
    <xf numFmtId="0" fontId="1" fillId="13" borderId="1" xfId="0" applyFont="1" applyFill="1" applyBorder="1"/>
    <xf numFmtId="0" fontId="0" fillId="12" borderId="1" xfId="0" applyFill="1" applyBorder="1"/>
    <xf numFmtId="16" fontId="0" fillId="0" borderId="2" xfId="0" applyNumberFormat="1" applyBorder="1"/>
    <xf numFmtId="0" fontId="19" fillId="0" borderId="0" xfId="0" applyFont="1"/>
    <xf numFmtId="17" fontId="0" fillId="0" borderId="0" xfId="0" applyNumberFormat="1"/>
    <xf numFmtId="16" fontId="0" fillId="0" borderId="17" xfId="0" applyNumberFormat="1" applyBorder="1"/>
    <xf numFmtId="16" fontId="1" fillId="0" borderId="47" xfId="0" applyNumberFormat="1" applyFont="1" applyBorder="1" applyAlignment="1">
      <alignment horizontal="center"/>
    </xf>
    <xf numFmtId="16" fontId="4" fillId="0" borderId="60" xfId="0" applyNumberFormat="1" applyFont="1" applyBorder="1" applyAlignment="1">
      <alignment horizontal="center"/>
    </xf>
    <xf numFmtId="16" fontId="0" fillId="0" borderId="73" xfId="0" applyNumberFormat="1" applyBorder="1" applyAlignment="1">
      <alignment horizontal="center"/>
    </xf>
    <xf numFmtId="16" fontId="9" fillId="0" borderId="75" xfId="0" applyNumberFormat="1" applyFont="1" applyBorder="1" applyAlignment="1">
      <alignment horizontal="center"/>
    </xf>
    <xf numFmtId="0" fontId="0" fillId="0" borderId="19" xfId="0" applyBorder="1"/>
    <xf numFmtId="16" fontId="1" fillId="0" borderId="14" xfId="0" applyNumberFormat="1" applyFont="1" applyBorder="1"/>
    <xf numFmtId="16" fontId="0" fillId="0" borderId="18" xfId="0" applyNumberFormat="1" applyBorder="1"/>
    <xf numFmtId="16" fontId="0" fillId="0" borderId="13" xfId="0" applyNumberFormat="1" applyBorder="1"/>
    <xf numFmtId="0" fontId="0" fillId="24" borderId="30" xfId="0" applyFill="1" applyBorder="1"/>
    <xf numFmtId="0" fontId="0" fillId="24" borderId="31" xfId="0" applyFill="1" applyBorder="1"/>
    <xf numFmtId="0" fontId="0" fillId="24" borderId="32" xfId="0" applyFill="1" applyBorder="1"/>
    <xf numFmtId="20" fontId="0" fillId="0" borderId="2" xfId="0" applyNumberFormat="1" applyBorder="1"/>
    <xf numFmtId="1" fontId="6" fillId="0" borderId="2" xfId="0" applyNumberFormat="1" applyFont="1" applyBorder="1" applyAlignment="1">
      <alignment horizontal="right" wrapText="1"/>
    </xf>
    <xf numFmtId="0" fontId="0" fillId="24" borderId="66" xfId="0" applyFill="1" applyBorder="1" applyAlignment="1">
      <alignment horizontal="center"/>
    </xf>
    <xf numFmtId="164" fontId="0" fillId="24" borderId="31" xfId="0" applyNumberFormat="1" applyFill="1" applyBorder="1"/>
    <xf numFmtId="165" fontId="0" fillId="24" borderId="44" xfId="0" applyNumberFormat="1" applyFill="1" applyBorder="1"/>
    <xf numFmtId="20" fontId="0" fillId="0" borderId="46" xfId="0" applyNumberFormat="1" applyBorder="1"/>
    <xf numFmtId="0" fontId="0" fillId="28" borderId="0" xfId="0" applyFill="1" applyAlignment="1">
      <alignment horizontal="center"/>
    </xf>
    <xf numFmtId="0" fontId="10" fillId="0" borderId="51" xfId="0" applyFont="1" applyBorder="1" applyAlignment="1">
      <alignment horizontal="center" vertical="center" textRotation="90" wrapText="1"/>
    </xf>
    <xf numFmtId="0" fontId="10" fillId="0" borderId="52" xfId="0" applyFont="1" applyBorder="1" applyAlignment="1">
      <alignment horizontal="center" vertical="center" textRotation="90" wrapText="1"/>
    </xf>
    <xf numFmtId="0" fontId="10" fillId="0" borderId="54" xfId="0" applyFont="1" applyBorder="1" applyAlignment="1">
      <alignment horizontal="center" vertical="center" textRotation="90" wrapText="1"/>
    </xf>
    <xf numFmtId="0" fontId="0" fillId="23" borderId="57" xfId="0" applyFill="1" applyBorder="1" applyAlignment="1">
      <alignment horizontal="center"/>
    </xf>
    <xf numFmtId="0" fontId="0" fillId="23" borderId="0" xfId="0" applyFill="1" applyAlignment="1">
      <alignment horizontal="center"/>
    </xf>
    <xf numFmtId="0" fontId="1" fillId="19" borderId="0" xfId="0" applyFont="1" applyFill="1" applyAlignment="1">
      <alignment horizontal="center"/>
    </xf>
    <xf numFmtId="0" fontId="7" fillId="17" borderId="27" xfId="0" applyFont="1" applyFill="1" applyBorder="1" applyAlignment="1">
      <alignment horizontal="center"/>
    </xf>
    <xf numFmtId="0" fontId="7" fillId="17" borderId="38" xfId="0" applyFont="1" applyFill="1" applyBorder="1" applyAlignment="1">
      <alignment horizontal="center"/>
    </xf>
    <xf numFmtId="0" fontId="0" fillId="16" borderId="24" xfId="0" applyFill="1" applyBorder="1" applyAlignment="1">
      <alignment horizontal="center"/>
    </xf>
    <xf numFmtId="0" fontId="0" fillId="16" borderId="39" xfId="0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38" xfId="0" applyBorder="1" applyAlignment="1">
      <alignment horizontal="center"/>
    </xf>
    <xf numFmtId="0" fontId="1" fillId="16" borderId="24" xfId="0" applyFont="1" applyFill="1" applyBorder="1" applyAlignment="1">
      <alignment horizontal="center" wrapText="1"/>
    </xf>
    <xf numFmtId="0" fontId="1" fillId="16" borderId="40" xfId="0" applyFont="1" applyFill="1" applyBorder="1" applyAlignment="1">
      <alignment horizontal="center" wrapText="1"/>
    </xf>
    <xf numFmtId="0" fontId="1" fillId="16" borderId="57" xfId="0" applyFont="1" applyFill="1" applyBorder="1" applyAlignment="1">
      <alignment horizontal="center" wrapText="1"/>
    </xf>
    <xf numFmtId="0" fontId="1" fillId="16" borderId="53" xfId="0" applyFont="1" applyFill="1" applyBorder="1" applyAlignment="1">
      <alignment horizontal="center" wrapText="1"/>
    </xf>
    <xf numFmtId="0" fontId="0" fillId="17" borderId="13" xfId="0" applyFill="1" applyBorder="1" applyAlignment="1">
      <alignment horizontal="center"/>
    </xf>
    <xf numFmtId="0" fontId="0" fillId="17" borderId="14" xfId="0" applyFill="1" applyBorder="1" applyAlignment="1">
      <alignment horizontal="center"/>
    </xf>
    <xf numFmtId="0" fontId="0" fillId="17" borderId="22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7" borderId="16" xfId="0" applyFill="1" applyBorder="1" applyAlignment="1">
      <alignment horizontal="right"/>
    </xf>
    <xf numFmtId="0" fontId="0" fillId="17" borderId="17" xfId="0" applyFill="1" applyBorder="1" applyAlignment="1">
      <alignment horizontal="right"/>
    </xf>
    <xf numFmtId="0" fontId="0" fillId="17" borderId="27" xfId="0" applyFill="1" applyBorder="1" applyAlignment="1">
      <alignment horizontal="right"/>
    </xf>
    <xf numFmtId="0" fontId="0" fillId="17" borderId="37" xfId="0" applyFill="1" applyBorder="1" applyAlignment="1">
      <alignment horizontal="right"/>
    </xf>
    <xf numFmtId="0" fontId="0" fillId="17" borderId="47" xfId="0" applyFill="1" applyBorder="1" applyAlignment="1">
      <alignment horizontal="right"/>
    </xf>
    <xf numFmtId="0" fontId="0" fillId="17" borderId="58" xfId="0" applyFill="1" applyBorder="1" applyAlignment="1">
      <alignment horizontal="right"/>
    </xf>
    <xf numFmtId="0" fontId="0" fillId="17" borderId="68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17" borderId="60" xfId="0" applyFill="1" applyBorder="1" applyAlignment="1">
      <alignment horizontal="right"/>
    </xf>
    <xf numFmtId="0" fontId="0" fillId="17" borderId="55" xfId="0" applyFill="1" applyBorder="1" applyAlignment="1">
      <alignment horizontal="right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17" borderId="22" xfId="0" applyFill="1" applyBorder="1" applyAlignment="1">
      <alignment horizontal="right"/>
    </xf>
    <xf numFmtId="0" fontId="0" fillId="17" borderId="1" xfId="0" applyFill="1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15" borderId="27" xfId="0" applyFill="1" applyBorder="1" applyAlignment="1">
      <alignment horizontal="center"/>
    </xf>
    <xf numFmtId="0" fontId="0" fillId="15" borderId="43" xfId="0" applyFill="1" applyBorder="1" applyAlignment="1">
      <alignment horizontal="center"/>
    </xf>
    <xf numFmtId="0" fontId="0" fillId="15" borderId="38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6C2F5"/>
      <color rgb="FFEF93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Ex16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November meters climbed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'My ClimbRecov24_25'!$L$44:$L$47</c:f>
              <c:numCache>
                <c:formatCode>General</c:formatCode>
                <c:ptCount val="4"/>
                <c:pt idx="0">
                  <c:v>46</c:v>
                </c:pt>
                <c:pt idx="1">
                  <c:v>47</c:v>
                </c:pt>
                <c:pt idx="2">
                  <c:v>48</c:v>
                </c:pt>
                <c:pt idx="3">
                  <c:v>49</c:v>
                </c:pt>
              </c:numCache>
            </c:numRef>
          </c:cat>
          <c:val>
            <c:numRef>
              <c:f>'My ClimbRecov24_25'!$M$44:$M$47</c:f>
              <c:numCache>
                <c:formatCode>General</c:formatCode>
                <c:ptCount val="4"/>
                <c:pt idx="0">
                  <c:v>494</c:v>
                </c:pt>
                <c:pt idx="1">
                  <c:v>286</c:v>
                </c:pt>
                <c:pt idx="2">
                  <c:v>125</c:v>
                </c:pt>
                <c:pt idx="3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D-4844-8101-F03084062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3404480"/>
        <c:axId val="313406880"/>
      </c:barChart>
      <c:catAx>
        <c:axId val="31340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406880"/>
        <c:crosses val="autoZero"/>
        <c:auto val="1"/>
        <c:lblAlgn val="ctr"/>
        <c:lblOffset val="100"/>
        <c:noMultiLvlLbl val="0"/>
      </c:catAx>
      <c:valAx>
        <c:axId val="31340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404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January Total meters climbed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'My ClimbRecov24_25'!$M$99</c:f>
              <c:strCache>
                <c:ptCount val="1"/>
                <c:pt idx="0">
                  <c:v>meters</c:v>
                </c:pt>
              </c:strCache>
            </c:strRef>
          </c:tx>
          <c:spPr>
            <a:solidFill>
              <a:schemeClr val="accent1"/>
            </a:solidFill>
            <a:ln w="1905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'My ClimbRecov24_25'!$L$100:$L$103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'My ClimbRecov24_25'!$M$100:$M$103</c:f>
              <c:numCache>
                <c:formatCode>General</c:formatCode>
                <c:ptCount val="4"/>
                <c:pt idx="0">
                  <c:v>126</c:v>
                </c:pt>
                <c:pt idx="1">
                  <c:v>240</c:v>
                </c:pt>
                <c:pt idx="2">
                  <c:v>260</c:v>
                </c:pt>
                <c:pt idx="3">
                  <c:v>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E0-4ABA-B387-E84F032D2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3393440"/>
        <c:axId val="1333393920"/>
      </c:barChart>
      <c:catAx>
        <c:axId val="1333393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393920"/>
        <c:crosses val="autoZero"/>
        <c:auto val="1"/>
        <c:lblAlgn val="ctr"/>
        <c:lblOffset val="100"/>
        <c:noMultiLvlLbl val="0"/>
      </c:catAx>
      <c:valAx>
        <c:axId val="133339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39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 Climbed since Nov24 - 2025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'My ClimbRecov24_25'!$K$104:$L$104</c:f>
              <c:strCache>
                <c:ptCount val="2"/>
                <c:pt idx="1">
                  <c:v>Total meters January: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'My ClimbRecov24_25'!$M$104</c:f>
              <c:numCache>
                <c:formatCode>General</c:formatCode>
                <c:ptCount val="1"/>
                <c:pt idx="0">
                  <c:v>1321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30-4597-82ED-E261BBA58E0B}"/>
            </c:ext>
          </c:extLst>
        </c:ser>
        <c:ser>
          <c:idx val="1"/>
          <c:order val="1"/>
          <c:tx>
            <c:strRef>
              <c:f>'My ClimbRecov24_25'!$K$105:$L$105</c:f>
              <c:strCache>
                <c:ptCount val="2"/>
                <c:pt idx="0">
                  <c:v>Total meters December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'My ClimbRecov24_25'!$M$105</c:f>
              <c:numCache>
                <c:formatCode>General</c:formatCode>
                <c:ptCount val="1"/>
                <c:pt idx="0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30-4597-82ED-E261BBA58E0B}"/>
            </c:ext>
          </c:extLst>
        </c:ser>
        <c:ser>
          <c:idx val="2"/>
          <c:order val="2"/>
          <c:tx>
            <c:strRef>
              <c:f>'My ClimbRecov24_25'!$K$106:$L$106</c:f>
              <c:strCache>
                <c:ptCount val="2"/>
                <c:pt idx="0">
                  <c:v>Total meters November: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'My ClimbRecov24_25'!$M$106</c:f>
              <c:numCache>
                <c:formatCode>General</c:formatCode>
                <c:ptCount val="1"/>
                <c:pt idx="0">
                  <c:v>1165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30-4597-82ED-E261BBA58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8274895"/>
        <c:axId val="1250005152"/>
      </c:barChart>
      <c:catAx>
        <c:axId val="1138274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005152"/>
        <c:crosses val="autoZero"/>
        <c:auto val="1"/>
        <c:lblAlgn val="ctr"/>
        <c:lblOffset val="100"/>
        <c:noMultiLvlLbl val="0"/>
      </c:catAx>
      <c:valAx>
        <c:axId val="125000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274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</a:t>
            </a:r>
            <a:r>
              <a:rPr lang="en-GB" baseline="0"/>
              <a:t> meters from Nov24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'My ClimbRecov24_25'!$K$174:$K$174</c:f>
              <c:strCache>
                <c:ptCount val="1"/>
                <c:pt idx="0">
                  <c:v>Total meters November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'My ClimbRecov24_25'!$M$174</c:f>
              <c:numCache>
                <c:formatCode>General</c:formatCode>
                <c:ptCount val="1"/>
                <c:pt idx="0">
                  <c:v>1039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1F-406F-92F4-17901D1CB6E5}"/>
            </c:ext>
          </c:extLst>
        </c:ser>
        <c:ser>
          <c:idx val="1"/>
          <c:order val="1"/>
          <c:tx>
            <c:strRef>
              <c:f>'My ClimbRecov24_25'!$K$175:$L$175</c:f>
              <c:strCache>
                <c:ptCount val="2"/>
                <c:pt idx="0">
                  <c:v>Total meters December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'My ClimbRecov24_25'!$M$175</c:f>
              <c:numCache>
                <c:formatCode>General</c:formatCode>
                <c:ptCount val="1"/>
                <c:pt idx="0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1F-406F-92F4-17901D1CB6E5}"/>
            </c:ext>
          </c:extLst>
        </c:ser>
        <c:ser>
          <c:idx val="2"/>
          <c:order val="2"/>
          <c:tx>
            <c:strRef>
              <c:f>'My ClimbRecov24_25'!$K$176:$L$176</c:f>
              <c:strCache>
                <c:ptCount val="2"/>
                <c:pt idx="0">
                  <c:v>Total meters January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'My ClimbRecov24_25'!$M$176</c:f>
              <c:numCache>
                <c:formatCode>General</c:formatCode>
                <c:ptCount val="1"/>
                <c:pt idx="0">
                  <c:v>1312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1F-406F-92F4-17901D1CB6E5}"/>
            </c:ext>
          </c:extLst>
        </c:ser>
        <c:ser>
          <c:idx val="3"/>
          <c:order val="3"/>
          <c:tx>
            <c:strRef>
              <c:f>'My ClimbRecov24_25'!$K$177:$L$177</c:f>
              <c:strCache>
                <c:ptCount val="2"/>
                <c:pt idx="0">
                  <c:v>Total meters February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'My ClimbRecov24_25'!$M$177</c:f>
              <c:numCache>
                <c:formatCode>General</c:formatCode>
                <c:ptCount val="1"/>
                <c:pt idx="0">
                  <c:v>1165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1F-406F-92F4-17901D1CB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6958415"/>
        <c:axId val="586958895"/>
      </c:barChart>
      <c:catAx>
        <c:axId val="58695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958895"/>
        <c:crosses val="autoZero"/>
        <c:auto val="1"/>
        <c:lblAlgn val="ctr"/>
        <c:lblOffset val="100"/>
        <c:noMultiLvlLbl val="0"/>
      </c:catAx>
      <c:valAx>
        <c:axId val="58695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958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meters in February 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'My ClimbRecov24_25'!$M$169</c:f>
              <c:strCache>
                <c:ptCount val="1"/>
                <c:pt idx="0">
                  <c:v>meters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'My ClimbRecov24_25'!$L$170:$L$173</c:f>
              <c:numCache>
                <c:formatCode>General</c:formatCode>
                <c:ptCount val="4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</c:numCache>
            </c:numRef>
          </c:cat>
          <c:val>
            <c:numRef>
              <c:f>'My ClimbRecov24_25'!$M$170:$M$173</c:f>
              <c:numCache>
                <c:formatCode>General</c:formatCode>
                <c:ptCount val="4"/>
                <c:pt idx="0">
                  <c:v>0</c:v>
                </c:pt>
                <c:pt idx="1">
                  <c:v>402</c:v>
                </c:pt>
                <c:pt idx="2">
                  <c:v>0</c:v>
                </c:pt>
                <c:pt idx="3">
                  <c:v>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35-41B9-BD60-EFAF7FDDE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0775919"/>
        <c:axId val="630803759"/>
      </c:barChart>
      <c:catAx>
        <c:axId val="63077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803759"/>
        <c:crosses val="autoZero"/>
        <c:auto val="1"/>
        <c:lblAlgn val="ctr"/>
        <c:lblOffset val="100"/>
        <c:noMultiLvlLbl val="0"/>
      </c:catAx>
      <c:valAx>
        <c:axId val="63080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77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 meters</a:t>
            </a:r>
            <a:r>
              <a:rPr lang="en-GB" baseline="0"/>
              <a:t> from Nov24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'My ClimbRecov24_25'!$K$246:$K$246</c:f>
              <c:strCache>
                <c:ptCount val="1"/>
                <c:pt idx="0">
                  <c:v>Total meters November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'My ClimbRecov24_25'!$M$246</c:f>
              <c:numCache>
                <c:formatCode>General</c:formatCode>
                <c:ptCount val="1"/>
                <c:pt idx="0">
                  <c:v>1039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90-42CD-8128-AE563F1D2044}"/>
            </c:ext>
          </c:extLst>
        </c:ser>
        <c:ser>
          <c:idx val="1"/>
          <c:order val="1"/>
          <c:tx>
            <c:strRef>
              <c:f>'My ClimbRecov24_25'!$K$247:$K$247</c:f>
              <c:strCache>
                <c:ptCount val="1"/>
                <c:pt idx="0">
                  <c:v>Total meters December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'My ClimbRecov24_25'!$M$247</c:f>
              <c:numCache>
                <c:formatCode>General</c:formatCode>
                <c:ptCount val="1"/>
                <c:pt idx="0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90-42CD-8128-AE563F1D2044}"/>
            </c:ext>
          </c:extLst>
        </c:ser>
        <c:ser>
          <c:idx val="2"/>
          <c:order val="2"/>
          <c:tx>
            <c:strRef>
              <c:f>'My ClimbRecov24_25'!$K$248:$L$248</c:f>
              <c:strCache>
                <c:ptCount val="2"/>
                <c:pt idx="0">
                  <c:v>Total meters January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'My ClimbRecov24_25'!$M$248</c:f>
              <c:numCache>
                <c:formatCode>General</c:formatCode>
                <c:ptCount val="1"/>
                <c:pt idx="0">
                  <c:v>1312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90-42CD-8128-AE563F1D2044}"/>
            </c:ext>
          </c:extLst>
        </c:ser>
        <c:ser>
          <c:idx val="3"/>
          <c:order val="3"/>
          <c:tx>
            <c:strRef>
              <c:f>'My ClimbRecov24_25'!$K$249:$L$249</c:f>
              <c:strCache>
                <c:ptCount val="2"/>
                <c:pt idx="0">
                  <c:v>Total meters February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'My ClimbRecov24_25'!$M$249</c:f>
              <c:numCache>
                <c:formatCode>General</c:formatCode>
                <c:ptCount val="1"/>
                <c:pt idx="0">
                  <c:v>1165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90-42CD-8128-AE563F1D2044}"/>
            </c:ext>
          </c:extLst>
        </c:ser>
        <c:ser>
          <c:idx val="4"/>
          <c:order val="4"/>
          <c:tx>
            <c:strRef>
              <c:f>'My ClimbRecov24_25'!$K$250:$L$250</c:f>
              <c:strCache>
                <c:ptCount val="2"/>
                <c:pt idx="0">
                  <c:v>Total meters March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'My ClimbRecov24_25'!$M$250</c:f>
              <c:numCache>
                <c:formatCode>General</c:formatCode>
                <c:ptCount val="1"/>
                <c:pt idx="0">
                  <c:v>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90-42CD-8128-AE563F1D2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8739216"/>
        <c:axId val="748738736"/>
      </c:barChart>
      <c:catAx>
        <c:axId val="74873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738736"/>
        <c:crosses val="autoZero"/>
        <c:auto val="1"/>
        <c:lblAlgn val="ctr"/>
        <c:lblOffset val="100"/>
        <c:noMultiLvlLbl val="0"/>
      </c:catAx>
      <c:valAx>
        <c:axId val="74873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73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 meters climbed since November24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'My ClimbRecov24_25'!$K$318:$K$323</c:f>
              <c:strCache>
                <c:ptCount val="6"/>
                <c:pt idx="0">
                  <c:v>Total meters November</c:v>
                </c:pt>
                <c:pt idx="1">
                  <c:v>Total meters December</c:v>
                </c:pt>
                <c:pt idx="2">
                  <c:v>Total meters January</c:v>
                </c:pt>
                <c:pt idx="3">
                  <c:v>Total meters February</c:v>
                </c:pt>
                <c:pt idx="4">
                  <c:v>Total meters March</c:v>
                </c:pt>
                <c:pt idx="5">
                  <c:v>Total meters April</c:v>
                </c:pt>
              </c:strCache>
            </c:strRef>
          </c:cat>
          <c:val>
            <c:numRef>
              <c:f>'My ClimbRecov24_25'!$M$318:$M$323</c:f>
              <c:numCache>
                <c:formatCode>General</c:formatCode>
                <c:ptCount val="6"/>
                <c:pt idx="0">
                  <c:v>1039</c:v>
                </c:pt>
                <c:pt idx="1">
                  <c:v>400</c:v>
                </c:pt>
                <c:pt idx="2">
                  <c:v>1312</c:v>
                </c:pt>
                <c:pt idx="3">
                  <c:v>1165</c:v>
                </c:pt>
                <c:pt idx="4">
                  <c:v>730</c:v>
                </c:pt>
                <c:pt idx="5">
                  <c:v>1054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CA-4868-9CA5-A5CD9787D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7252015"/>
        <c:axId val="89722993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'My ClimbRecov24_25'!$K$318:$K$323</c15:sqref>
                        </c15:formulaRef>
                      </c:ext>
                    </c:extLst>
                    <c:strCache>
                      <c:ptCount val="6"/>
                      <c:pt idx="0">
                        <c:v>Total meters November</c:v>
                      </c:pt>
                      <c:pt idx="1">
                        <c:v>Total meters December</c:v>
                      </c:pt>
                      <c:pt idx="2">
                        <c:v>Total meters January</c:v>
                      </c:pt>
                      <c:pt idx="3">
                        <c:v>Total meters February</c:v>
                      </c:pt>
                      <c:pt idx="4">
                        <c:v>Total meters March</c:v>
                      </c:pt>
                      <c:pt idx="5">
                        <c:v>Total meters April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'My ClimbRecov24_25'!$L$318:$L$323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1CA-4868-9CA5-A5CD9787D33E}"/>
                  </c:ext>
                </c:extLst>
              </c15:ser>
            </c15:filteredBarSeries>
          </c:ext>
        </c:extLst>
      </c:barChart>
      <c:catAx>
        <c:axId val="897252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229935"/>
        <c:crosses val="autoZero"/>
        <c:auto val="1"/>
        <c:lblAlgn val="ctr"/>
        <c:lblOffset val="100"/>
        <c:noMultiLvlLbl val="0"/>
      </c:catAx>
      <c:valAx>
        <c:axId val="89722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252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 meters climbed since November24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'My ClimbRecov24_25'!$K$318:$K$323</c:f>
              <c:strCache>
                <c:ptCount val="6"/>
                <c:pt idx="0">
                  <c:v>Total meters November</c:v>
                </c:pt>
                <c:pt idx="1">
                  <c:v>Total meters December</c:v>
                </c:pt>
                <c:pt idx="2">
                  <c:v>Total meters January</c:v>
                </c:pt>
                <c:pt idx="3">
                  <c:v>Total meters February</c:v>
                </c:pt>
                <c:pt idx="4">
                  <c:v>Total meters March</c:v>
                </c:pt>
                <c:pt idx="5">
                  <c:v>Total meters April</c:v>
                </c:pt>
              </c:strCache>
            </c:strRef>
          </c:cat>
          <c:val>
            <c:numRef>
              <c:f>'My ClimbRecov24_25'!$M$318:$M$323</c:f>
              <c:numCache>
                <c:formatCode>General</c:formatCode>
                <c:ptCount val="6"/>
                <c:pt idx="0">
                  <c:v>1039</c:v>
                </c:pt>
                <c:pt idx="1">
                  <c:v>400</c:v>
                </c:pt>
                <c:pt idx="2">
                  <c:v>1312</c:v>
                </c:pt>
                <c:pt idx="3">
                  <c:v>1165</c:v>
                </c:pt>
                <c:pt idx="4">
                  <c:v>730</c:v>
                </c:pt>
                <c:pt idx="5">
                  <c:v>1054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4D-48D9-909C-70FBDE1B3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7252015"/>
        <c:axId val="89722993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'My ClimbRecov24_25'!$K$318:$K$323</c15:sqref>
                        </c15:formulaRef>
                      </c:ext>
                    </c:extLst>
                    <c:strCache>
                      <c:ptCount val="6"/>
                      <c:pt idx="0">
                        <c:v>Total meters November</c:v>
                      </c:pt>
                      <c:pt idx="1">
                        <c:v>Total meters December</c:v>
                      </c:pt>
                      <c:pt idx="2">
                        <c:v>Total meters January</c:v>
                      </c:pt>
                      <c:pt idx="3">
                        <c:v>Total meters February</c:v>
                      </c:pt>
                      <c:pt idx="4">
                        <c:v>Total meters March</c:v>
                      </c:pt>
                      <c:pt idx="5">
                        <c:v>Total meters April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'My ClimbRecov24_25'!$L$318:$L$323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B94D-48D9-909C-70FBDE1B3231}"/>
                  </c:ext>
                </c:extLst>
              </c15:ser>
            </c15:filteredBarSeries>
          </c:ext>
        </c:extLst>
      </c:barChart>
      <c:catAx>
        <c:axId val="897252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229935"/>
        <c:crosses val="autoZero"/>
        <c:auto val="1"/>
        <c:lblAlgn val="ctr"/>
        <c:lblOffset val="100"/>
        <c:noMultiLvlLbl val="0"/>
      </c:catAx>
      <c:valAx>
        <c:axId val="89722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252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title pos="t" align="ctr" overlay="0">
      <cx:tx>
        <cx:txData>
          <cx:v>October grades climbed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P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October grades climbed</a:t>
          </a:r>
        </a:p>
      </cx:txPr>
    </cx:title>
    <cx:plotArea>
      <cx:plotAreaRegion>
        <cx:series layoutId="funnel" uniqueId="{A003F98F-E273-486D-B8EF-26A149080445}">
          <cx:tx>
            <cx:txData>
              <cx:f>_xlchart.v2.4</cx:f>
              <cx:v>nr.Rotes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October meters climbed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P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October meters climbed</a:t>
          </a:r>
        </a:p>
      </cx:txPr>
    </cx:title>
    <cx:plotArea>
      <cx:plotAreaRegion>
        <cx:series layoutId="funnel" uniqueId="{A4ED4C9B-2694-4B9B-A798-8D85DE668EBF}">
          <cx:tx>
            <cx:txData>
              <cx:f>_xlchart.v2.1</cx:f>
              <cx:v>m/grade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_xlchart.v2.39</cx:f>
      </cx:strDim>
      <cx:numDim type="val">
        <cx:f>_xlchart.v2.41</cx:f>
      </cx:numDim>
    </cx:data>
  </cx:chartData>
  <cx:chart>
    <cx:title pos="t" align="ctr" overlay="0">
      <cx:tx>
        <cx:txData>
          <cx:v>November routes 1st 4 weeks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P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November routes 1st 4 weeks</a:t>
          </a:r>
        </a:p>
      </cx:txPr>
    </cx:title>
    <cx:plotArea>
      <cx:plotAreaRegion>
        <cx:series layoutId="funnel" uniqueId="{EFCC1542-F3B6-43DF-8633-A1BFE57A93E8}" formatIdx="0">
          <cx:tx>
            <cx:txData>
              <cx:f>_xlchart.v2.40</cx:f>
              <cx:v>nr.Rotes</cx:v>
            </cx:txData>
          </cx:tx>
          <cx:dataPt idx="6">
            <cx:spPr>
              <a:solidFill>
                <a:srgbClr val="ED7D31"/>
              </a:solidFill>
            </cx:spPr>
          </cx:dataPt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_xlchart.v2.22</cx:f>
      </cx:strDim>
      <cx:numDim type="val">
        <cx:f>_xlchart.v2.23</cx:f>
      </cx:numDim>
    </cx:data>
  </cx:chartData>
  <cx:chart>
    <cx:title pos="t" align="ctr" overlay="0">
      <cx:tx>
        <cx:txData>
          <cx:v>meters per Grade - November 24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P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meters per Grade - November 24</a:t>
          </a:r>
        </a:p>
      </cx:txPr>
    </cx:title>
    <cx:plotArea>
      <cx:plotAreaRegion>
        <cx:series layoutId="funnel" uniqueId="{FF0B8166-C70C-4F93-896E-9E4BC6140B18}"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_xlchart.v2.6</cx:f>
      </cx:strDim>
      <cx:numDim type="val">
        <cx:f>_xlchart.v2.8</cx:f>
      </cx:numDim>
    </cx:data>
  </cx:chartData>
  <cx:chart>
    <cx:title pos="t" align="ctr" overlay="0">
      <cx:tx>
        <cx:txData>
          <cx:v>January 24 m/grade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 panose="020F0502020204030204"/>
            </a:rPr>
            <a:t>January 24 m/grade</a:t>
          </a:r>
        </a:p>
      </cx:txPr>
    </cx:title>
    <cx:plotArea>
      <cx:plotAreaRegion>
        <cx:series layoutId="funnel" uniqueId="{B4D0ECFE-ABDC-4262-BAE3-93968816F03F}">
          <cx:tx>
            <cx:txData>
              <cx:f>_xlchart.v2.7</cx:f>
              <cx:v>m/grade</cx:v>
            </cx:txData>
          </cx:tx>
          <cx:dataId val="0"/>
        </cx:series>
      </cx:plotAreaRegion>
      <cx:axis id="0">
        <cx:catScaling gapWidth="2.19000006"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_xlchart.v2.9</cx:f>
      </cx:strDim>
      <cx:numDim type="val">
        <cx:f>_xlchart.v2.11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January nr.Routes climbed</a:t>
            </a:r>
            <a:endParaRPr lang="en-US"/>
          </a:p>
        </cx:rich>
      </cx:tx>
    </cx:title>
    <cx:plotArea>
      <cx:plotAreaRegion>
        <cx:series layoutId="funnel" uniqueId="{05C44B17-8238-4100-B6E8-1D53ECC2B072}" formatIdx="0">
          <cx:tx>
            <cx:txData>
              <cx:f>_xlchart.v2.10</cx:f>
              <cx:v>nr.Rotes</cx:v>
            </cx:txData>
          </cx:tx>
          <cx:dataId val="0"/>
        </cx:series>
      </cx:plotAreaRegion>
      <cx:axis id="0">
        <cx:catScaling gapWidth="2.19000006"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_xlchart.v2.42</cx:f>
      </cx:strDim>
      <cx:numDim type="val">
        <cx:f>_xlchart.v2.44</cx:f>
      </cx:numDim>
    </cx:data>
  </cx:chartData>
  <cx:chart>
    <cx:title pos="t" align="ctr" overlay="0">
      <cx:tx>
        <cx:txData>
          <cx:v>February nr. Routes climbed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P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February nr. Routes climbed</a:t>
          </a:r>
        </a:p>
      </cx:txPr>
    </cx:title>
    <cx:plotArea>
      <cx:plotAreaRegion>
        <cx:series layoutId="funnel" uniqueId="{2447EB50-6D72-4713-AA9A-F22BBD682711}">
          <cx:tx>
            <cx:txData>
              <cx:f>_xlchart.v2.43</cx:f>
              <cx:v>nr.Rotes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_xlchart.v2.24</cx:f>
      </cx:strDim>
      <cx:numDim type="val">
        <cx:f>_xlchart.v2.26</cx:f>
      </cx:numDim>
    </cx:data>
  </cx:chartData>
  <cx:chart>
    <cx:title pos="t" align="ctr" overlay="0">
      <cx:tx>
        <cx:txData>
          <cx:v>February meters Climbed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P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February meters Climbed</a:t>
          </a:r>
        </a:p>
      </cx:txPr>
    </cx:title>
    <cx:plotArea>
      <cx:plotAreaRegion>
        <cx:series layoutId="funnel" uniqueId="{702D742B-6ED9-4147-9E5B-C7D526EF3646}">
          <cx:tx>
            <cx:txData>
              <cx:f>_xlchart.v2.25</cx:f>
              <cx:v>m/grade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_xlchart.v2.12</cx:f>
      </cx:strDim>
      <cx:numDim type="val">
        <cx:f>_xlchart.v2.14</cx:f>
      </cx:numDim>
    </cx:data>
  </cx:chartData>
  <cx:chart>
    <cx:title pos="t" align="ctr" overlay="0">
      <cx:tx>
        <cx:txData>
          <cx:v>Year 2025 nr. Routes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P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Year 2025 nr. Routes</a:t>
          </a:r>
        </a:p>
      </cx:txPr>
    </cx:title>
    <cx:plotArea>
      <cx:plotAreaRegion>
        <cx:series layoutId="funnel" uniqueId="{A7BD6AF6-3C17-4CEB-8A87-10A5DA0CFF47}">
          <cx:tx>
            <cx:txData>
              <cx:f>_xlchart.v2.13</cx:f>
              <cx:v>nr.Rotes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_xlchart.v2.33</cx:f>
      </cx:strDim>
      <cx:numDim type="val">
        <cx:f>_xlchart.v2.35</cx:f>
      </cx:numDim>
    </cx:data>
  </cx:chartData>
  <cx:chart>
    <cx:title pos="t" align="ctr" overlay="0">
      <cx:tx>
        <cx:txData>
          <cx:v>Year 2025 meters Climbed/Grade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P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Year 2025 meters Climbed/Grade</a:t>
          </a:r>
        </a:p>
      </cx:txPr>
    </cx:title>
    <cx:plotArea>
      <cx:plotAreaRegion>
        <cx:series layoutId="funnel" uniqueId="{30CD089F-9800-4F70-AE9C-3640537393FD}">
          <cx:tx>
            <cx:txData>
              <cx:f>_xlchart.v2.34</cx:f>
              <cx:v>m/grade</cx:v>
            </cx:txData>
          </cx:tx>
          <cx:spPr>
            <a:solidFill>
              <a:schemeClr val="accent6">
                <a:lumMod val="40000"/>
                <a:lumOff val="60000"/>
              </a:schemeClr>
            </a:solidFill>
          </cx:spPr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_xlchart.v2.36</cx:f>
      </cx:strDim>
      <cx:numDim type="val">
        <cx:f>_xlchart.v2.38</cx:f>
      </cx:numDim>
    </cx:data>
  </cx:chartData>
  <cx:chart>
    <cx:title pos="t" align="ctr" overlay="0">
      <cx:tx>
        <cx:txData>
          <cx:v>March nr.Routes Climbed/grade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P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March nr.Routes Climbed/grade</a:t>
          </a:r>
        </a:p>
      </cx:txPr>
    </cx:title>
    <cx:plotArea>
      <cx:plotAreaRegion>
        <cx:series layoutId="funnel" uniqueId="{FB8DBC82-27A8-4406-AC11-A1B1077C2F7E}">
          <cx:tx>
            <cx:txData>
              <cx:f>_xlchart.v2.37</cx:f>
              <cx:v>nr.Rotes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_xlchart.v2.15</cx:f>
      </cx:strDim>
      <cx:numDim type="val">
        <cx:f>_xlchart.v2.17</cx:f>
      </cx:numDim>
    </cx:data>
  </cx:chartData>
  <cx:chart>
    <cx:title pos="t" align="ctr" overlay="0">
      <cx:tx>
        <cx:txData>
          <cx:v>March Meters/grade climbed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P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March Meters/grade climbed</a:t>
          </a:r>
        </a:p>
      </cx:txPr>
    </cx:title>
    <cx:plotArea>
      <cx:plotAreaRegion>
        <cx:series layoutId="funnel" uniqueId="{C19CD63B-CB55-4793-9446-CAAF56F211D3}">
          <cx:tx>
            <cx:txData>
              <cx:f>_xlchart.v2.16</cx:f>
              <cx:v>m/grade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_xlchart.v2.18</cx:f>
      </cx:strDim>
      <cx:numDim type="val">
        <cx:f>_xlchart.v2.19</cx:f>
      </cx:numDim>
    </cx:data>
  </cx:chartData>
  <cx:chart>
    <cx:title pos="t" align="ctr" overlay="0">
      <cx:tx>
        <cx:txData>
          <cx:v>March n.º Routes climbed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P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March n.º Routes climbed</a:t>
          </a:r>
        </a:p>
      </cx:txPr>
    </cx:title>
    <cx:plotArea>
      <cx:plotAreaRegion>
        <cx:series layoutId="funnel" uniqueId="{F1FA2B83-FB85-4166-A27A-6FCEE999E9C5}"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_xlchart.v2.30</cx:f>
      </cx:strDim>
      <cx:numDim type="val">
        <cx:f>_xlchart.v2.32</cx:f>
      </cx:numDim>
    </cx:data>
  </cx:chartData>
  <cx:chart>
    <cx:title pos="t" align="ctr" overlay="0">
      <cx:tx>
        <cx:txData>
          <cx:v>March meters climbed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P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March meters climbed</a:t>
          </a:r>
        </a:p>
      </cx:txPr>
    </cx:title>
    <cx:plotArea>
      <cx:plotAreaRegion>
        <cx:series layoutId="funnel" uniqueId="{73B27DE1-6057-440E-AE7A-4EAB15428715}">
          <cx:tx>
            <cx:txData>
              <cx:f>_xlchart.v2.31</cx:f>
              <cx:v>m/grade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_xlchart.v2.20</cx:f>
      </cx:strDim>
      <cx:numDim type="val">
        <cx:f>_xlchart.v2.21</cx:f>
      </cx:numDim>
    </cx:data>
  </cx:chartData>
  <cx:chart>
    <cx:title pos="t" align="ctr" overlay="0">
      <cx:tx>
        <cx:txData>
          <cx:v>March n.º Routes climbed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P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March n.º Routes climbed</a:t>
          </a:r>
        </a:p>
      </cx:txPr>
    </cx:title>
    <cx:plotArea>
      <cx:plotAreaRegion>
        <cx:series layoutId="funnel" uniqueId="{F1FA2B83-FB85-4166-A27A-6FCEE999E9C5}"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_xlchart.v2.27</cx:f>
      </cx:strDim>
      <cx:numDim type="val">
        <cx:f>_xlchart.v2.29</cx:f>
      </cx:numDim>
    </cx:data>
  </cx:chartData>
  <cx:chart>
    <cx:title pos="t" align="ctr" overlay="0">
      <cx:tx>
        <cx:txData>
          <cx:v>March meters climbed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P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March meters climbed</a:t>
          </a:r>
        </a:p>
      </cx:txPr>
    </cx:title>
    <cx:plotArea>
      <cx:plotAreaRegion>
        <cx:series layoutId="funnel" uniqueId="{73B27DE1-6057-440E-AE7A-4EAB15428715}">
          <cx:tx>
            <cx:txData>
              <cx:f>_xlchart.v2.28</cx:f>
              <cx:v>m/grade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13" Type="http://schemas.microsoft.com/office/2014/relationships/chartEx" Target="../charts/chartEx10.xml"/><Relationship Id="rId18" Type="http://schemas.microsoft.com/office/2014/relationships/chartEx" Target="../charts/chartEx14.xml"/><Relationship Id="rId3" Type="http://schemas.microsoft.com/office/2014/relationships/chartEx" Target="../charts/chartEx4.xml"/><Relationship Id="rId21" Type="http://schemas.microsoft.com/office/2014/relationships/chartEx" Target="../charts/chartEx16.xml"/><Relationship Id="rId7" Type="http://schemas.openxmlformats.org/officeDocument/2006/relationships/chart" Target="../charts/chart3.xml"/><Relationship Id="rId12" Type="http://schemas.microsoft.com/office/2014/relationships/chartEx" Target="../charts/chartEx9.xml"/><Relationship Id="rId17" Type="http://schemas.microsoft.com/office/2014/relationships/chartEx" Target="../charts/chartEx13.xml"/><Relationship Id="rId2" Type="http://schemas.openxmlformats.org/officeDocument/2006/relationships/chart" Target="../charts/chart1.xml"/><Relationship Id="rId16" Type="http://schemas.openxmlformats.org/officeDocument/2006/relationships/chart" Target="../charts/chart6.xml"/><Relationship Id="rId20" Type="http://schemas.microsoft.com/office/2014/relationships/chartEx" Target="../charts/chartEx15.xml"/><Relationship Id="rId1" Type="http://schemas.microsoft.com/office/2014/relationships/chartEx" Target="../charts/chartEx3.xml"/><Relationship Id="rId6" Type="http://schemas.openxmlformats.org/officeDocument/2006/relationships/chart" Target="../charts/chart2.xml"/><Relationship Id="rId11" Type="http://schemas.microsoft.com/office/2014/relationships/chartEx" Target="../charts/chartEx8.xml"/><Relationship Id="rId5" Type="http://schemas.microsoft.com/office/2014/relationships/chartEx" Target="../charts/chartEx6.xml"/><Relationship Id="rId15" Type="http://schemas.microsoft.com/office/2014/relationships/chartEx" Target="../charts/chartEx12.xml"/><Relationship Id="rId10" Type="http://schemas.microsoft.com/office/2014/relationships/chartEx" Target="../charts/chartEx7.xml"/><Relationship Id="rId19" Type="http://schemas.openxmlformats.org/officeDocument/2006/relationships/chart" Target="../charts/chart7.xml"/><Relationship Id="rId4" Type="http://schemas.microsoft.com/office/2014/relationships/chartEx" Target="../charts/chartEx5.xml"/><Relationship Id="rId9" Type="http://schemas.openxmlformats.org/officeDocument/2006/relationships/chart" Target="../charts/chart5.xml"/><Relationship Id="rId14" Type="http://schemas.microsoft.com/office/2014/relationships/chartEx" Target="../charts/chartEx11.xml"/><Relationship Id="rId22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374650</xdr:colOff>
      <xdr:row>26</xdr:row>
      <xdr:rowOff>19050</xdr:rowOff>
    </xdr:from>
    <xdr:to>
      <xdr:col>0</xdr:col>
      <xdr:colOff>393700</xdr:colOff>
      <xdr:row>34</xdr:row>
      <xdr:rowOff>76200</xdr:rowOff>
    </xdr:to>
    <xdr:cxnSp macro="">
      <xdr:nvCxnSpPr>
        <xdr:cNvPr id="2" name="Conexão reta unidirecional 1">
          <a:extLst>
            <a:ext uri="{FF2B5EF4-FFF2-40B4-BE49-F238E27FC236}">
              <a16:creationId xmlns:a16="http://schemas.microsoft.com/office/drawing/2014/main" id="{97F6A959-2944-4C9B-8550-7E8AF107EC67}"/>
            </a:ext>
          </a:extLst>
        </xdr:cNvPr>
        <xdr:cNvCxnSpPr/>
      </xdr:nvCxnSpPr>
      <xdr:spPr>
        <a:xfrm flipV="1">
          <a:off x="6445250" y="1123950"/>
          <a:ext cx="19050" cy="1530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400050</xdr:colOff>
      <xdr:row>34</xdr:row>
      <xdr:rowOff>127000</xdr:rowOff>
    </xdr:from>
    <xdr:to>
      <xdr:col>7</xdr:col>
      <xdr:colOff>393700</xdr:colOff>
      <xdr:row>34</xdr:row>
      <xdr:rowOff>177800</xdr:rowOff>
    </xdr:to>
    <xdr:cxnSp macro="">
      <xdr:nvCxnSpPr>
        <xdr:cNvPr id="3" name="Conexão reta unidirecional 2">
          <a:extLst>
            <a:ext uri="{FF2B5EF4-FFF2-40B4-BE49-F238E27FC236}">
              <a16:creationId xmlns:a16="http://schemas.microsoft.com/office/drawing/2014/main" id="{ADB225EE-7C82-4D59-B6D7-E4BF05D39EFF}"/>
            </a:ext>
          </a:extLst>
        </xdr:cNvPr>
        <xdr:cNvCxnSpPr/>
      </xdr:nvCxnSpPr>
      <xdr:spPr>
        <a:xfrm>
          <a:off x="6470650" y="2705100"/>
          <a:ext cx="4260850" cy="50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562297</xdr:colOff>
      <xdr:row>56</xdr:row>
      <xdr:rowOff>105465</xdr:rowOff>
    </xdr:from>
    <xdr:to>
      <xdr:col>21</xdr:col>
      <xdr:colOff>211667</xdr:colOff>
      <xdr:row>68</xdr:row>
      <xdr:rowOff>82826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22EA597C-AD38-F22F-30BA-386D40356A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25597" y="10976665"/>
              <a:ext cx="4424570" cy="23014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691139</xdr:colOff>
      <xdr:row>56</xdr:row>
      <xdr:rowOff>87059</xdr:rowOff>
    </xdr:from>
    <xdr:to>
      <xdr:col>28</xdr:col>
      <xdr:colOff>193261</xdr:colOff>
      <xdr:row>68</xdr:row>
      <xdr:rowOff>18406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7621AF2D-BF88-3D12-9302-5EECA5C7CC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629639" y="10958259"/>
              <a:ext cx="4721822" cy="22554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15875</xdr:colOff>
      <xdr:row>29</xdr:row>
      <xdr:rowOff>6350</xdr:rowOff>
    </xdr:from>
    <xdr:to>
      <xdr:col>20</xdr:col>
      <xdr:colOff>495300</xdr:colOff>
      <xdr:row>40</xdr:row>
      <xdr:rowOff>165100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8B835EBD-CB19-99E3-C2C8-37302AA334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42675" y="5645150"/>
              <a:ext cx="4137025" cy="2292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12699</xdr:colOff>
      <xdr:row>42</xdr:row>
      <xdr:rowOff>19050</xdr:rowOff>
    </xdr:from>
    <xdr:to>
      <xdr:col>21</xdr:col>
      <xdr:colOff>282574</xdr:colOff>
      <xdr:row>53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BBFB333-D0E0-7F86-B3BB-A3F17ED30F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161925</xdr:colOff>
      <xdr:row>28</xdr:row>
      <xdr:rowOff>165100</xdr:rowOff>
    </xdr:from>
    <xdr:to>
      <xdr:col>28</xdr:col>
      <xdr:colOff>25400</xdr:colOff>
      <xdr:row>41</xdr:row>
      <xdr:rowOff>6350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F6601E59-4C15-5758-C526-28B1E93900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719425" y="5613400"/>
              <a:ext cx="5032375" cy="2355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192162</xdr:colOff>
      <xdr:row>86</xdr:row>
      <xdr:rowOff>63333</xdr:rowOff>
    </xdr:from>
    <xdr:to>
      <xdr:col>27</xdr:col>
      <xdr:colOff>33000</xdr:colOff>
      <xdr:row>96</xdr:row>
      <xdr:rowOff>8245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FEB2A0D8-8A70-3ACF-0CD5-B161653B06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749662" y="16840033"/>
              <a:ext cx="4222338" cy="18753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785911</xdr:colOff>
      <xdr:row>86</xdr:row>
      <xdr:rowOff>71580</xdr:rowOff>
    </xdr:from>
    <xdr:to>
      <xdr:col>19</xdr:col>
      <xdr:colOff>610259</xdr:colOff>
      <xdr:row>96</xdr:row>
      <xdr:rowOff>57727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0" name="Gráfico 9">
              <a:extLst>
                <a:ext uri="{FF2B5EF4-FFF2-40B4-BE49-F238E27FC236}">
                  <a16:creationId xmlns:a16="http://schemas.microsoft.com/office/drawing/2014/main" id="{C2E775F8-89F6-8705-3D14-001B719406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25311" y="16848280"/>
              <a:ext cx="3481948" cy="19165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733960</xdr:colOff>
      <xdr:row>97</xdr:row>
      <xdr:rowOff>173181</xdr:rowOff>
    </xdr:from>
    <xdr:to>
      <xdr:col>20</xdr:col>
      <xdr:colOff>360382</xdr:colOff>
      <xdr:row>108</xdr:row>
      <xdr:rowOff>85106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8BAB9FD7-4F70-F074-27E9-A1DE5AD03C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291111</xdr:colOff>
      <xdr:row>107</xdr:row>
      <xdr:rowOff>104569</xdr:rowOff>
    </xdr:from>
    <xdr:to>
      <xdr:col>14</xdr:col>
      <xdr:colOff>665513</xdr:colOff>
      <xdr:row>122</xdr:row>
      <xdr:rowOff>126341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2182EC9-5ECE-4543-64E0-3F052E10AF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48055</xdr:colOff>
      <xdr:row>179</xdr:row>
      <xdr:rowOff>27116</xdr:rowOff>
    </xdr:from>
    <xdr:to>
      <xdr:col>14</xdr:col>
      <xdr:colOff>280087</xdr:colOff>
      <xdr:row>194</xdr:row>
      <xdr:rowOff>67276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BE98E5F3-A06C-A342-0B47-52EAECB741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786027</xdr:colOff>
      <xdr:row>167</xdr:row>
      <xdr:rowOff>78603</xdr:rowOff>
    </xdr:from>
    <xdr:to>
      <xdr:col>20</xdr:col>
      <xdr:colOff>411893</xdr:colOff>
      <xdr:row>179</xdr:row>
      <xdr:rowOff>25744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AC3FC9FA-04D8-B89F-17DF-07AE1F70E1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605824</xdr:colOff>
      <xdr:row>155</xdr:row>
      <xdr:rowOff>104346</xdr:rowOff>
    </xdr:from>
    <xdr:to>
      <xdr:col>19</xdr:col>
      <xdr:colOff>600675</xdr:colOff>
      <xdr:row>167</xdr:row>
      <xdr:rowOff>120134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C3DCC061-AC4D-3411-7E26-1F214090AE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23024" y="30292246"/>
              <a:ext cx="3474651" cy="23398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20</xdr:col>
      <xdr:colOff>257434</xdr:colOff>
      <xdr:row>155</xdr:row>
      <xdr:rowOff>163039</xdr:rowOff>
    </xdr:from>
    <xdr:to>
      <xdr:col>26</xdr:col>
      <xdr:colOff>386149</xdr:colOff>
      <xdr:row>166</xdr:row>
      <xdr:rowOff>154459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2" name="Gráfico 11">
              <a:extLst>
                <a:ext uri="{FF2B5EF4-FFF2-40B4-BE49-F238E27FC236}">
                  <a16:creationId xmlns:a16="http://schemas.microsoft.com/office/drawing/2014/main" id="{4A4BCFDD-CFC0-EF4D-742A-3F5CEE3710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141834" y="30350939"/>
              <a:ext cx="4395915" cy="21250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262580</xdr:colOff>
      <xdr:row>90</xdr:row>
      <xdr:rowOff>61440</xdr:rowOff>
    </xdr:from>
    <xdr:to>
      <xdr:col>7</xdr:col>
      <xdr:colOff>123566</xdr:colOff>
      <xdr:row>105</xdr:row>
      <xdr:rowOff>67275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5" name="Gráfico 14">
              <a:extLst>
                <a:ext uri="{FF2B5EF4-FFF2-40B4-BE49-F238E27FC236}">
                  <a16:creationId xmlns:a16="http://schemas.microsoft.com/office/drawing/2014/main" id="{72F8F1A6-FDED-494D-70DF-2C8606CDE9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2580" y="17612840"/>
              <a:ext cx="5410886" cy="29141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279743</xdr:colOff>
      <xdr:row>107</xdr:row>
      <xdr:rowOff>87184</xdr:rowOff>
    </xdr:from>
    <xdr:to>
      <xdr:col>7</xdr:col>
      <xdr:colOff>140729</xdr:colOff>
      <xdr:row>122</xdr:row>
      <xdr:rowOff>127343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6" name="Gráfico 15">
              <a:extLst>
                <a:ext uri="{FF2B5EF4-FFF2-40B4-BE49-F238E27FC236}">
                  <a16:creationId xmlns:a16="http://schemas.microsoft.com/office/drawing/2014/main" id="{F85CFA1E-75F4-8E3D-FA0F-8D1C107078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9743" y="20940584"/>
              <a:ext cx="5410886" cy="28976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30892</xdr:colOff>
      <xdr:row>227</xdr:row>
      <xdr:rowOff>181576</xdr:rowOff>
    </xdr:from>
    <xdr:to>
      <xdr:col>22</xdr:col>
      <xdr:colOff>149311</xdr:colOff>
      <xdr:row>242</xdr:row>
      <xdr:rowOff>178830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1" name="Gráfico 20">
              <a:extLst>
                <a:ext uri="{FF2B5EF4-FFF2-40B4-BE49-F238E27FC236}">
                  <a16:creationId xmlns:a16="http://schemas.microsoft.com/office/drawing/2014/main" id="{75E1F6AF-E399-6CFE-A11D-BAFBCD66B6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57692" y="44377576"/>
              <a:ext cx="5236519" cy="29182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408460</xdr:colOff>
      <xdr:row>228</xdr:row>
      <xdr:rowOff>1373</xdr:rowOff>
    </xdr:from>
    <xdr:to>
      <xdr:col>29</xdr:col>
      <xdr:colOff>492555</xdr:colOff>
      <xdr:row>243</xdr:row>
      <xdr:rowOff>7208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2" name="Gráfico 21">
              <a:extLst>
                <a:ext uri="{FF2B5EF4-FFF2-40B4-BE49-F238E27FC236}">
                  <a16:creationId xmlns:a16="http://schemas.microsoft.com/office/drawing/2014/main" id="{528499D6-61BA-5F7F-591B-D184A6D496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753360" y="44400573"/>
              <a:ext cx="5138695" cy="29141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494271</xdr:colOff>
      <xdr:row>251</xdr:row>
      <xdr:rowOff>138670</xdr:rowOff>
    </xdr:from>
    <xdr:to>
      <xdr:col>15</xdr:col>
      <xdr:colOff>329514</xdr:colOff>
      <xdr:row>266</xdr:row>
      <xdr:rowOff>178829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5B582C93-C881-CE68-6FBC-6F48F27C34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14</xdr:col>
      <xdr:colOff>434203</xdr:colOff>
      <xdr:row>300</xdr:row>
      <xdr:rowOff>147251</xdr:rowOff>
    </xdr:from>
    <xdr:to>
      <xdr:col>20</xdr:col>
      <xdr:colOff>394730</xdr:colOff>
      <xdr:row>312</xdr:row>
      <xdr:rowOff>42905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8" name="Gráfico 17">
              <a:extLst>
                <a:ext uri="{FF2B5EF4-FFF2-40B4-BE49-F238E27FC236}">
                  <a16:creationId xmlns:a16="http://schemas.microsoft.com/office/drawing/2014/main" id="{D8576C89-0A43-E0CB-8A30-6F6F1AED8C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64103" y="58567251"/>
              <a:ext cx="4215027" cy="22197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502852</xdr:colOff>
      <xdr:row>301</xdr:row>
      <xdr:rowOff>27116</xdr:rowOff>
    </xdr:from>
    <xdr:to>
      <xdr:col>28</xdr:col>
      <xdr:colOff>8581</xdr:colOff>
      <xdr:row>313</xdr:row>
      <xdr:rowOff>17163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9" name="Gráfico 18">
              <a:extLst>
                <a:ext uri="{FF2B5EF4-FFF2-40B4-BE49-F238E27FC236}">
                  <a16:creationId xmlns:a16="http://schemas.microsoft.com/office/drawing/2014/main" id="{E839CDC0-97DC-19B6-E9C8-50C53BCCE8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060352" y="58650316"/>
              <a:ext cx="4674629" cy="23141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665892</xdr:colOff>
      <xdr:row>314</xdr:row>
      <xdr:rowOff>27117</xdr:rowOff>
    </xdr:from>
    <xdr:to>
      <xdr:col>22</xdr:col>
      <xdr:colOff>561203</xdr:colOff>
      <xdr:row>329</xdr:row>
      <xdr:rowOff>24371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5B0BE1BF-85C6-99B5-83C8-3BBD72286C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14</xdr:col>
      <xdr:colOff>434203</xdr:colOff>
      <xdr:row>372</xdr:row>
      <xdr:rowOff>147251</xdr:rowOff>
    </xdr:from>
    <xdr:to>
      <xdr:col>20</xdr:col>
      <xdr:colOff>394730</xdr:colOff>
      <xdr:row>384</xdr:row>
      <xdr:rowOff>42905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80EF0D87-A2B2-436B-8087-E05D73AABF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64103" y="72600751"/>
              <a:ext cx="4215027" cy="22197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502852</xdr:colOff>
      <xdr:row>373</xdr:row>
      <xdr:rowOff>27116</xdr:rowOff>
    </xdr:from>
    <xdr:to>
      <xdr:col>28</xdr:col>
      <xdr:colOff>8581</xdr:colOff>
      <xdr:row>385</xdr:row>
      <xdr:rowOff>17163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32432165-0FC4-4E8D-80B4-82707FCFF3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060352" y="72683816"/>
              <a:ext cx="4674629" cy="23141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665892</xdr:colOff>
      <xdr:row>386</xdr:row>
      <xdr:rowOff>27117</xdr:rowOff>
    </xdr:from>
    <xdr:to>
      <xdr:col>22</xdr:col>
      <xdr:colOff>561203</xdr:colOff>
      <xdr:row>401</xdr:row>
      <xdr:rowOff>24371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994ED8D2-A9D4-4DE9-9A2D-C6B9F2DE93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FBE28-2E42-4909-9FEC-965E8E8054D7}">
  <dimension ref="A1:Z135"/>
  <sheetViews>
    <sheetView workbookViewId="0">
      <selection activeCell="M104" sqref="M104"/>
    </sheetView>
  </sheetViews>
  <sheetFormatPr baseColWidth="10" defaultColWidth="8.83203125" defaultRowHeight="15" x14ac:dyDescent="0.2"/>
  <cols>
    <col min="1" max="1" width="8.6640625" style="115"/>
    <col min="2" max="2" width="3.6640625" customWidth="1"/>
    <col min="3" max="3" width="32.1640625" bestFit="1" customWidth="1"/>
    <col min="4" max="4" width="4.83203125" style="2" bestFit="1" customWidth="1"/>
    <col min="5" max="5" width="7.1640625" style="2" bestFit="1" customWidth="1"/>
    <col min="6" max="6" width="7.83203125" style="2" customWidth="1"/>
    <col min="7" max="7" width="6.6640625" style="2" bestFit="1" customWidth="1"/>
    <col min="8" max="8" width="7.5" style="2" customWidth="1"/>
    <col min="9" max="9" width="6.5" bestFit="1" customWidth="1"/>
    <col min="10" max="10" width="5.33203125" bestFit="1" customWidth="1"/>
    <col min="11" max="11" width="9.6640625" bestFit="1" customWidth="1"/>
    <col min="12" max="12" width="5.83203125" bestFit="1" customWidth="1"/>
    <col min="13" max="13" width="8.5" bestFit="1" customWidth="1"/>
    <col min="14" max="14" width="8.1640625" customWidth="1"/>
    <col min="15" max="15" width="12.5" customWidth="1"/>
    <col min="16" max="16" width="9.5" customWidth="1"/>
    <col min="23" max="23" width="4.83203125" bestFit="1" customWidth="1"/>
    <col min="24" max="24" width="6.6640625" bestFit="1" customWidth="1"/>
    <col min="25" max="25" width="8.33203125" bestFit="1" customWidth="1"/>
  </cols>
  <sheetData>
    <row r="1" spans="2:26" ht="16" thickBot="1" x14ac:dyDescent="0.25"/>
    <row r="2" spans="2:26" ht="16" thickBot="1" x14ac:dyDescent="0.25">
      <c r="C2" s="93" t="s">
        <v>179</v>
      </c>
      <c r="D2" s="88"/>
      <c r="E2" s="89" t="s">
        <v>1</v>
      </c>
      <c r="F2" s="90" t="s">
        <v>36</v>
      </c>
      <c r="I2" s="15" t="s">
        <v>431</v>
      </c>
      <c r="J2" s="15" t="s">
        <v>21</v>
      </c>
      <c r="K2" s="42" t="s">
        <v>275</v>
      </c>
      <c r="N2" s="135" t="s">
        <v>261</v>
      </c>
      <c r="O2" s="136"/>
      <c r="P2" s="136"/>
      <c r="Q2" s="136"/>
      <c r="R2" s="136"/>
      <c r="S2" s="136"/>
      <c r="T2" s="137"/>
      <c r="U2" s="137"/>
      <c r="V2" s="138">
        <v>45413</v>
      </c>
    </row>
    <row r="3" spans="2:26" ht="16" thickBot="1" x14ac:dyDescent="0.25">
      <c r="C3" s="91"/>
      <c r="D3" s="92"/>
      <c r="E3" s="94">
        <v>45868</v>
      </c>
      <c r="F3" s="95">
        <v>48.5</v>
      </c>
      <c r="I3" s="265" t="s">
        <v>432</v>
      </c>
      <c r="J3" s="266">
        <v>0.6</v>
      </c>
      <c r="K3" s="267" t="s">
        <v>286</v>
      </c>
      <c r="M3">
        <v>1</v>
      </c>
      <c r="N3" t="s">
        <v>262</v>
      </c>
      <c r="O3" s="2"/>
      <c r="P3" s="2"/>
      <c r="Q3" s="2"/>
      <c r="R3" s="2"/>
      <c r="S3" s="2"/>
      <c r="V3" s="3" t="s">
        <v>263</v>
      </c>
    </row>
    <row r="4" spans="2:26" x14ac:dyDescent="0.2">
      <c r="B4" t="s">
        <v>19</v>
      </c>
      <c r="E4" s="3"/>
      <c r="F4" s="3"/>
      <c r="I4" s="269" t="s">
        <v>433</v>
      </c>
      <c r="J4" s="266">
        <v>0.75</v>
      </c>
      <c r="K4" s="270" t="s">
        <v>325</v>
      </c>
      <c r="M4">
        <v>2</v>
      </c>
      <c r="N4" t="s">
        <v>264</v>
      </c>
      <c r="O4" s="2"/>
      <c r="P4" s="2"/>
      <c r="Q4" s="2"/>
      <c r="R4" s="2"/>
      <c r="S4" s="2"/>
      <c r="V4" s="3" t="s">
        <v>265</v>
      </c>
    </row>
    <row r="5" spans="2:26" x14ac:dyDescent="0.2">
      <c r="B5" s="228">
        <v>1</v>
      </c>
      <c r="C5" s="1" t="s">
        <v>10</v>
      </c>
      <c r="I5" s="268" t="s">
        <v>434</v>
      </c>
      <c r="J5" s="266">
        <v>0.85</v>
      </c>
      <c r="K5" s="270" t="s">
        <v>218</v>
      </c>
      <c r="M5">
        <v>3</v>
      </c>
      <c r="N5" t="s">
        <v>266</v>
      </c>
      <c r="O5" s="2"/>
      <c r="P5" s="2"/>
      <c r="Q5" s="2"/>
      <c r="R5" s="2"/>
      <c r="S5" s="2"/>
      <c r="V5" s="2" t="s">
        <v>267</v>
      </c>
    </row>
    <row r="6" spans="2:26" x14ac:dyDescent="0.2">
      <c r="C6" s="259" t="s">
        <v>62</v>
      </c>
      <c r="D6" s="262" t="s">
        <v>29</v>
      </c>
      <c r="E6" s="262" t="s">
        <v>425</v>
      </c>
      <c r="F6" s="262" t="s">
        <v>426</v>
      </c>
      <c r="I6" s="268" t="s">
        <v>435</v>
      </c>
      <c r="J6" s="266">
        <v>0.9</v>
      </c>
      <c r="K6" s="270" t="s">
        <v>258</v>
      </c>
      <c r="M6">
        <v>4</v>
      </c>
      <c r="N6" t="s">
        <v>268</v>
      </c>
      <c r="O6" s="2"/>
      <c r="P6" s="3" t="s">
        <v>273</v>
      </c>
      <c r="Q6" s="2"/>
      <c r="R6" s="2"/>
      <c r="S6" s="2"/>
      <c r="T6" t="s">
        <v>275</v>
      </c>
      <c r="V6" s="2" t="s">
        <v>269</v>
      </c>
    </row>
    <row r="7" spans="2:26" x14ac:dyDescent="0.2">
      <c r="B7" s="228">
        <v>2</v>
      </c>
      <c r="C7" s="42" t="s">
        <v>2</v>
      </c>
      <c r="D7" s="15"/>
      <c r="E7" s="15"/>
      <c r="F7" s="15"/>
      <c r="M7">
        <v>5</v>
      </c>
      <c r="N7" t="s">
        <v>270</v>
      </c>
      <c r="O7" s="2"/>
      <c r="P7" s="3" t="s">
        <v>274</v>
      </c>
      <c r="Q7" s="2"/>
      <c r="R7" s="2"/>
      <c r="S7" s="133" t="s">
        <v>271</v>
      </c>
      <c r="T7" t="s">
        <v>275</v>
      </c>
      <c r="V7" s="2" t="s">
        <v>272</v>
      </c>
    </row>
    <row r="8" spans="2:26" x14ac:dyDescent="0.2">
      <c r="B8" s="84">
        <v>2</v>
      </c>
      <c r="C8" s="263" t="s">
        <v>180</v>
      </c>
      <c r="D8" s="264"/>
      <c r="E8" s="264"/>
      <c r="F8" s="264"/>
    </row>
    <row r="9" spans="2:26" ht="16" thickBot="1" x14ac:dyDescent="0.25">
      <c r="B9" s="228">
        <v>2</v>
      </c>
      <c r="C9" s="42" t="s">
        <v>4</v>
      </c>
      <c r="D9" s="15"/>
      <c r="E9" s="15"/>
      <c r="F9" s="15"/>
    </row>
    <row r="10" spans="2:26" ht="16" thickBot="1" x14ac:dyDescent="0.25">
      <c r="M10" s="17" t="s">
        <v>386</v>
      </c>
      <c r="N10" s="234" t="s">
        <v>261</v>
      </c>
      <c r="O10" s="136"/>
      <c r="P10" s="136"/>
      <c r="Q10" s="136"/>
      <c r="R10" s="136"/>
      <c r="S10" s="136"/>
      <c r="T10" s="137"/>
      <c r="U10" s="137"/>
      <c r="V10" s="138">
        <v>45719</v>
      </c>
    </row>
    <row r="11" spans="2:26" x14ac:dyDescent="0.2">
      <c r="C11" s="1" t="s">
        <v>5</v>
      </c>
      <c r="D11" s="6" t="s">
        <v>14</v>
      </c>
      <c r="E11" s="7" t="s">
        <v>15</v>
      </c>
      <c r="F11" s="7" t="s">
        <v>29</v>
      </c>
      <c r="G11" s="7" t="s">
        <v>16</v>
      </c>
      <c r="H11" s="8" t="s">
        <v>17</v>
      </c>
      <c r="I11" s="87" t="s">
        <v>21</v>
      </c>
      <c r="J11" s="15" t="s">
        <v>22</v>
      </c>
      <c r="M11" s="236">
        <v>1</v>
      </c>
      <c r="N11" t="s">
        <v>262</v>
      </c>
      <c r="O11" s="2"/>
      <c r="P11" s="2"/>
      <c r="Q11" s="2"/>
      <c r="R11" s="2"/>
      <c r="S11" s="2"/>
      <c r="V11" s="229" t="s">
        <v>383</v>
      </c>
    </row>
    <row r="12" spans="2:26" x14ac:dyDescent="0.2">
      <c r="B12" s="228">
        <v>3</v>
      </c>
      <c r="C12" t="s">
        <v>185</v>
      </c>
      <c r="D12" s="2">
        <v>4</v>
      </c>
      <c r="E12" s="2">
        <v>6</v>
      </c>
      <c r="G12" s="2" t="s">
        <v>18</v>
      </c>
      <c r="H12" s="2">
        <f t="shared" ref="H12:H14" si="0">J12*I12</f>
        <v>36.549999999999997</v>
      </c>
      <c r="I12" s="5">
        <v>0.85</v>
      </c>
      <c r="J12" s="42">
        <v>43</v>
      </c>
      <c r="M12" s="236">
        <v>2</v>
      </c>
      <c r="N12" t="s">
        <v>264</v>
      </c>
      <c r="O12" s="2"/>
      <c r="P12" s="2" t="s">
        <v>387</v>
      </c>
      <c r="Q12" s="2" t="s">
        <v>388</v>
      </c>
      <c r="R12" s="2"/>
      <c r="S12" s="2"/>
      <c r="V12" s="229" t="s">
        <v>389</v>
      </c>
    </row>
    <row r="13" spans="2:26" x14ac:dyDescent="0.2">
      <c r="B13" s="228">
        <v>4</v>
      </c>
      <c r="C13" t="s">
        <v>390</v>
      </c>
      <c r="D13" s="2">
        <v>4</v>
      </c>
      <c r="E13" s="2">
        <v>6</v>
      </c>
      <c r="G13" s="2" t="s">
        <v>18</v>
      </c>
      <c r="H13" s="2">
        <f t="shared" si="0"/>
        <v>31.96</v>
      </c>
      <c r="I13" s="5">
        <v>0.85</v>
      </c>
      <c r="J13" s="45">
        <v>37.6</v>
      </c>
      <c r="M13" s="236">
        <v>2</v>
      </c>
      <c r="N13" t="s">
        <v>264</v>
      </c>
      <c r="O13" s="2"/>
      <c r="P13" s="2" t="s">
        <v>427</v>
      </c>
      <c r="Q13" s="2"/>
      <c r="S13" s="2"/>
      <c r="V13" s="230" t="s">
        <v>384</v>
      </c>
      <c r="W13" s="231" t="s">
        <v>21</v>
      </c>
      <c r="X13" s="232" t="s">
        <v>214</v>
      </c>
      <c r="Y13" s="233" t="s">
        <v>210</v>
      </c>
    </row>
    <row r="14" spans="2:26" x14ac:dyDescent="0.2">
      <c r="B14" s="228">
        <v>6</v>
      </c>
      <c r="C14" t="s">
        <v>20</v>
      </c>
      <c r="D14" s="2">
        <v>4</v>
      </c>
      <c r="E14" s="2">
        <v>6</v>
      </c>
      <c r="G14" s="2" t="s">
        <v>18</v>
      </c>
      <c r="H14" s="2">
        <f t="shared" si="0"/>
        <v>27.285</v>
      </c>
      <c r="I14" s="5">
        <v>0.85</v>
      </c>
      <c r="J14" s="45">
        <v>32.1</v>
      </c>
      <c r="M14" s="9">
        <v>3</v>
      </c>
      <c r="N14" t="s">
        <v>266</v>
      </c>
      <c r="O14" s="2"/>
      <c r="P14" s="2"/>
      <c r="Q14" s="2"/>
      <c r="R14" s="2"/>
      <c r="S14" s="2"/>
      <c r="T14" t="s">
        <v>275</v>
      </c>
      <c r="V14" s="242" t="s">
        <v>382</v>
      </c>
      <c r="W14" s="243">
        <v>0.95</v>
      </c>
      <c r="X14">
        <v>41.5</v>
      </c>
      <c r="Y14" s="33">
        <v>7</v>
      </c>
    </row>
    <row r="15" spans="2:26" x14ac:dyDescent="0.2">
      <c r="B15" s="228">
        <v>6</v>
      </c>
      <c r="C15" t="s">
        <v>186</v>
      </c>
      <c r="D15" s="2">
        <v>3</v>
      </c>
      <c r="E15" s="2">
        <v>8</v>
      </c>
      <c r="G15" s="2" t="s">
        <v>18</v>
      </c>
      <c r="H15" s="2">
        <f>J15*I15</f>
        <v>18.02</v>
      </c>
      <c r="I15" s="5">
        <v>0.85</v>
      </c>
      <c r="J15" s="42">
        <v>21.2</v>
      </c>
      <c r="M15" s="60">
        <v>4</v>
      </c>
      <c r="N15" t="s">
        <v>385</v>
      </c>
      <c r="O15" s="2"/>
      <c r="P15" s="3" t="s">
        <v>273</v>
      </c>
      <c r="Q15" s="2"/>
      <c r="R15" s="2"/>
      <c r="S15" s="133" t="s">
        <v>271</v>
      </c>
      <c r="T15" t="s">
        <v>275</v>
      </c>
      <c r="V15" s="244" t="s">
        <v>404</v>
      </c>
      <c r="W15" s="38">
        <f>19*10</f>
        <v>190</v>
      </c>
      <c r="X15" s="245" t="s">
        <v>405</v>
      </c>
      <c r="Y15" s="246">
        <f>W15/60</f>
        <v>3.1666666666666665</v>
      </c>
      <c r="Z15" s="39" t="s">
        <v>406</v>
      </c>
    </row>
    <row r="16" spans="2:26" x14ac:dyDescent="0.2">
      <c r="B16" s="228">
        <v>7</v>
      </c>
      <c r="C16" t="s">
        <v>378</v>
      </c>
      <c r="D16" s="2">
        <v>4</v>
      </c>
      <c r="E16" s="2">
        <v>8</v>
      </c>
      <c r="G16" s="2" t="s">
        <v>18</v>
      </c>
      <c r="H16" s="2">
        <f>J16*I16</f>
        <v>33.15</v>
      </c>
      <c r="I16" s="5">
        <v>0.85</v>
      </c>
      <c r="J16" s="42">
        <v>39</v>
      </c>
      <c r="M16" s="235">
        <v>5</v>
      </c>
      <c r="N16" t="s">
        <v>270</v>
      </c>
      <c r="O16" s="2"/>
      <c r="P16" s="3" t="s">
        <v>274</v>
      </c>
      <c r="Q16" s="2"/>
      <c r="R16" s="2"/>
    </row>
    <row r="18" spans="2:17" x14ac:dyDescent="0.2">
      <c r="M18" t="s">
        <v>393</v>
      </c>
      <c r="N18" t="s">
        <v>396</v>
      </c>
    </row>
    <row r="19" spans="2:17" x14ac:dyDescent="0.2">
      <c r="C19" s="1" t="s">
        <v>6</v>
      </c>
      <c r="D19" s="6" t="s">
        <v>14</v>
      </c>
      <c r="E19" s="7" t="s">
        <v>15</v>
      </c>
      <c r="F19" s="7" t="s">
        <v>29</v>
      </c>
      <c r="G19" s="7" t="s">
        <v>16</v>
      </c>
      <c r="H19" s="8" t="s">
        <v>17</v>
      </c>
      <c r="I19" s="87" t="s">
        <v>21</v>
      </c>
      <c r="J19" s="15" t="s">
        <v>22</v>
      </c>
      <c r="N19" t="s">
        <v>394</v>
      </c>
    </row>
    <row r="20" spans="2:17" x14ac:dyDescent="0.2">
      <c r="B20">
        <v>16</v>
      </c>
      <c r="C20" t="s">
        <v>42</v>
      </c>
      <c r="D20" s="2">
        <v>4</v>
      </c>
      <c r="E20" s="2">
        <v>1</v>
      </c>
      <c r="F20" s="2" t="s">
        <v>26</v>
      </c>
      <c r="G20" s="2" t="s">
        <v>18</v>
      </c>
      <c r="H20" s="2" t="s">
        <v>27</v>
      </c>
      <c r="I20" s="5">
        <v>0.5</v>
      </c>
      <c r="J20" s="45">
        <v>29.5</v>
      </c>
      <c r="M20" t="s">
        <v>395</v>
      </c>
      <c r="N20" t="s">
        <v>396</v>
      </c>
    </row>
    <row r="21" spans="2:17" x14ac:dyDescent="0.2">
      <c r="B21">
        <v>17</v>
      </c>
      <c r="C21" t="s">
        <v>44</v>
      </c>
      <c r="D21" s="2">
        <v>4</v>
      </c>
      <c r="E21" s="2">
        <v>30</v>
      </c>
      <c r="G21" s="2" t="s">
        <v>18</v>
      </c>
      <c r="H21" s="2">
        <v>6</v>
      </c>
      <c r="I21" s="5">
        <v>0.65</v>
      </c>
      <c r="J21" s="45">
        <v>16</v>
      </c>
      <c r="N21" t="s">
        <v>394</v>
      </c>
    </row>
    <row r="22" spans="2:17" x14ac:dyDescent="0.2">
      <c r="B22">
        <v>18</v>
      </c>
      <c r="C22" t="s">
        <v>51</v>
      </c>
      <c r="D22" s="2">
        <v>3</v>
      </c>
      <c r="E22" s="2">
        <v>20</v>
      </c>
      <c r="G22" s="2" t="s">
        <v>26</v>
      </c>
      <c r="H22" s="2" t="s">
        <v>70</v>
      </c>
      <c r="I22" s="5">
        <v>0.8</v>
      </c>
      <c r="J22" s="45">
        <v>6</v>
      </c>
    </row>
    <row r="23" spans="2:17" x14ac:dyDescent="0.2">
      <c r="B23">
        <v>19</v>
      </c>
      <c r="C23" t="s">
        <v>45</v>
      </c>
      <c r="D23" s="2">
        <v>3</v>
      </c>
      <c r="E23" s="2">
        <v>10</v>
      </c>
      <c r="G23" s="2" t="s">
        <v>18</v>
      </c>
      <c r="H23" s="2">
        <f>2+2+4+4</f>
        <v>12</v>
      </c>
      <c r="I23" s="5">
        <v>0.95</v>
      </c>
      <c r="J23" s="45">
        <v>12</v>
      </c>
    </row>
    <row r="24" spans="2:17" x14ac:dyDescent="0.2">
      <c r="B24">
        <v>20</v>
      </c>
      <c r="C24" t="s">
        <v>46</v>
      </c>
      <c r="D24" s="2">
        <v>4</v>
      </c>
      <c r="E24" s="2">
        <v>8</v>
      </c>
      <c r="G24" s="2" t="s">
        <v>18</v>
      </c>
      <c r="H24" s="2">
        <v>4</v>
      </c>
      <c r="I24" s="5">
        <v>0.85</v>
      </c>
      <c r="J24" s="45">
        <v>4</v>
      </c>
    </row>
    <row r="25" spans="2:17" x14ac:dyDescent="0.2">
      <c r="B25">
        <v>21</v>
      </c>
      <c r="C25" t="s">
        <v>71</v>
      </c>
      <c r="D25" s="2">
        <v>4</v>
      </c>
      <c r="E25" s="2">
        <v>10</v>
      </c>
      <c r="G25" s="2" t="s">
        <v>18</v>
      </c>
      <c r="H25" s="2">
        <v>10</v>
      </c>
      <c r="I25" s="5">
        <v>0.9</v>
      </c>
      <c r="J25" s="45">
        <v>10</v>
      </c>
      <c r="Q25" s="2"/>
    </row>
    <row r="26" spans="2:17" x14ac:dyDescent="0.2">
      <c r="B26" s="228">
        <v>8</v>
      </c>
      <c r="C26" t="s">
        <v>380</v>
      </c>
      <c r="D26" s="2">
        <v>4</v>
      </c>
      <c r="E26" s="2">
        <v>8</v>
      </c>
      <c r="G26" s="2" t="s">
        <v>18</v>
      </c>
      <c r="H26" s="2">
        <f>J26*I26</f>
        <v>23.035</v>
      </c>
      <c r="I26" s="5">
        <v>0.85</v>
      </c>
      <c r="J26" s="42">
        <v>27.1</v>
      </c>
      <c r="Q26" s="2"/>
    </row>
    <row r="27" spans="2:17" x14ac:dyDescent="0.2">
      <c r="D27" s="237">
        <v>4</v>
      </c>
      <c r="E27" s="237">
        <v>8</v>
      </c>
      <c r="F27" s="237"/>
      <c r="G27" s="237" t="s">
        <v>18</v>
      </c>
      <c r="H27" s="237">
        <f>J27*I27</f>
        <v>30.004999999999995</v>
      </c>
      <c r="I27" s="239">
        <v>0.85</v>
      </c>
      <c r="J27" s="238">
        <v>35.299999999999997</v>
      </c>
    </row>
    <row r="28" spans="2:17" x14ac:dyDescent="0.2">
      <c r="C28" s="1" t="s">
        <v>7</v>
      </c>
      <c r="D28" s="6" t="s">
        <v>14</v>
      </c>
      <c r="E28" s="7" t="s">
        <v>15</v>
      </c>
      <c r="F28" s="7" t="s">
        <v>29</v>
      </c>
      <c r="G28" s="7" t="s">
        <v>16</v>
      </c>
      <c r="H28" s="8" t="s">
        <v>17</v>
      </c>
      <c r="I28" s="87" t="s">
        <v>21</v>
      </c>
      <c r="J28" s="15" t="s">
        <v>22</v>
      </c>
    </row>
    <row r="29" spans="2:17" x14ac:dyDescent="0.2">
      <c r="C29" s="14" t="s">
        <v>23</v>
      </c>
      <c r="J29" s="42">
        <v>29.5</v>
      </c>
      <c r="K29">
        <f>J29*0.85</f>
        <v>25.074999999999999</v>
      </c>
    </row>
    <row r="30" spans="2:17" x14ac:dyDescent="0.2">
      <c r="C30" t="s">
        <v>25</v>
      </c>
      <c r="D30" s="2">
        <v>3</v>
      </c>
      <c r="E30" s="2">
        <v>8</v>
      </c>
      <c r="F30" s="2" t="s">
        <v>30</v>
      </c>
      <c r="G30" s="2" t="s">
        <v>26</v>
      </c>
      <c r="H30" s="2" t="s">
        <v>27</v>
      </c>
      <c r="I30" s="5">
        <v>0.9</v>
      </c>
      <c r="J30" s="42">
        <v>48.5</v>
      </c>
      <c r="K30" s="2" t="s">
        <v>209</v>
      </c>
    </row>
    <row r="31" spans="2:17" x14ac:dyDescent="0.2">
      <c r="C31" t="s">
        <v>28</v>
      </c>
      <c r="D31" s="2">
        <v>3</v>
      </c>
      <c r="E31" s="2">
        <v>1</v>
      </c>
      <c r="F31" s="2" t="s">
        <v>31</v>
      </c>
      <c r="G31" s="2" t="s">
        <v>26</v>
      </c>
      <c r="H31" s="2" t="s">
        <v>27</v>
      </c>
      <c r="I31" s="5">
        <v>0.9</v>
      </c>
      <c r="J31" s="42">
        <v>48.5</v>
      </c>
      <c r="K31" s="2" t="s">
        <v>209</v>
      </c>
    </row>
    <row r="32" spans="2:17" x14ac:dyDescent="0.2">
      <c r="C32" t="s">
        <v>32</v>
      </c>
      <c r="D32" s="2">
        <v>3</v>
      </c>
      <c r="E32" s="2">
        <v>4</v>
      </c>
      <c r="F32" s="2" t="s">
        <v>30</v>
      </c>
      <c r="G32" s="2" t="s">
        <v>26</v>
      </c>
      <c r="H32" s="2" t="s">
        <v>27</v>
      </c>
      <c r="I32" s="5">
        <v>0.9</v>
      </c>
      <c r="J32" s="42">
        <v>48.5</v>
      </c>
      <c r="K32" s="2" t="s">
        <v>209</v>
      </c>
    </row>
    <row r="33" spans="2:12" x14ac:dyDescent="0.2">
      <c r="B33">
        <v>1</v>
      </c>
      <c r="C33" s="9" t="s">
        <v>33</v>
      </c>
      <c r="D33" s="10">
        <v>4</v>
      </c>
      <c r="E33" s="10">
        <v>2</v>
      </c>
      <c r="F33" s="116" t="s">
        <v>30</v>
      </c>
      <c r="G33" s="10" t="s">
        <v>18</v>
      </c>
      <c r="H33" s="10" t="s">
        <v>27</v>
      </c>
      <c r="I33" s="5">
        <v>1</v>
      </c>
      <c r="J33" s="42">
        <v>48.5</v>
      </c>
      <c r="K33" s="2" t="s">
        <v>209</v>
      </c>
    </row>
    <row r="34" spans="2:12" x14ac:dyDescent="0.2">
      <c r="B34">
        <v>1</v>
      </c>
      <c r="C34" s="9" t="s">
        <v>330</v>
      </c>
      <c r="D34" s="10">
        <v>4</v>
      </c>
      <c r="E34" s="10">
        <v>2</v>
      </c>
      <c r="F34" s="116" t="s">
        <v>30</v>
      </c>
      <c r="G34" s="10" t="s">
        <v>18</v>
      </c>
      <c r="H34" s="116" t="s">
        <v>331</v>
      </c>
      <c r="I34" s="5">
        <v>1</v>
      </c>
      <c r="J34" s="42">
        <v>48.5</v>
      </c>
      <c r="K34" s="2" t="s">
        <v>209</v>
      </c>
    </row>
    <row r="37" spans="2:12" x14ac:dyDescent="0.2">
      <c r="C37" s="14" t="s">
        <v>24</v>
      </c>
      <c r="D37" s="6" t="s">
        <v>14</v>
      </c>
      <c r="E37" s="7" t="s">
        <v>15</v>
      </c>
      <c r="F37" s="7" t="s">
        <v>29</v>
      </c>
      <c r="G37" s="7" t="s">
        <v>16</v>
      </c>
      <c r="H37" s="8" t="s">
        <v>17</v>
      </c>
      <c r="I37" s="87" t="s">
        <v>21</v>
      </c>
      <c r="J37" s="15" t="s">
        <v>22</v>
      </c>
      <c r="K37" s="4">
        <v>0.85</v>
      </c>
      <c r="L37" s="4">
        <v>1</v>
      </c>
    </row>
    <row r="38" spans="2:12" x14ac:dyDescent="0.2">
      <c r="B38" s="228">
        <v>9</v>
      </c>
      <c r="C38" t="s">
        <v>379</v>
      </c>
      <c r="D38" s="2">
        <v>4</v>
      </c>
      <c r="E38" s="2">
        <v>8</v>
      </c>
      <c r="G38" s="2" t="s">
        <v>18</v>
      </c>
      <c r="H38" s="2">
        <f t="shared" ref="H38:H49" si="1">J38*I38</f>
        <v>39.015000000000001</v>
      </c>
      <c r="I38" s="4">
        <v>0.85</v>
      </c>
      <c r="J38" s="45">
        <v>45.9</v>
      </c>
      <c r="K38">
        <f>48.5-H38</f>
        <v>9.4849999999999994</v>
      </c>
      <c r="L38">
        <f>48.5-J38</f>
        <v>2.6000000000000014</v>
      </c>
    </row>
    <row r="39" spans="2:12" x14ac:dyDescent="0.2">
      <c r="B39" s="228">
        <v>10</v>
      </c>
      <c r="C39" t="s">
        <v>37</v>
      </c>
      <c r="D39" s="2">
        <v>4</v>
      </c>
      <c r="E39" s="2">
        <v>8</v>
      </c>
      <c r="G39" s="2" t="s">
        <v>18</v>
      </c>
      <c r="H39" s="2">
        <f t="shared" si="1"/>
        <v>24.99</v>
      </c>
      <c r="I39" s="4">
        <v>0.85</v>
      </c>
      <c r="J39" s="45">
        <v>29.4</v>
      </c>
    </row>
    <row r="40" spans="2:12" x14ac:dyDescent="0.2">
      <c r="B40" s="228">
        <v>11</v>
      </c>
      <c r="C40" t="s">
        <v>38</v>
      </c>
      <c r="D40" s="2">
        <v>4</v>
      </c>
      <c r="E40" s="2">
        <v>8</v>
      </c>
      <c r="G40" s="2" t="s">
        <v>18</v>
      </c>
      <c r="H40" s="2">
        <f t="shared" si="1"/>
        <v>32.045000000000002</v>
      </c>
      <c r="I40" s="4">
        <v>0.85</v>
      </c>
      <c r="J40" s="45">
        <v>37.700000000000003</v>
      </c>
    </row>
    <row r="41" spans="2:12" x14ac:dyDescent="0.2">
      <c r="B41">
        <v>14</v>
      </c>
      <c r="C41" t="s">
        <v>39</v>
      </c>
      <c r="D41" s="2">
        <v>4</v>
      </c>
      <c r="E41" s="2">
        <v>8</v>
      </c>
      <c r="G41" s="2" t="s">
        <v>18</v>
      </c>
      <c r="H41" s="2">
        <f t="shared" si="1"/>
        <v>18.02</v>
      </c>
      <c r="I41" s="4">
        <v>0.85</v>
      </c>
      <c r="J41" s="45">
        <v>21.2</v>
      </c>
    </row>
    <row r="42" spans="2:12" x14ac:dyDescent="0.2">
      <c r="B42" s="228">
        <v>14</v>
      </c>
      <c r="C42" t="s">
        <v>391</v>
      </c>
      <c r="D42" s="2">
        <v>4</v>
      </c>
      <c r="E42" s="2">
        <v>8</v>
      </c>
      <c r="G42" s="2" t="s">
        <v>18</v>
      </c>
      <c r="H42" s="2">
        <f t="shared" si="1"/>
        <v>9.01</v>
      </c>
      <c r="I42" s="4">
        <v>0.85</v>
      </c>
      <c r="J42" s="45">
        <v>10.6</v>
      </c>
      <c r="K42" s="12"/>
    </row>
    <row r="43" spans="2:12" x14ac:dyDescent="0.2">
      <c r="B43">
        <v>15</v>
      </c>
      <c r="C43" t="s">
        <v>40</v>
      </c>
      <c r="D43" s="2">
        <v>4</v>
      </c>
      <c r="E43" s="2">
        <v>6</v>
      </c>
      <c r="G43" s="2" t="s">
        <v>18</v>
      </c>
      <c r="H43" s="2">
        <f t="shared" si="1"/>
        <v>25.074999999999999</v>
      </c>
      <c r="I43" s="4">
        <v>0.85</v>
      </c>
      <c r="J43" s="45">
        <v>29.5</v>
      </c>
    </row>
    <row r="44" spans="2:12" x14ac:dyDescent="0.2">
      <c r="C44" t="s">
        <v>41</v>
      </c>
      <c r="D44" s="2">
        <v>4</v>
      </c>
      <c r="E44" s="2">
        <v>8</v>
      </c>
      <c r="G44" s="2" t="s">
        <v>26</v>
      </c>
      <c r="H44" s="2">
        <f t="shared" si="1"/>
        <v>11.9</v>
      </c>
      <c r="I44" s="4">
        <v>0.85</v>
      </c>
      <c r="J44" s="45">
        <v>14</v>
      </c>
    </row>
    <row r="45" spans="2:12" x14ac:dyDescent="0.2">
      <c r="C45" t="s">
        <v>47</v>
      </c>
      <c r="D45" s="2">
        <v>3</v>
      </c>
      <c r="E45" s="2">
        <v>8</v>
      </c>
      <c r="G45" s="2" t="s">
        <v>18</v>
      </c>
      <c r="H45" s="2">
        <f t="shared" si="1"/>
        <v>27.2</v>
      </c>
      <c r="I45" s="4">
        <v>0.85</v>
      </c>
      <c r="J45" s="45">
        <v>32</v>
      </c>
    </row>
    <row r="46" spans="2:12" x14ac:dyDescent="0.2">
      <c r="C46" t="s">
        <v>48</v>
      </c>
      <c r="D46" s="2">
        <v>3</v>
      </c>
      <c r="E46" s="2">
        <v>8</v>
      </c>
      <c r="G46" s="2" t="s">
        <v>26</v>
      </c>
      <c r="H46" s="2">
        <f t="shared" si="1"/>
        <v>1.7</v>
      </c>
      <c r="I46" s="4">
        <v>0.85</v>
      </c>
      <c r="J46" s="45">
        <v>2</v>
      </c>
    </row>
    <row r="47" spans="2:12" x14ac:dyDescent="0.2">
      <c r="B47" s="228">
        <v>12</v>
      </c>
      <c r="C47" t="s">
        <v>50</v>
      </c>
      <c r="D47" s="2">
        <v>4</v>
      </c>
      <c r="E47" s="2">
        <v>8</v>
      </c>
      <c r="G47" s="2" t="s">
        <v>26</v>
      </c>
      <c r="H47" s="2">
        <f t="shared" si="1"/>
        <v>8.0749999999999993</v>
      </c>
      <c r="I47" s="4">
        <v>0.85</v>
      </c>
      <c r="J47" s="45">
        <v>9.5</v>
      </c>
    </row>
    <row r="48" spans="2:12" x14ac:dyDescent="0.2">
      <c r="B48" s="228">
        <v>12</v>
      </c>
      <c r="C48" t="s">
        <v>381</v>
      </c>
      <c r="D48" s="2">
        <v>4</v>
      </c>
      <c r="E48" s="2">
        <v>8</v>
      </c>
      <c r="G48" s="2" t="s">
        <v>18</v>
      </c>
      <c r="H48" s="2">
        <f t="shared" si="1"/>
        <v>12.41</v>
      </c>
      <c r="I48" s="4">
        <v>0.85</v>
      </c>
      <c r="J48" s="45">
        <v>14.6</v>
      </c>
    </row>
    <row r="49" spans="2:15" x14ac:dyDescent="0.2">
      <c r="B49" s="228">
        <v>13</v>
      </c>
      <c r="C49" t="s">
        <v>187</v>
      </c>
      <c r="D49" s="2">
        <v>4</v>
      </c>
      <c r="E49" s="2">
        <v>8</v>
      </c>
      <c r="G49" s="2" t="s">
        <v>18</v>
      </c>
      <c r="H49" s="2">
        <f t="shared" si="1"/>
        <v>34.51</v>
      </c>
      <c r="I49" s="4">
        <v>0.85</v>
      </c>
      <c r="J49" s="45">
        <v>40.6</v>
      </c>
    </row>
    <row r="50" spans="2:15" x14ac:dyDescent="0.2">
      <c r="I50" s="4"/>
    </row>
    <row r="51" spans="2:15" x14ac:dyDescent="0.2">
      <c r="C51" s="1" t="s">
        <v>53</v>
      </c>
      <c r="D51" s="6" t="s">
        <v>14</v>
      </c>
      <c r="E51" s="7" t="s">
        <v>15</v>
      </c>
      <c r="F51" s="7" t="s">
        <v>29</v>
      </c>
      <c r="G51" s="7" t="s">
        <v>16</v>
      </c>
      <c r="H51" s="8" t="s">
        <v>17</v>
      </c>
      <c r="I51" s="87" t="s">
        <v>21</v>
      </c>
      <c r="J51" s="15" t="s">
        <v>22</v>
      </c>
    </row>
    <row r="52" spans="2:15" x14ac:dyDescent="0.2">
      <c r="C52" t="s">
        <v>54</v>
      </c>
      <c r="D52" s="2">
        <v>3</v>
      </c>
      <c r="E52" s="2">
        <v>12</v>
      </c>
      <c r="G52" s="2" t="s">
        <v>26</v>
      </c>
      <c r="H52" s="2">
        <f t="shared" ref="H52:H55" si="2">J52*I52</f>
        <v>8.0749999999999993</v>
      </c>
      <c r="I52" s="5">
        <v>0.85</v>
      </c>
      <c r="J52" s="42">
        <v>9.5</v>
      </c>
      <c r="K52">
        <f>J52*0.85</f>
        <v>8.0749999999999993</v>
      </c>
    </row>
    <row r="53" spans="2:15" x14ac:dyDescent="0.2">
      <c r="C53" t="s">
        <v>55</v>
      </c>
      <c r="D53" s="2">
        <v>3</v>
      </c>
      <c r="E53" s="2">
        <v>12</v>
      </c>
      <c r="G53" s="2" t="s">
        <v>26</v>
      </c>
      <c r="H53" s="2">
        <f t="shared" si="2"/>
        <v>6.0349999999999993</v>
      </c>
      <c r="I53" s="5">
        <v>0.85</v>
      </c>
      <c r="J53" s="45">
        <v>7.1</v>
      </c>
    </row>
    <row r="54" spans="2:15" x14ac:dyDescent="0.2">
      <c r="C54" t="s">
        <v>56</v>
      </c>
      <c r="D54" s="2">
        <v>3</v>
      </c>
      <c r="E54" s="2">
        <v>3</v>
      </c>
      <c r="F54" s="2" t="s">
        <v>18</v>
      </c>
      <c r="G54" s="2" t="s">
        <v>18</v>
      </c>
      <c r="H54" s="2">
        <f t="shared" si="2"/>
        <v>6.0349999999999993</v>
      </c>
      <c r="I54" s="5">
        <v>0.85</v>
      </c>
      <c r="J54" s="45">
        <v>7.1</v>
      </c>
    </row>
    <row r="55" spans="2:15" x14ac:dyDescent="0.2">
      <c r="C55" t="s">
        <v>57</v>
      </c>
      <c r="D55" s="2">
        <v>3</v>
      </c>
      <c r="E55" s="2">
        <v>3</v>
      </c>
      <c r="F55" s="2" t="s">
        <v>18</v>
      </c>
      <c r="G55" s="2" t="s">
        <v>18</v>
      </c>
      <c r="H55" s="2">
        <f t="shared" si="2"/>
        <v>4.25</v>
      </c>
      <c r="I55" s="5">
        <v>0.85</v>
      </c>
      <c r="J55" s="45">
        <v>5</v>
      </c>
    </row>
    <row r="56" spans="2:15" x14ac:dyDescent="0.2">
      <c r="I56" s="5"/>
    </row>
    <row r="59" spans="2:15" x14ac:dyDescent="0.2">
      <c r="C59" s="330" t="s">
        <v>455</v>
      </c>
      <c r="D59" s="330"/>
      <c r="E59" s="330"/>
      <c r="F59" s="330"/>
      <c r="G59" s="330"/>
      <c r="H59" s="330"/>
      <c r="I59" s="330"/>
      <c r="J59" s="330"/>
      <c r="K59" s="330"/>
      <c r="M59" s="15" t="s">
        <v>431</v>
      </c>
      <c r="N59" s="15" t="s">
        <v>21</v>
      </c>
      <c r="O59" s="42" t="s">
        <v>275</v>
      </c>
    </row>
    <row r="60" spans="2:15" x14ac:dyDescent="0.2">
      <c r="M60" s="268">
        <v>15</v>
      </c>
      <c r="N60" s="266">
        <v>0.6</v>
      </c>
      <c r="O60" s="267" t="s">
        <v>301</v>
      </c>
    </row>
    <row r="61" spans="2:15" x14ac:dyDescent="0.2">
      <c r="C61" s="1" t="s">
        <v>9</v>
      </c>
      <c r="D61" s="6" t="s">
        <v>14</v>
      </c>
      <c r="E61" s="7" t="s">
        <v>15</v>
      </c>
      <c r="F61" s="7" t="s">
        <v>29</v>
      </c>
      <c r="G61" s="7" t="s">
        <v>16</v>
      </c>
      <c r="H61" s="8" t="s">
        <v>59</v>
      </c>
      <c r="I61" s="8" t="s">
        <v>17</v>
      </c>
      <c r="J61" s="15" t="s">
        <v>21</v>
      </c>
      <c r="M61" s="271">
        <v>12</v>
      </c>
      <c r="N61" s="272">
        <v>0.65</v>
      </c>
      <c r="O61" s="273" t="s">
        <v>324</v>
      </c>
    </row>
    <row r="62" spans="2:15" x14ac:dyDescent="0.2">
      <c r="C62" t="s">
        <v>428</v>
      </c>
      <c r="D62" s="2">
        <v>6</v>
      </c>
      <c r="E62" s="2">
        <v>1</v>
      </c>
      <c r="F62" s="2" t="s">
        <v>43</v>
      </c>
      <c r="G62" s="2" t="s">
        <v>43</v>
      </c>
      <c r="J62" s="5">
        <v>1</v>
      </c>
      <c r="M62" s="268">
        <v>10</v>
      </c>
      <c r="N62" s="266">
        <v>0.7</v>
      </c>
      <c r="O62" s="270" t="s">
        <v>286</v>
      </c>
    </row>
    <row r="63" spans="2:15" x14ac:dyDescent="0.2">
      <c r="M63" s="274">
        <v>8</v>
      </c>
      <c r="N63" s="275">
        <v>0.75</v>
      </c>
      <c r="O63" s="276" t="s">
        <v>325</v>
      </c>
    </row>
    <row r="64" spans="2:15" ht="16" thickBot="1" x14ac:dyDescent="0.25">
      <c r="C64" s="280" t="s">
        <v>441</v>
      </c>
      <c r="E64" s="281" t="s">
        <v>444</v>
      </c>
      <c r="F64" s="94">
        <v>45840</v>
      </c>
      <c r="G64" s="94">
        <v>45845</v>
      </c>
      <c r="H64" s="94"/>
      <c r="I64" s="94"/>
      <c r="J64" s="94"/>
      <c r="M64" s="277">
        <v>6</v>
      </c>
      <c r="N64" s="278">
        <v>0.85</v>
      </c>
      <c r="O64" s="279" t="s">
        <v>218</v>
      </c>
    </row>
    <row r="65" spans="3:15" x14ac:dyDescent="0.2">
      <c r="M65" s="268">
        <v>4</v>
      </c>
      <c r="N65" s="266">
        <v>0.9</v>
      </c>
      <c r="O65" s="270" t="s">
        <v>258</v>
      </c>
    </row>
    <row r="66" spans="3:15" x14ac:dyDescent="0.2">
      <c r="C66" s="1" t="s">
        <v>188</v>
      </c>
      <c r="D66" s="6" t="s">
        <v>14</v>
      </c>
      <c r="E66" s="7" t="s">
        <v>15</v>
      </c>
      <c r="F66" s="7" t="s">
        <v>29</v>
      </c>
      <c r="G66" s="7" t="s">
        <v>16</v>
      </c>
      <c r="H66" s="8" t="s">
        <v>59</v>
      </c>
      <c r="I66" s="8" t="s">
        <v>17</v>
      </c>
      <c r="J66" s="15" t="s">
        <v>21</v>
      </c>
      <c r="K66" s="86" t="s">
        <v>190</v>
      </c>
    </row>
    <row r="67" spans="3:15" x14ac:dyDescent="0.2">
      <c r="C67" t="s">
        <v>378</v>
      </c>
      <c r="D67" s="2">
        <v>3</v>
      </c>
      <c r="E67" s="2">
        <v>15</v>
      </c>
      <c r="F67" s="2" t="s">
        <v>430</v>
      </c>
      <c r="G67" s="2" t="s">
        <v>429</v>
      </c>
      <c r="H67" s="2" t="s">
        <v>443</v>
      </c>
      <c r="I67">
        <v>40</v>
      </c>
      <c r="J67" s="5">
        <v>0.6</v>
      </c>
    </row>
    <row r="69" spans="3:15" x14ac:dyDescent="0.2">
      <c r="C69" s="1" t="s">
        <v>436</v>
      </c>
      <c r="D69" s="6" t="s">
        <v>14</v>
      </c>
      <c r="E69" s="7" t="s">
        <v>15</v>
      </c>
      <c r="F69" s="7" t="s">
        <v>29</v>
      </c>
      <c r="G69" s="7" t="s">
        <v>16</v>
      </c>
      <c r="H69" s="8" t="s">
        <v>59</v>
      </c>
      <c r="I69" s="8" t="s">
        <v>17</v>
      </c>
      <c r="J69" s="15" t="s">
        <v>21</v>
      </c>
      <c r="K69" s="86" t="s">
        <v>190</v>
      </c>
    </row>
    <row r="70" spans="3:15" x14ac:dyDescent="0.2">
      <c r="C70" t="s">
        <v>437</v>
      </c>
      <c r="D70" s="2">
        <v>3</v>
      </c>
      <c r="E70" s="2">
        <v>15</v>
      </c>
      <c r="F70" s="2" t="s">
        <v>430</v>
      </c>
      <c r="G70" s="2" t="s">
        <v>429</v>
      </c>
      <c r="H70" s="2" t="s">
        <v>443</v>
      </c>
      <c r="I70" t="s">
        <v>438</v>
      </c>
      <c r="J70" s="5">
        <v>0.6</v>
      </c>
    </row>
    <row r="72" spans="3:15" x14ac:dyDescent="0.2">
      <c r="C72" s="1" t="s">
        <v>439</v>
      </c>
      <c r="D72" s="6" t="s">
        <v>14</v>
      </c>
      <c r="E72" s="7" t="s">
        <v>15</v>
      </c>
      <c r="F72" s="7" t="s">
        <v>29</v>
      </c>
      <c r="G72" s="7" t="s">
        <v>16</v>
      </c>
      <c r="H72" s="8" t="s">
        <v>59</v>
      </c>
      <c r="I72" s="8" t="s">
        <v>17</v>
      </c>
      <c r="J72" s="15" t="s">
        <v>21</v>
      </c>
      <c r="K72" s="86" t="s">
        <v>190</v>
      </c>
    </row>
    <row r="73" spans="3:15" x14ac:dyDescent="0.2">
      <c r="C73" t="s">
        <v>440</v>
      </c>
      <c r="D73" s="2">
        <v>3</v>
      </c>
      <c r="E73" s="2">
        <v>15</v>
      </c>
      <c r="F73" s="2" t="s">
        <v>430</v>
      </c>
      <c r="G73" s="2" t="s">
        <v>429</v>
      </c>
      <c r="H73" s="2" t="s">
        <v>443</v>
      </c>
      <c r="I73">
        <v>25</v>
      </c>
      <c r="J73" s="5">
        <v>0.6</v>
      </c>
    </row>
    <row r="75" spans="3:15" ht="16" thickBot="1" x14ac:dyDescent="0.25">
      <c r="C75" s="280" t="s">
        <v>442</v>
      </c>
      <c r="E75" s="281" t="s">
        <v>444</v>
      </c>
      <c r="F75" s="94">
        <v>45851</v>
      </c>
      <c r="G75" s="94">
        <v>45854</v>
      </c>
      <c r="H75" s="94">
        <v>45856</v>
      </c>
      <c r="I75" s="94"/>
      <c r="J75" s="94"/>
    </row>
    <row r="76" spans="3:15" ht="16" thickBot="1" x14ac:dyDescent="0.25">
      <c r="E76" s="281" t="s">
        <v>444</v>
      </c>
      <c r="F76" s="94">
        <v>45860</v>
      </c>
      <c r="G76" s="94">
        <v>45863</v>
      </c>
      <c r="H76" s="94">
        <v>45865</v>
      </c>
      <c r="I76" s="94"/>
      <c r="J76" s="94"/>
    </row>
    <row r="78" spans="3:15" x14ac:dyDescent="0.2">
      <c r="C78" s="1" t="s">
        <v>188</v>
      </c>
      <c r="D78" s="6" t="s">
        <v>14</v>
      </c>
      <c r="E78" s="7" t="s">
        <v>15</v>
      </c>
      <c r="F78" s="7" t="s">
        <v>29</v>
      </c>
      <c r="G78" s="7" t="s">
        <v>16</v>
      </c>
      <c r="H78" s="8" t="s">
        <v>59</v>
      </c>
      <c r="I78" s="8" t="s">
        <v>17</v>
      </c>
      <c r="J78" s="15" t="s">
        <v>21</v>
      </c>
      <c r="K78" s="86" t="s">
        <v>190</v>
      </c>
    </row>
    <row r="79" spans="3:15" x14ac:dyDescent="0.2">
      <c r="C79" t="s">
        <v>378</v>
      </c>
      <c r="D79" s="2">
        <v>3</v>
      </c>
      <c r="E79" s="2">
        <v>12</v>
      </c>
      <c r="F79" s="2" t="s">
        <v>430</v>
      </c>
      <c r="G79" s="2" t="s">
        <v>429</v>
      </c>
      <c r="H79" s="2" t="s">
        <v>443</v>
      </c>
      <c r="I79" t="s">
        <v>453</v>
      </c>
      <c r="J79" s="5">
        <v>0.65</v>
      </c>
    </row>
    <row r="81" spans="3:11" x14ac:dyDescent="0.2">
      <c r="C81" s="1" t="s">
        <v>436</v>
      </c>
      <c r="D81" s="6" t="s">
        <v>14</v>
      </c>
      <c r="E81" s="7" t="s">
        <v>15</v>
      </c>
      <c r="F81" s="7" t="s">
        <v>29</v>
      </c>
      <c r="G81" s="7" t="s">
        <v>16</v>
      </c>
      <c r="H81" s="8" t="s">
        <v>59</v>
      </c>
      <c r="I81" s="8" t="s">
        <v>17</v>
      </c>
      <c r="J81" s="15" t="s">
        <v>21</v>
      </c>
      <c r="K81" s="86" t="s">
        <v>190</v>
      </c>
    </row>
    <row r="82" spans="3:11" x14ac:dyDescent="0.2">
      <c r="C82" t="s">
        <v>437</v>
      </c>
      <c r="D82" s="2">
        <v>3</v>
      </c>
      <c r="E82" s="2">
        <v>12</v>
      </c>
      <c r="F82" s="2" t="s">
        <v>430</v>
      </c>
      <c r="G82" s="2" t="s">
        <v>429</v>
      </c>
      <c r="H82" s="2" t="s">
        <v>443</v>
      </c>
      <c r="I82" t="s">
        <v>438</v>
      </c>
      <c r="J82" s="5">
        <v>0.65</v>
      </c>
    </row>
    <row r="84" spans="3:11" x14ac:dyDescent="0.2">
      <c r="C84" s="1" t="s">
        <v>439</v>
      </c>
      <c r="D84" s="6" t="s">
        <v>14</v>
      </c>
      <c r="E84" s="7" t="s">
        <v>15</v>
      </c>
      <c r="F84" s="7" t="s">
        <v>29</v>
      </c>
      <c r="G84" s="7" t="s">
        <v>16</v>
      </c>
      <c r="H84" s="8" t="s">
        <v>59</v>
      </c>
      <c r="I84" s="8" t="s">
        <v>17</v>
      </c>
      <c r="J84" s="15" t="s">
        <v>21</v>
      </c>
      <c r="K84" s="86" t="s">
        <v>190</v>
      </c>
    </row>
    <row r="85" spans="3:11" x14ac:dyDescent="0.2">
      <c r="C85" t="s">
        <v>440</v>
      </c>
      <c r="D85" s="2">
        <v>3</v>
      </c>
      <c r="E85" s="2">
        <v>12</v>
      </c>
      <c r="F85" s="2" t="s">
        <v>430</v>
      </c>
      <c r="G85" s="2" t="s">
        <v>429</v>
      </c>
      <c r="H85" s="2" t="s">
        <v>443</v>
      </c>
      <c r="I85">
        <v>27.3</v>
      </c>
      <c r="J85" s="5">
        <v>0.65</v>
      </c>
    </row>
    <row r="88" spans="3:11" ht="16" thickBot="1" x14ac:dyDescent="0.25">
      <c r="C88" s="280" t="s">
        <v>445</v>
      </c>
      <c r="E88" s="281" t="s">
        <v>444</v>
      </c>
      <c r="F88" s="94">
        <v>45869</v>
      </c>
      <c r="G88" s="94">
        <v>45871</v>
      </c>
      <c r="H88" s="94"/>
      <c r="I88" s="94"/>
      <c r="J88" s="94"/>
      <c r="K88" t="s">
        <v>454</v>
      </c>
    </row>
    <row r="89" spans="3:11" ht="16" thickBot="1" x14ac:dyDescent="0.25">
      <c r="E89" s="281" t="s">
        <v>444</v>
      </c>
      <c r="F89" s="94">
        <v>45873</v>
      </c>
      <c r="G89" s="94">
        <v>45875</v>
      </c>
      <c r="H89" s="94">
        <v>45877</v>
      </c>
      <c r="I89" s="94"/>
      <c r="J89" s="94"/>
    </row>
    <row r="91" spans="3:11" x14ac:dyDescent="0.2">
      <c r="C91" s="1" t="s">
        <v>188</v>
      </c>
      <c r="D91" s="6" t="s">
        <v>14</v>
      </c>
      <c r="E91" s="7" t="s">
        <v>15</v>
      </c>
      <c r="F91" s="7" t="s">
        <v>29</v>
      </c>
      <c r="G91" s="7" t="s">
        <v>16</v>
      </c>
      <c r="H91" s="8" t="s">
        <v>59</v>
      </c>
      <c r="I91" s="8" t="s">
        <v>17</v>
      </c>
      <c r="J91" s="15" t="s">
        <v>21</v>
      </c>
      <c r="K91" s="86" t="s">
        <v>190</v>
      </c>
    </row>
    <row r="92" spans="3:11" x14ac:dyDescent="0.2">
      <c r="C92" t="s">
        <v>378</v>
      </c>
      <c r="D92" s="2">
        <v>4</v>
      </c>
      <c r="E92" s="2">
        <v>10</v>
      </c>
      <c r="F92" s="2" t="s">
        <v>430</v>
      </c>
      <c r="G92" s="2" t="s">
        <v>429</v>
      </c>
      <c r="H92" s="2" t="s">
        <v>443</v>
      </c>
      <c r="I92">
        <v>40</v>
      </c>
      <c r="J92" s="5">
        <v>0.7</v>
      </c>
    </row>
    <row r="94" spans="3:11" x14ac:dyDescent="0.2">
      <c r="C94" s="1" t="s">
        <v>436</v>
      </c>
      <c r="D94" s="6" t="s">
        <v>14</v>
      </c>
      <c r="E94" s="7" t="s">
        <v>15</v>
      </c>
      <c r="F94" s="7" t="s">
        <v>29</v>
      </c>
      <c r="G94" s="7" t="s">
        <v>16</v>
      </c>
      <c r="H94" s="8" t="s">
        <v>59</v>
      </c>
      <c r="I94" s="8" t="s">
        <v>17</v>
      </c>
      <c r="J94" s="15" t="s">
        <v>21</v>
      </c>
      <c r="K94" s="86" t="s">
        <v>190</v>
      </c>
    </row>
    <row r="95" spans="3:11" x14ac:dyDescent="0.2">
      <c r="C95" t="s">
        <v>437</v>
      </c>
      <c r="D95" s="2">
        <v>4</v>
      </c>
      <c r="E95" s="2">
        <v>10</v>
      </c>
      <c r="F95" s="2" t="s">
        <v>430</v>
      </c>
      <c r="G95" s="2" t="s">
        <v>429</v>
      </c>
      <c r="H95" s="2" t="s">
        <v>443</v>
      </c>
      <c r="I95" t="s">
        <v>438</v>
      </c>
      <c r="J95" s="5">
        <v>0.7</v>
      </c>
    </row>
    <row r="97" spans="3:13" x14ac:dyDescent="0.2">
      <c r="C97" s="1" t="s">
        <v>439</v>
      </c>
      <c r="D97" s="6" t="s">
        <v>14</v>
      </c>
      <c r="E97" s="7" t="s">
        <v>15</v>
      </c>
      <c r="F97" s="7" t="s">
        <v>29</v>
      </c>
      <c r="G97" s="7" t="s">
        <v>16</v>
      </c>
      <c r="H97" s="8" t="s">
        <v>59</v>
      </c>
      <c r="I97" s="8" t="s">
        <v>17</v>
      </c>
      <c r="J97" s="15" t="s">
        <v>21</v>
      </c>
      <c r="K97" s="86" t="s">
        <v>190</v>
      </c>
    </row>
    <row r="98" spans="3:13" x14ac:dyDescent="0.2">
      <c r="C98" t="s">
        <v>440</v>
      </c>
      <c r="D98" s="2">
        <v>4</v>
      </c>
      <c r="E98" s="2">
        <v>10</v>
      </c>
      <c r="F98" s="2" t="s">
        <v>430</v>
      </c>
      <c r="G98" s="2" t="s">
        <v>429</v>
      </c>
      <c r="H98" s="2" t="s">
        <v>443</v>
      </c>
      <c r="I98">
        <v>25</v>
      </c>
      <c r="J98" s="5">
        <v>0.7</v>
      </c>
    </row>
    <row r="101" spans="3:13" ht="16" thickBot="1" x14ac:dyDescent="0.25">
      <c r="C101" s="280" t="s">
        <v>446</v>
      </c>
      <c r="E101" s="281" t="s">
        <v>444</v>
      </c>
      <c r="F101" s="94">
        <v>45912</v>
      </c>
      <c r="G101" s="94">
        <v>45916</v>
      </c>
      <c r="H101" s="94">
        <v>45918</v>
      </c>
      <c r="I101" s="94"/>
      <c r="J101" s="94"/>
      <c r="K101" s="310" t="s">
        <v>472</v>
      </c>
    </row>
    <row r="102" spans="3:13" ht="16" thickBot="1" x14ac:dyDescent="0.25">
      <c r="E102" s="281" t="s">
        <v>444</v>
      </c>
      <c r="F102" s="94">
        <v>45920</v>
      </c>
      <c r="G102" s="94">
        <v>45922</v>
      </c>
      <c r="H102" s="94">
        <v>45924</v>
      </c>
      <c r="I102" s="94"/>
      <c r="J102" s="94"/>
    </row>
    <row r="103" spans="3:13" ht="16" thickBot="1" x14ac:dyDescent="0.25">
      <c r="E103" s="281" t="s">
        <v>444</v>
      </c>
      <c r="F103" s="94">
        <v>45926</v>
      </c>
      <c r="G103" s="94">
        <v>45928</v>
      </c>
      <c r="H103" s="94">
        <v>45930</v>
      </c>
      <c r="I103" s="94"/>
      <c r="J103" s="94"/>
      <c r="K103" t="s">
        <v>458</v>
      </c>
      <c r="L103" t="s">
        <v>457</v>
      </c>
      <c r="M103" t="s">
        <v>473</v>
      </c>
    </row>
    <row r="105" spans="3:13" x14ac:dyDescent="0.2">
      <c r="C105" s="1" t="s">
        <v>188</v>
      </c>
      <c r="D105" s="6" t="s">
        <v>14</v>
      </c>
      <c r="E105" s="7" t="s">
        <v>15</v>
      </c>
      <c r="F105" s="7" t="s">
        <v>29</v>
      </c>
      <c r="G105" s="7" t="s">
        <v>16</v>
      </c>
      <c r="H105" s="8" t="s">
        <v>59</v>
      </c>
      <c r="I105" s="8" t="s">
        <v>17</v>
      </c>
      <c r="J105" s="15" t="s">
        <v>21</v>
      </c>
      <c r="K105" s="86" t="s">
        <v>190</v>
      </c>
    </row>
    <row r="106" spans="3:13" x14ac:dyDescent="0.2">
      <c r="C106" t="s">
        <v>378</v>
      </c>
      <c r="D106" s="2">
        <v>4</v>
      </c>
      <c r="E106" s="2">
        <v>8</v>
      </c>
      <c r="F106" s="2" t="s">
        <v>430</v>
      </c>
      <c r="G106" s="2" t="s">
        <v>429</v>
      </c>
      <c r="H106" s="2" t="s">
        <v>443</v>
      </c>
      <c r="I106">
        <v>45</v>
      </c>
      <c r="J106" s="5">
        <v>0.75</v>
      </c>
    </row>
    <row r="108" spans="3:13" x14ac:dyDescent="0.2">
      <c r="C108" s="1" t="s">
        <v>436</v>
      </c>
      <c r="D108" s="6" t="s">
        <v>14</v>
      </c>
      <c r="E108" s="7" t="s">
        <v>15</v>
      </c>
      <c r="F108" s="7" t="s">
        <v>29</v>
      </c>
      <c r="G108" s="7" t="s">
        <v>16</v>
      </c>
      <c r="H108" s="8" t="s">
        <v>59</v>
      </c>
      <c r="I108" s="8" t="s">
        <v>17</v>
      </c>
      <c r="J108" s="15" t="s">
        <v>21</v>
      </c>
      <c r="K108" s="86" t="s">
        <v>190</v>
      </c>
    </row>
    <row r="109" spans="3:13" x14ac:dyDescent="0.2">
      <c r="C109" t="s">
        <v>437</v>
      </c>
      <c r="D109" s="2">
        <v>4</v>
      </c>
      <c r="E109" s="2">
        <v>8</v>
      </c>
      <c r="F109" s="2" t="s">
        <v>430</v>
      </c>
      <c r="G109" s="2" t="s">
        <v>429</v>
      </c>
      <c r="H109" s="2" t="s">
        <v>443</v>
      </c>
      <c r="I109">
        <v>6</v>
      </c>
      <c r="J109" s="5">
        <v>0.75</v>
      </c>
    </row>
    <row r="111" spans="3:13" x14ac:dyDescent="0.2">
      <c r="C111" s="1" t="s">
        <v>439</v>
      </c>
      <c r="D111" s="6" t="s">
        <v>14</v>
      </c>
      <c r="E111" s="7" t="s">
        <v>15</v>
      </c>
      <c r="F111" s="7" t="s">
        <v>29</v>
      </c>
      <c r="G111" s="7" t="s">
        <v>16</v>
      </c>
      <c r="H111" s="8" t="s">
        <v>59</v>
      </c>
      <c r="I111" s="8" t="s">
        <v>17</v>
      </c>
      <c r="J111" s="15" t="s">
        <v>21</v>
      </c>
      <c r="K111" s="86" t="s">
        <v>190</v>
      </c>
    </row>
    <row r="112" spans="3:13" x14ac:dyDescent="0.2">
      <c r="C112" t="s">
        <v>440</v>
      </c>
      <c r="D112" s="2">
        <v>4</v>
      </c>
      <c r="E112" s="2">
        <v>8</v>
      </c>
      <c r="F112" s="2" t="s">
        <v>430</v>
      </c>
      <c r="G112" s="2" t="s">
        <v>429</v>
      </c>
      <c r="H112" s="2" t="s">
        <v>443</v>
      </c>
      <c r="I112">
        <v>39</v>
      </c>
      <c r="J112" s="5">
        <v>0.75</v>
      </c>
    </row>
    <row r="115" spans="3:11" ht="16" thickBot="1" x14ac:dyDescent="0.25">
      <c r="C115" s="280" t="s">
        <v>447</v>
      </c>
      <c r="F115" s="281" t="s">
        <v>444</v>
      </c>
      <c r="G115" s="94"/>
      <c r="H115" s="94"/>
      <c r="I115" s="94"/>
      <c r="J115" s="94"/>
      <c r="K115" s="94"/>
    </row>
    <row r="116" spans="3:11" ht="16" thickBot="1" x14ac:dyDescent="0.25">
      <c r="F116" s="281" t="s">
        <v>444</v>
      </c>
      <c r="G116" s="94"/>
      <c r="H116" s="94"/>
      <c r="I116" s="94"/>
      <c r="J116" s="94"/>
      <c r="K116" s="94"/>
    </row>
    <row r="117" spans="3:11" ht="16" thickBot="1" x14ac:dyDescent="0.25">
      <c r="F117" s="281" t="s">
        <v>444</v>
      </c>
      <c r="G117" s="94"/>
      <c r="H117" s="94"/>
      <c r="I117" s="94"/>
      <c r="J117" s="94"/>
      <c r="K117" s="94"/>
    </row>
    <row r="118" spans="3:11" ht="16" thickBot="1" x14ac:dyDescent="0.25">
      <c r="F118" s="281" t="s">
        <v>444</v>
      </c>
      <c r="G118" s="94"/>
      <c r="H118" s="94"/>
      <c r="I118" s="94"/>
      <c r="J118" s="94"/>
      <c r="K118" s="94"/>
    </row>
    <row r="120" spans="3:11" x14ac:dyDescent="0.2">
      <c r="C120" s="1" t="s">
        <v>188</v>
      </c>
      <c r="D120" s="6" t="s">
        <v>14</v>
      </c>
      <c r="E120" s="7" t="s">
        <v>15</v>
      </c>
      <c r="F120" s="7" t="s">
        <v>29</v>
      </c>
      <c r="G120" s="7" t="s">
        <v>16</v>
      </c>
      <c r="H120" s="8" t="s">
        <v>59</v>
      </c>
      <c r="I120" s="8" t="s">
        <v>17</v>
      </c>
      <c r="J120" s="15" t="s">
        <v>21</v>
      </c>
      <c r="K120" s="86" t="s">
        <v>190</v>
      </c>
    </row>
    <row r="121" spans="3:11" x14ac:dyDescent="0.2">
      <c r="C121" t="s">
        <v>378</v>
      </c>
      <c r="D121" s="2">
        <v>4</v>
      </c>
      <c r="E121" s="2">
        <v>6</v>
      </c>
      <c r="F121" s="2" t="s">
        <v>430</v>
      </c>
      <c r="G121" s="2" t="s">
        <v>429</v>
      </c>
      <c r="H121" s="2" t="s">
        <v>443</v>
      </c>
      <c r="I121">
        <v>45</v>
      </c>
      <c r="J121" s="5">
        <v>0.85</v>
      </c>
    </row>
    <row r="123" spans="3:11" x14ac:dyDescent="0.2">
      <c r="C123" s="1" t="s">
        <v>436</v>
      </c>
      <c r="D123" s="6" t="s">
        <v>14</v>
      </c>
      <c r="E123" s="7" t="s">
        <v>15</v>
      </c>
      <c r="F123" s="7" t="s">
        <v>29</v>
      </c>
      <c r="G123" s="7" t="s">
        <v>16</v>
      </c>
      <c r="H123" s="8" t="s">
        <v>59</v>
      </c>
      <c r="I123" s="8" t="s">
        <v>17</v>
      </c>
      <c r="J123" s="15" t="s">
        <v>21</v>
      </c>
      <c r="K123" s="86" t="s">
        <v>190</v>
      </c>
    </row>
    <row r="124" spans="3:11" x14ac:dyDescent="0.2">
      <c r="C124" t="s">
        <v>437</v>
      </c>
      <c r="D124" s="2">
        <v>4</v>
      </c>
      <c r="E124" s="2">
        <v>6</v>
      </c>
      <c r="F124" s="2" t="s">
        <v>430</v>
      </c>
      <c r="G124" s="2" t="s">
        <v>429</v>
      </c>
      <c r="H124" s="2" t="s">
        <v>443</v>
      </c>
      <c r="I124">
        <v>6</v>
      </c>
      <c r="J124" s="5">
        <v>0.85</v>
      </c>
    </row>
    <row r="126" spans="3:11" x14ac:dyDescent="0.2">
      <c r="C126" s="1" t="s">
        <v>439</v>
      </c>
      <c r="D126" s="6" t="s">
        <v>14</v>
      </c>
      <c r="E126" s="7" t="s">
        <v>15</v>
      </c>
      <c r="F126" s="7" t="s">
        <v>29</v>
      </c>
      <c r="G126" s="7" t="s">
        <v>16</v>
      </c>
      <c r="H126" s="8" t="s">
        <v>59</v>
      </c>
      <c r="I126" s="8" t="s">
        <v>17</v>
      </c>
      <c r="J126" s="15" t="s">
        <v>21</v>
      </c>
      <c r="K126" s="86" t="s">
        <v>190</v>
      </c>
    </row>
    <row r="127" spans="3:11" x14ac:dyDescent="0.2">
      <c r="C127" t="s">
        <v>440</v>
      </c>
      <c r="D127" s="2">
        <v>4</v>
      </c>
      <c r="E127" s="2">
        <v>6</v>
      </c>
      <c r="F127" s="2" t="s">
        <v>430</v>
      </c>
      <c r="G127" s="2" t="s">
        <v>429</v>
      </c>
      <c r="H127" s="2" t="s">
        <v>443</v>
      </c>
      <c r="I127">
        <v>39</v>
      </c>
      <c r="J127" s="5">
        <v>0.85</v>
      </c>
    </row>
    <row r="132" spans="9:17" x14ac:dyDescent="0.2">
      <c r="I132" s="2"/>
      <c r="J132" s="2"/>
      <c r="K132" s="2"/>
      <c r="L132" s="2"/>
      <c r="M132" s="2"/>
      <c r="N132" s="2"/>
      <c r="O132" s="2"/>
      <c r="P132" s="2"/>
    </row>
    <row r="133" spans="9:17" x14ac:dyDescent="0.2">
      <c r="I133" s="2"/>
      <c r="J133" s="2"/>
      <c r="K133" s="2"/>
      <c r="L133" s="2"/>
      <c r="M133" s="2"/>
      <c r="N133" s="2"/>
      <c r="O133" s="2"/>
      <c r="P133" s="2"/>
      <c r="Q133" s="2"/>
    </row>
    <row r="134" spans="9:17" x14ac:dyDescent="0.2">
      <c r="I134" s="2"/>
      <c r="J134" s="2"/>
      <c r="K134" s="2"/>
      <c r="L134" s="2"/>
      <c r="M134" s="2"/>
      <c r="N134" s="2"/>
      <c r="O134" s="2"/>
      <c r="P134" s="2"/>
    </row>
    <row r="135" spans="9:17" x14ac:dyDescent="0.2">
      <c r="I135" s="2"/>
      <c r="J135" s="2"/>
      <c r="K135" s="2"/>
      <c r="L135" s="2"/>
      <c r="M135" s="2"/>
      <c r="N135" s="2"/>
      <c r="O135" s="2"/>
      <c r="P135" s="2"/>
    </row>
  </sheetData>
  <mergeCells count="1">
    <mergeCell ref="C59:K59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220"/>
  <sheetViews>
    <sheetView tabSelected="1" topLeftCell="AL1" zoomScale="87" zoomScaleNormal="55" workbookViewId="0">
      <selection activeCell="AV224" sqref="AV224"/>
    </sheetView>
  </sheetViews>
  <sheetFormatPr baseColWidth="10" defaultColWidth="8.83203125" defaultRowHeight="15" x14ac:dyDescent="0.2"/>
  <cols>
    <col min="1" max="1" width="6.83203125" bestFit="1" customWidth="1"/>
    <col min="2" max="2" width="16.33203125" bestFit="1" customWidth="1"/>
    <col min="3" max="3" width="3.33203125" style="2" bestFit="1" customWidth="1"/>
    <col min="4" max="4" width="6.5" style="2" bestFit="1" customWidth="1"/>
    <col min="5" max="5" width="6.6640625" style="2" customWidth="1"/>
    <col min="6" max="6" width="4.33203125" style="2" bestFit="1" customWidth="1"/>
    <col min="7" max="7" width="5.33203125" style="2" bestFit="1" customWidth="1"/>
    <col min="8" max="8" width="6.33203125" bestFit="1" customWidth="1"/>
    <col min="12" max="12" width="6.83203125" bestFit="1" customWidth="1"/>
    <col min="13" max="13" width="19.83203125" bestFit="1" customWidth="1"/>
    <col min="14" max="14" width="3.33203125" style="2" bestFit="1" customWidth="1"/>
    <col min="15" max="15" width="6.5" style="2" bestFit="1" customWidth="1"/>
    <col min="16" max="16" width="6.6640625" style="2" customWidth="1"/>
    <col min="17" max="17" width="4.33203125" style="2" bestFit="1" customWidth="1"/>
    <col min="18" max="18" width="5.33203125" style="2" bestFit="1" customWidth="1"/>
    <col min="19" max="19" width="6.33203125" bestFit="1" customWidth="1"/>
    <col min="22" max="22" width="8.6640625" style="113"/>
    <col min="23" max="23" width="6.83203125" bestFit="1" customWidth="1"/>
    <col min="24" max="24" width="19.83203125" bestFit="1" customWidth="1"/>
    <col min="25" max="25" width="3.33203125" style="2" bestFit="1" customWidth="1"/>
    <col min="26" max="26" width="6.5" style="2" bestFit="1" customWidth="1"/>
    <col min="27" max="27" width="6.6640625" style="2" customWidth="1"/>
    <col min="28" max="28" width="4.33203125" style="2" bestFit="1" customWidth="1"/>
    <col min="29" max="29" width="5.33203125" style="2" bestFit="1" customWidth="1"/>
    <col min="30" max="30" width="6.33203125" bestFit="1" customWidth="1"/>
    <col min="34" max="34" width="8.6640625" style="115"/>
    <col min="35" max="35" width="3.6640625" customWidth="1"/>
    <col min="36" max="36" width="32.1640625" bestFit="1" customWidth="1"/>
    <col min="37" max="37" width="3.33203125" style="2" bestFit="1" customWidth="1"/>
    <col min="38" max="38" width="6.83203125" style="2" bestFit="1" customWidth="1"/>
    <col min="39" max="39" width="6.6640625" style="2" customWidth="1"/>
    <col min="40" max="40" width="4.33203125" style="2" bestFit="1" customWidth="1"/>
    <col min="41" max="41" width="5.33203125" style="2" bestFit="1" customWidth="1"/>
    <col min="42" max="42" width="6.33203125" bestFit="1" customWidth="1"/>
    <col min="43" max="43" width="5.33203125" bestFit="1" customWidth="1"/>
    <col min="44" max="44" width="9.6640625" bestFit="1" customWidth="1"/>
    <col min="45" max="45" width="10.33203125" bestFit="1" customWidth="1"/>
    <col min="46" max="46" width="13.5" bestFit="1" customWidth="1"/>
    <col min="48" max="48" width="12.5" customWidth="1"/>
    <col min="52" max="52" width="8.6640625" style="115"/>
    <col min="53" max="53" width="3.6640625" customWidth="1"/>
    <col min="54" max="54" width="32.1640625" bestFit="1" customWidth="1"/>
    <col min="55" max="55" width="3.33203125" style="2" bestFit="1" customWidth="1"/>
    <col min="56" max="56" width="6.83203125" style="2" bestFit="1" customWidth="1"/>
    <col min="57" max="57" width="6.6640625" style="2" customWidth="1"/>
    <col min="58" max="58" width="4.33203125" style="2" bestFit="1" customWidth="1"/>
    <col min="59" max="59" width="5.33203125" style="2" bestFit="1" customWidth="1"/>
    <col min="60" max="60" width="6.33203125" bestFit="1" customWidth="1"/>
    <col min="61" max="61" width="5.5" bestFit="1" customWidth="1"/>
    <col min="62" max="62" width="9.6640625" bestFit="1" customWidth="1"/>
    <col min="63" max="63" width="10.33203125" bestFit="1" customWidth="1"/>
    <col min="64" max="64" width="13.5" bestFit="1" customWidth="1"/>
    <col min="66" max="66" width="12.5" customWidth="1"/>
  </cols>
  <sheetData>
    <row r="1" spans="1:88" ht="16" thickBot="1" x14ac:dyDescent="0.25"/>
    <row r="2" spans="1:88" ht="16" thickBot="1" x14ac:dyDescent="0.25">
      <c r="B2" t="s">
        <v>0</v>
      </c>
      <c r="D2" s="3" t="s">
        <v>1</v>
      </c>
      <c r="E2" s="11" t="s">
        <v>36</v>
      </c>
      <c r="M2" t="s">
        <v>0</v>
      </c>
      <c r="O2" s="3" t="s">
        <v>1</v>
      </c>
      <c r="P2" s="11" t="s">
        <v>36</v>
      </c>
      <c r="X2" s="93" t="s">
        <v>179</v>
      </c>
      <c r="Y2" s="88"/>
      <c r="Z2" s="89" t="s">
        <v>1</v>
      </c>
      <c r="AA2" s="90" t="s">
        <v>36</v>
      </c>
      <c r="AJ2" s="93" t="s">
        <v>179</v>
      </c>
      <c r="AK2" s="88"/>
      <c r="AL2" s="89" t="s">
        <v>1</v>
      </c>
      <c r="AM2" s="90" t="s">
        <v>36</v>
      </c>
      <c r="BB2" s="93" t="s">
        <v>179</v>
      </c>
      <c r="BC2" s="88"/>
      <c r="BD2" s="89" t="s">
        <v>1</v>
      </c>
      <c r="BE2" s="90" t="s">
        <v>36</v>
      </c>
      <c r="BX2" s="135" t="s">
        <v>261</v>
      </c>
      <c r="BY2" s="136"/>
      <c r="BZ2" s="136"/>
      <c r="CA2" s="136"/>
      <c r="CB2" s="136"/>
      <c r="CC2" s="136"/>
      <c r="CD2" s="137"/>
      <c r="CE2" s="137"/>
      <c r="CF2" s="138">
        <v>45413</v>
      </c>
    </row>
    <row r="3" spans="1:88" ht="16" thickBot="1" x14ac:dyDescent="0.25">
      <c r="D3" s="11">
        <v>45554</v>
      </c>
      <c r="E3" s="3">
        <v>48.4</v>
      </c>
      <c r="O3" s="11">
        <v>45559</v>
      </c>
      <c r="P3" s="3">
        <v>48.4</v>
      </c>
      <c r="X3" s="91"/>
      <c r="Y3" s="92"/>
      <c r="Z3" s="94">
        <v>45669</v>
      </c>
      <c r="AA3" s="95">
        <v>48.5</v>
      </c>
      <c r="AJ3" s="91"/>
      <c r="AK3" s="92"/>
      <c r="AL3" s="94">
        <v>45723</v>
      </c>
      <c r="AM3" s="95">
        <v>48.5</v>
      </c>
      <c r="BB3" s="91"/>
      <c r="BC3" s="92"/>
      <c r="BD3" s="293">
        <v>45889</v>
      </c>
      <c r="BE3" s="95">
        <v>48.8</v>
      </c>
      <c r="BW3">
        <v>1</v>
      </c>
      <c r="BX3" t="s">
        <v>262</v>
      </c>
      <c r="BY3" s="2"/>
      <c r="BZ3" s="2"/>
      <c r="CA3" s="2"/>
      <c r="CB3" s="2"/>
      <c r="CC3" s="2"/>
      <c r="CF3" s="3" t="s">
        <v>263</v>
      </c>
    </row>
    <row r="4" spans="1:88" x14ac:dyDescent="0.2">
      <c r="A4" t="s">
        <v>19</v>
      </c>
      <c r="D4" s="3"/>
      <c r="E4" s="3"/>
      <c r="L4" t="s">
        <v>19</v>
      </c>
      <c r="O4" s="3"/>
      <c r="P4" s="3"/>
      <c r="W4" t="s">
        <v>19</v>
      </c>
      <c r="Z4" s="3"/>
      <c r="AA4" s="3"/>
      <c r="AI4" t="s">
        <v>19</v>
      </c>
      <c r="AL4" s="3"/>
      <c r="AM4" s="3"/>
      <c r="BA4" t="s">
        <v>19</v>
      </c>
      <c r="BD4" s="3"/>
      <c r="BE4" s="3"/>
      <c r="BW4">
        <v>2</v>
      </c>
      <c r="BX4" t="s">
        <v>264</v>
      </c>
      <c r="BY4" s="2"/>
      <c r="BZ4" s="2"/>
      <c r="CA4" s="2"/>
      <c r="CB4" s="2"/>
      <c r="CC4" s="2"/>
      <c r="CF4" s="3" t="s">
        <v>265</v>
      </c>
    </row>
    <row r="5" spans="1:88" x14ac:dyDescent="0.2">
      <c r="A5">
        <v>1</v>
      </c>
      <c r="B5" s="1" t="s">
        <v>10</v>
      </c>
      <c r="L5">
        <v>1</v>
      </c>
      <c r="M5" s="1" t="s">
        <v>10</v>
      </c>
      <c r="W5">
        <v>1</v>
      </c>
      <c r="X5" s="1" t="s">
        <v>10</v>
      </c>
      <c r="AI5" s="228">
        <v>1</v>
      </c>
      <c r="AJ5" s="1" t="s">
        <v>10</v>
      </c>
      <c r="BA5" s="228">
        <v>1</v>
      </c>
      <c r="BB5" s="1" t="s">
        <v>10</v>
      </c>
      <c r="BW5">
        <v>3</v>
      </c>
      <c r="BX5" t="s">
        <v>266</v>
      </c>
      <c r="BY5" s="2"/>
      <c r="BZ5" s="2"/>
      <c r="CA5" s="2"/>
      <c r="CB5" s="2"/>
      <c r="CC5" s="2"/>
      <c r="CF5" s="2" t="s">
        <v>267</v>
      </c>
    </row>
    <row r="6" spans="1:88" x14ac:dyDescent="0.2">
      <c r="A6">
        <v>2</v>
      </c>
      <c r="B6" s="1" t="s">
        <v>11</v>
      </c>
      <c r="L6">
        <v>2</v>
      </c>
      <c r="M6" s="1" t="s">
        <v>11</v>
      </c>
      <c r="W6">
        <v>2</v>
      </c>
      <c r="X6" s="1" t="s">
        <v>11</v>
      </c>
      <c r="AI6">
        <v>2</v>
      </c>
      <c r="AJ6" s="1" t="s">
        <v>11</v>
      </c>
      <c r="BA6">
        <v>2</v>
      </c>
      <c r="BB6" s="1" t="s">
        <v>11</v>
      </c>
      <c r="BW6">
        <v>4</v>
      </c>
      <c r="BX6" t="s">
        <v>268</v>
      </c>
      <c r="BY6" s="2"/>
      <c r="BZ6" s="3" t="s">
        <v>273</v>
      </c>
      <c r="CA6" s="2"/>
      <c r="CB6" s="2"/>
      <c r="CC6" s="2"/>
      <c r="CD6" t="s">
        <v>275</v>
      </c>
      <c r="CF6" s="2" t="s">
        <v>269</v>
      </c>
    </row>
    <row r="7" spans="1:88" x14ac:dyDescent="0.2">
      <c r="A7">
        <v>2</v>
      </c>
      <c r="B7" t="s">
        <v>2</v>
      </c>
      <c r="C7" s="2" t="s">
        <v>68</v>
      </c>
      <c r="D7" s="2" t="s">
        <v>69</v>
      </c>
      <c r="L7">
        <v>2</v>
      </c>
      <c r="M7" t="s">
        <v>2</v>
      </c>
      <c r="N7" s="2" t="s">
        <v>68</v>
      </c>
      <c r="O7" s="2" t="s">
        <v>69</v>
      </c>
      <c r="W7">
        <v>2</v>
      </c>
      <c r="X7" t="s">
        <v>2</v>
      </c>
      <c r="Y7" s="2" t="s">
        <v>68</v>
      </c>
      <c r="Z7" s="2" t="s">
        <v>69</v>
      </c>
      <c r="AI7" s="228">
        <v>2</v>
      </c>
      <c r="AJ7" t="s">
        <v>2</v>
      </c>
      <c r="AK7" s="2" t="s">
        <v>68</v>
      </c>
      <c r="AL7" s="2" t="s">
        <v>183</v>
      </c>
      <c r="AM7" s="85" t="s">
        <v>377</v>
      </c>
      <c r="BA7" s="228">
        <v>2</v>
      </c>
      <c r="BB7" t="s">
        <v>2</v>
      </c>
      <c r="BC7" s="2" t="s">
        <v>459</v>
      </c>
      <c r="BD7" s="2" t="s">
        <v>460</v>
      </c>
      <c r="BE7" s="85" t="s">
        <v>461</v>
      </c>
      <c r="BW7">
        <v>5</v>
      </c>
      <c r="BX7" t="s">
        <v>270</v>
      </c>
      <c r="BY7" s="2"/>
      <c r="BZ7" s="3" t="s">
        <v>274</v>
      </c>
      <c r="CA7" s="2"/>
      <c r="CB7" s="2"/>
      <c r="CC7" s="133" t="s">
        <v>271</v>
      </c>
      <c r="CD7" t="s">
        <v>275</v>
      </c>
      <c r="CF7" s="2" t="s">
        <v>272</v>
      </c>
    </row>
    <row r="8" spans="1:88" x14ac:dyDescent="0.2">
      <c r="A8">
        <v>2</v>
      </c>
      <c r="B8" t="s">
        <v>3</v>
      </c>
      <c r="C8" s="2" t="s">
        <v>63</v>
      </c>
      <c r="D8" s="2" t="s">
        <v>65</v>
      </c>
      <c r="E8" s="2" t="s">
        <v>64</v>
      </c>
      <c r="F8" s="2" t="s">
        <v>66</v>
      </c>
      <c r="L8">
        <v>2</v>
      </c>
      <c r="M8" t="s">
        <v>3</v>
      </c>
      <c r="N8" s="2" t="s">
        <v>63</v>
      </c>
      <c r="O8" s="2" t="s">
        <v>65</v>
      </c>
      <c r="P8" s="2" t="s">
        <v>64</v>
      </c>
      <c r="Q8" s="2" t="s">
        <v>66</v>
      </c>
      <c r="W8" s="84">
        <v>2</v>
      </c>
      <c r="X8" s="84" t="s">
        <v>180</v>
      </c>
      <c r="Y8" s="85" t="s">
        <v>67</v>
      </c>
      <c r="Z8" s="85" t="s">
        <v>181</v>
      </c>
      <c r="AA8" s="85" t="s">
        <v>182</v>
      </c>
      <c r="AB8" s="85" t="s">
        <v>183</v>
      </c>
      <c r="AC8" s="85" t="s">
        <v>184</v>
      </c>
      <c r="AI8" s="84">
        <v>2</v>
      </c>
      <c r="AJ8" s="84" t="s">
        <v>180</v>
      </c>
      <c r="AK8" s="85" t="s">
        <v>67</v>
      </c>
      <c r="AL8" s="85" t="s">
        <v>181</v>
      </c>
      <c r="AN8" s="85" t="s">
        <v>183</v>
      </c>
      <c r="AO8" s="85" t="s">
        <v>184</v>
      </c>
      <c r="BA8" s="84">
        <v>2</v>
      </c>
      <c r="BB8" s="84" t="s">
        <v>180</v>
      </c>
      <c r="BC8" s="85"/>
      <c r="BD8" s="85"/>
      <c r="BF8" s="85"/>
      <c r="BG8" s="85"/>
    </row>
    <row r="9" spans="1:88" ht="16" thickBot="1" x14ac:dyDescent="0.25">
      <c r="A9">
        <v>2</v>
      </c>
      <c r="B9" t="s">
        <v>4</v>
      </c>
      <c r="C9" s="2" t="s">
        <v>67</v>
      </c>
      <c r="D9" s="16">
        <v>3.472222222222222E-3</v>
      </c>
      <c r="L9">
        <v>2</v>
      </c>
      <c r="M9" t="s">
        <v>4</v>
      </c>
      <c r="N9" s="2" t="s">
        <v>67</v>
      </c>
      <c r="O9" s="16">
        <v>3.472222222222222E-3</v>
      </c>
      <c r="W9">
        <v>2</v>
      </c>
      <c r="X9" t="s">
        <v>4</v>
      </c>
      <c r="Y9" s="2" t="s">
        <v>67</v>
      </c>
      <c r="Z9" s="16">
        <v>3.472222222222222E-3</v>
      </c>
      <c r="AI9" s="228">
        <v>2</v>
      </c>
      <c r="AJ9" t="s">
        <v>4</v>
      </c>
      <c r="AK9" s="2" t="s">
        <v>67</v>
      </c>
      <c r="AL9" s="16">
        <v>6.9444444444444441E-3</v>
      </c>
      <c r="AM9" s="2" t="s">
        <v>375</v>
      </c>
      <c r="AN9" s="2" t="s">
        <v>376</v>
      </c>
      <c r="BA9" s="228">
        <v>2</v>
      </c>
      <c r="BB9" t="s">
        <v>4</v>
      </c>
      <c r="BD9" s="16"/>
    </row>
    <row r="10" spans="1:88" ht="16" thickBot="1" x14ac:dyDescent="0.25">
      <c r="BW10" s="17" t="s">
        <v>386</v>
      </c>
      <c r="BX10" s="234" t="s">
        <v>261</v>
      </c>
      <c r="BY10" s="136"/>
      <c r="BZ10" s="136"/>
      <c r="CA10" s="136"/>
      <c r="CB10" s="136"/>
      <c r="CC10" s="136"/>
      <c r="CD10" s="137"/>
      <c r="CE10" s="137"/>
      <c r="CF10" s="138">
        <v>45719</v>
      </c>
    </row>
    <row r="11" spans="1:88" x14ac:dyDescent="0.2">
      <c r="B11" s="1" t="s">
        <v>5</v>
      </c>
      <c r="C11" s="6" t="s">
        <v>14</v>
      </c>
      <c r="D11" s="7" t="s">
        <v>15</v>
      </c>
      <c r="E11" s="7" t="s">
        <v>29</v>
      </c>
      <c r="F11" s="7" t="s">
        <v>16</v>
      </c>
      <c r="G11" s="8" t="s">
        <v>17</v>
      </c>
      <c r="H11" s="15" t="s">
        <v>21</v>
      </c>
      <c r="I11" s="2" t="s">
        <v>22</v>
      </c>
      <c r="M11" s="1" t="s">
        <v>5</v>
      </c>
      <c r="N11" s="6" t="s">
        <v>14</v>
      </c>
      <c r="O11" s="7" t="s">
        <v>15</v>
      </c>
      <c r="P11" s="7" t="s">
        <v>29</v>
      </c>
      <c r="Q11" s="7" t="s">
        <v>16</v>
      </c>
      <c r="R11" s="8" t="s">
        <v>17</v>
      </c>
      <c r="S11" s="15" t="s">
        <v>21</v>
      </c>
      <c r="T11" s="2" t="s">
        <v>22</v>
      </c>
      <c r="X11" s="1" t="s">
        <v>5</v>
      </c>
      <c r="Y11" s="6" t="s">
        <v>14</v>
      </c>
      <c r="Z11" s="7" t="s">
        <v>15</v>
      </c>
      <c r="AA11" s="7" t="s">
        <v>29</v>
      </c>
      <c r="AB11" s="7" t="s">
        <v>16</v>
      </c>
      <c r="AC11" s="8" t="s">
        <v>17</v>
      </c>
      <c r="AD11" s="87" t="s">
        <v>21</v>
      </c>
      <c r="AE11" s="15" t="s">
        <v>22</v>
      </c>
      <c r="AJ11" s="1" t="s">
        <v>5</v>
      </c>
      <c r="AK11" s="6" t="s">
        <v>14</v>
      </c>
      <c r="AL11" s="7" t="s">
        <v>15</v>
      </c>
      <c r="AM11" s="7" t="s">
        <v>29</v>
      </c>
      <c r="AN11" s="7" t="s">
        <v>16</v>
      </c>
      <c r="AO11" s="8" t="s">
        <v>17</v>
      </c>
      <c r="AP11" s="87" t="s">
        <v>21</v>
      </c>
      <c r="AQ11" s="15" t="s">
        <v>22</v>
      </c>
      <c r="BB11" s="1" t="s">
        <v>5</v>
      </c>
      <c r="BC11" s="6" t="s">
        <v>14</v>
      </c>
      <c r="BD11" s="7" t="s">
        <v>15</v>
      </c>
      <c r="BE11" s="7" t="s">
        <v>29</v>
      </c>
      <c r="BF11" s="7" t="s">
        <v>16</v>
      </c>
      <c r="BG11" s="8" t="s">
        <v>17</v>
      </c>
      <c r="BH11" s="87" t="s">
        <v>21</v>
      </c>
      <c r="BI11" s="15" t="s">
        <v>22</v>
      </c>
      <c r="BW11" s="236">
        <v>1</v>
      </c>
      <c r="BX11" t="s">
        <v>262</v>
      </c>
      <c r="BY11" s="2"/>
      <c r="BZ11" s="2"/>
      <c r="CA11" s="2"/>
      <c r="CB11" s="2"/>
      <c r="CC11" s="2"/>
      <c r="CF11" s="229" t="s">
        <v>383</v>
      </c>
    </row>
    <row r="12" spans="1:88" x14ac:dyDescent="0.2">
      <c r="A12">
        <v>3</v>
      </c>
      <c r="B12" t="s">
        <v>12</v>
      </c>
      <c r="C12" s="2">
        <v>3</v>
      </c>
      <c r="D12" s="2">
        <v>8</v>
      </c>
      <c r="F12" s="2" t="s">
        <v>18</v>
      </c>
      <c r="G12" s="2">
        <v>32</v>
      </c>
      <c r="H12" s="5">
        <v>0.85</v>
      </c>
      <c r="I12">
        <v>29.5</v>
      </c>
      <c r="J12">
        <f>I12*0.85</f>
        <v>25.074999999999999</v>
      </c>
      <c r="L12">
        <v>3</v>
      </c>
      <c r="M12" t="s">
        <v>12</v>
      </c>
      <c r="N12" s="2">
        <v>4</v>
      </c>
      <c r="O12" s="2">
        <v>6</v>
      </c>
      <c r="Q12" s="2" t="s">
        <v>18</v>
      </c>
      <c r="R12" s="2">
        <v>39</v>
      </c>
      <c r="S12" s="5">
        <v>0.9</v>
      </c>
      <c r="T12">
        <v>29.5</v>
      </c>
      <c r="U12">
        <f>T12*0.85</f>
        <v>25.074999999999999</v>
      </c>
      <c r="W12">
        <v>3</v>
      </c>
      <c r="X12" t="s">
        <v>185</v>
      </c>
      <c r="Y12" s="2">
        <v>4</v>
      </c>
      <c r="Z12" s="2">
        <v>6</v>
      </c>
      <c r="AB12" s="2" t="s">
        <v>18</v>
      </c>
      <c r="AC12" s="2">
        <f t="shared" ref="AC12:AC14" si="0">AE12*AD12</f>
        <v>35.1</v>
      </c>
      <c r="AD12" s="5">
        <v>0.9</v>
      </c>
      <c r="AE12" s="42">
        <v>39</v>
      </c>
      <c r="AF12">
        <f>AE12*0.85</f>
        <v>33.15</v>
      </c>
      <c r="AI12" s="228">
        <v>3</v>
      </c>
      <c r="AJ12" t="s">
        <v>185</v>
      </c>
      <c r="AK12" s="2">
        <v>4</v>
      </c>
      <c r="AL12" s="2">
        <v>6</v>
      </c>
      <c r="AN12" s="2" t="s">
        <v>18</v>
      </c>
      <c r="AO12" s="2">
        <f t="shared" ref="AO12:AO14" si="1">AQ12*AP12</f>
        <v>36.549999999999997</v>
      </c>
      <c r="AP12" s="5">
        <v>0.85</v>
      </c>
      <c r="AQ12" s="42">
        <v>43</v>
      </c>
      <c r="BA12" s="228">
        <v>3</v>
      </c>
      <c r="BB12" t="s">
        <v>185</v>
      </c>
      <c r="BC12" s="2">
        <v>4</v>
      </c>
      <c r="BD12" s="2">
        <v>8</v>
      </c>
      <c r="BF12" s="2" t="s">
        <v>259</v>
      </c>
      <c r="BG12" s="2">
        <f>BI12*BH12</f>
        <v>39</v>
      </c>
      <c r="BH12" s="5">
        <v>0.75</v>
      </c>
      <c r="BI12" s="42">
        <v>52</v>
      </c>
      <c r="BW12" s="236">
        <v>2</v>
      </c>
      <c r="BX12" t="s">
        <v>264</v>
      </c>
      <c r="BY12" s="2"/>
      <c r="BZ12" s="2" t="s">
        <v>387</v>
      </c>
      <c r="CA12" s="2" t="s">
        <v>388</v>
      </c>
      <c r="CB12" s="2"/>
      <c r="CC12" s="2"/>
      <c r="CF12" s="229" t="s">
        <v>389</v>
      </c>
    </row>
    <row r="13" spans="1:88" x14ac:dyDescent="0.2">
      <c r="A13">
        <v>5</v>
      </c>
      <c r="B13" t="s">
        <v>13</v>
      </c>
      <c r="C13" s="2">
        <v>3</v>
      </c>
      <c r="D13" s="2">
        <v>8</v>
      </c>
      <c r="F13" s="2" t="s">
        <v>18</v>
      </c>
      <c r="G13" s="2">
        <v>25</v>
      </c>
      <c r="H13" s="5">
        <v>0.85</v>
      </c>
      <c r="L13">
        <v>5</v>
      </c>
      <c r="M13" t="s">
        <v>13</v>
      </c>
      <c r="N13" s="2">
        <v>4</v>
      </c>
      <c r="O13" s="2">
        <v>6</v>
      </c>
      <c r="Q13" s="2" t="s">
        <v>18</v>
      </c>
      <c r="R13" s="2">
        <v>32</v>
      </c>
      <c r="S13" s="5">
        <v>0.95</v>
      </c>
      <c r="W13">
        <v>5</v>
      </c>
      <c r="X13" t="s">
        <v>13</v>
      </c>
      <c r="Y13" s="2">
        <v>4</v>
      </c>
      <c r="Z13" s="2">
        <v>6</v>
      </c>
      <c r="AB13" s="2" t="s">
        <v>18</v>
      </c>
      <c r="AC13" s="2">
        <f t="shared" si="0"/>
        <v>30.4</v>
      </c>
      <c r="AD13" s="5">
        <v>0.95</v>
      </c>
      <c r="AE13" s="45">
        <v>32</v>
      </c>
      <c r="AI13" s="228">
        <v>4</v>
      </c>
      <c r="AJ13" t="s">
        <v>390</v>
      </c>
      <c r="AK13" s="2">
        <v>4</v>
      </c>
      <c r="AL13" s="2">
        <v>6</v>
      </c>
      <c r="AN13" s="2" t="s">
        <v>18</v>
      </c>
      <c r="AO13" s="2">
        <f t="shared" si="1"/>
        <v>31.96</v>
      </c>
      <c r="AP13" s="5">
        <v>0.85</v>
      </c>
      <c r="AQ13" s="45">
        <v>37.6</v>
      </c>
      <c r="BA13" s="228">
        <v>4</v>
      </c>
      <c r="BB13" t="s">
        <v>390</v>
      </c>
      <c r="BC13" s="2">
        <v>4</v>
      </c>
      <c r="BD13" s="2">
        <v>8</v>
      </c>
      <c r="BF13" s="2" t="s">
        <v>259</v>
      </c>
      <c r="BG13" s="2">
        <f t="shared" ref="BG13:BG14" si="2">BI13*BH13</f>
        <v>31.950000000000003</v>
      </c>
      <c r="BH13" s="5">
        <v>0.75</v>
      </c>
      <c r="BI13" s="45">
        <v>42.6</v>
      </c>
      <c r="BW13" s="9">
        <v>3</v>
      </c>
      <c r="BX13" t="s">
        <v>266</v>
      </c>
      <c r="BY13" s="2"/>
      <c r="BZ13" s="2"/>
      <c r="CA13" s="2"/>
      <c r="CB13" s="2"/>
      <c r="CC13" s="2"/>
      <c r="CF13" s="230" t="s">
        <v>384</v>
      </c>
      <c r="CG13" s="231" t="s">
        <v>21</v>
      </c>
      <c r="CH13" s="232" t="s">
        <v>214</v>
      </c>
      <c r="CI13" s="233" t="s">
        <v>210</v>
      </c>
    </row>
    <row r="14" spans="1:88" x14ac:dyDescent="0.2">
      <c r="A14">
        <v>7</v>
      </c>
      <c r="B14" t="s">
        <v>20</v>
      </c>
      <c r="C14" s="2">
        <v>4</v>
      </c>
      <c r="D14" s="2">
        <v>8</v>
      </c>
      <c r="F14" s="2" t="s">
        <v>18</v>
      </c>
      <c r="G14" s="2">
        <v>25</v>
      </c>
      <c r="H14" s="5">
        <v>0.85</v>
      </c>
      <c r="L14">
        <v>7</v>
      </c>
      <c r="M14" t="s">
        <v>20</v>
      </c>
      <c r="N14" s="2">
        <v>4</v>
      </c>
      <c r="O14" s="2">
        <v>6</v>
      </c>
      <c r="Q14" s="2" t="s">
        <v>18</v>
      </c>
      <c r="R14" s="2">
        <v>32</v>
      </c>
      <c r="S14" s="5">
        <v>0.9</v>
      </c>
      <c r="W14">
        <v>7</v>
      </c>
      <c r="X14" t="s">
        <v>20</v>
      </c>
      <c r="Y14" s="2">
        <v>4</v>
      </c>
      <c r="Z14" s="2">
        <v>6</v>
      </c>
      <c r="AB14" s="2" t="s">
        <v>18</v>
      </c>
      <c r="AC14" s="2">
        <f t="shared" si="0"/>
        <v>24.57</v>
      </c>
      <c r="AD14" s="5">
        <v>0.9</v>
      </c>
      <c r="AE14" s="45">
        <v>27.3</v>
      </c>
      <c r="AI14" s="228">
        <v>6</v>
      </c>
      <c r="AJ14" t="s">
        <v>20</v>
      </c>
      <c r="AK14" s="2">
        <v>4</v>
      </c>
      <c r="AL14" s="2">
        <v>6</v>
      </c>
      <c r="AN14" s="2" t="s">
        <v>18</v>
      </c>
      <c r="AO14" s="2">
        <f t="shared" si="1"/>
        <v>27.285</v>
      </c>
      <c r="AP14" s="5">
        <v>0.85</v>
      </c>
      <c r="AQ14" s="45">
        <v>32.1</v>
      </c>
      <c r="BA14" s="228">
        <v>6</v>
      </c>
      <c r="BB14" t="s">
        <v>463</v>
      </c>
      <c r="BC14" s="2">
        <v>4</v>
      </c>
      <c r="BD14" s="2">
        <v>8</v>
      </c>
      <c r="BF14" s="2" t="s">
        <v>462</v>
      </c>
      <c r="BG14" s="2">
        <f t="shared" si="2"/>
        <v>31.950000000000003</v>
      </c>
      <c r="BH14" s="5">
        <v>0.75</v>
      </c>
      <c r="BI14" s="45">
        <v>42.6</v>
      </c>
      <c r="BW14" s="60">
        <v>4</v>
      </c>
      <c r="BX14" t="s">
        <v>385</v>
      </c>
      <c r="BY14" s="2"/>
      <c r="BZ14" s="3" t="s">
        <v>273</v>
      </c>
      <c r="CA14" s="2"/>
      <c r="CB14" s="2"/>
      <c r="CC14" s="2"/>
      <c r="CD14" t="s">
        <v>275</v>
      </c>
      <c r="CF14" s="242" t="s">
        <v>382</v>
      </c>
      <c r="CG14" s="243">
        <v>0.95</v>
      </c>
      <c r="CH14">
        <v>41.5</v>
      </c>
      <c r="CI14" s="33">
        <v>7</v>
      </c>
    </row>
    <row r="15" spans="1:88" x14ac:dyDescent="0.2">
      <c r="W15">
        <v>8</v>
      </c>
      <c r="X15" t="s">
        <v>186</v>
      </c>
      <c r="Y15" s="2">
        <v>3</v>
      </c>
      <c r="Z15" s="2">
        <v>8</v>
      </c>
      <c r="AB15" s="2" t="s">
        <v>18</v>
      </c>
      <c r="AC15" s="2">
        <f>AE15*AD15</f>
        <v>12.6</v>
      </c>
      <c r="AD15" s="5">
        <v>0.9</v>
      </c>
      <c r="AE15" s="42">
        <v>14</v>
      </c>
      <c r="AI15" s="228">
        <v>6</v>
      </c>
      <c r="AJ15" t="s">
        <v>186</v>
      </c>
      <c r="AK15" s="2">
        <v>3</v>
      </c>
      <c r="AL15" s="2">
        <v>8</v>
      </c>
      <c r="AN15" s="2" t="s">
        <v>18</v>
      </c>
      <c r="AO15" s="2">
        <f>AQ15*AP15</f>
        <v>18.02</v>
      </c>
      <c r="AP15" s="5">
        <v>0.85</v>
      </c>
      <c r="AQ15" s="42">
        <v>21.2</v>
      </c>
      <c r="BA15" s="228">
        <v>6</v>
      </c>
      <c r="BB15" t="s">
        <v>186</v>
      </c>
      <c r="BC15" s="2">
        <v>4</v>
      </c>
      <c r="BD15" s="2">
        <v>8</v>
      </c>
      <c r="BF15" s="2" t="s">
        <v>18</v>
      </c>
      <c r="BG15" s="2">
        <f>BI15*BH15</f>
        <v>23.01</v>
      </c>
      <c r="BH15" s="5">
        <v>0.78</v>
      </c>
      <c r="BI15" s="42">
        <v>29.5</v>
      </c>
      <c r="BW15" s="235">
        <v>5</v>
      </c>
      <c r="BX15" t="s">
        <v>270</v>
      </c>
      <c r="BY15" s="2"/>
      <c r="BZ15" s="3" t="s">
        <v>274</v>
      </c>
      <c r="CA15" s="2"/>
      <c r="CB15" s="2"/>
      <c r="CC15" s="133" t="s">
        <v>271</v>
      </c>
      <c r="CD15" t="s">
        <v>275</v>
      </c>
      <c r="CF15" s="244" t="s">
        <v>404</v>
      </c>
      <c r="CG15" s="38">
        <f>19*10</f>
        <v>190</v>
      </c>
      <c r="CH15" s="245" t="s">
        <v>405</v>
      </c>
      <c r="CI15" s="246">
        <f>CG15/60</f>
        <v>3.1666666666666665</v>
      </c>
      <c r="CJ15" s="39" t="s">
        <v>406</v>
      </c>
    </row>
    <row r="16" spans="1:88" x14ac:dyDescent="0.2">
      <c r="B16" s="1" t="s">
        <v>6</v>
      </c>
      <c r="C16" s="6" t="s">
        <v>14</v>
      </c>
      <c r="D16" s="7" t="s">
        <v>15</v>
      </c>
      <c r="E16" s="7" t="s">
        <v>29</v>
      </c>
      <c r="F16" s="7" t="s">
        <v>16</v>
      </c>
      <c r="G16" s="8" t="s">
        <v>17</v>
      </c>
      <c r="H16" s="15" t="s">
        <v>21</v>
      </c>
      <c r="I16" s="2" t="s">
        <v>22</v>
      </c>
      <c r="M16" s="1" t="s">
        <v>6</v>
      </c>
      <c r="N16" s="6" t="s">
        <v>14</v>
      </c>
      <c r="O16" s="7" t="s">
        <v>15</v>
      </c>
      <c r="P16" s="7" t="s">
        <v>29</v>
      </c>
      <c r="Q16" s="7" t="s">
        <v>16</v>
      </c>
      <c r="R16" s="8" t="s">
        <v>17</v>
      </c>
      <c r="S16" s="15" t="s">
        <v>21</v>
      </c>
      <c r="T16" s="2" t="s">
        <v>22</v>
      </c>
      <c r="AI16" s="228">
        <v>7</v>
      </c>
      <c r="AJ16" t="s">
        <v>378</v>
      </c>
      <c r="AK16" s="2">
        <v>4</v>
      </c>
      <c r="AL16" s="2">
        <v>8</v>
      </c>
      <c r="AN16" s="2" t="s">
        <v>18</v>
      </c>
      <c r="AO16" s="2">
        <f>AQ16*AP16</f>
        <v>33.15</v>
      </c>
      <c r="AP16" s="5">
        <v>0.85</v>
      </c>
      <c r="AQ16" s="42">
        <v>39</v>
      </c>
      <c r="BA16" s="228">
        <v>7</v>
      </c>
      <c r="BB16" t="s">
        <v>464</v>
      </c>
      <c r="BC16" s="2">
        <v>4</v>
      </c>
      <c r="BD16" s="2">
        <v>8</v>
      </c>
      <c r="BF16" s="2" t="s">
        <v>18</v>
      </c>
      <c r="BG16" s="2">
        <f>BI16*BH16</f>
        <v>45</v>
      </c>
      <c r="BH16" s="5">
        <v>0.75</v>
      </c>
      <c r="BI16" s="42">
        <v>60</v>
      </c>
    </row>
    <row r="17" spans="1:76" x14ac:dyDescent="0.2">
      <c r="A17">
        <v>4</v>
      </c>
      <c r="B17" t="s">
        <v>42</v>
      </c>
      <c r="C17" s="2">
        <v>3</v>
      </c>
      <c r="D17" s="2">
        <v>1</v>
      </c>
      <c r="E17" s="2" t="s">
        <v>43</v>
      </c>
      <c r="F17" s="2" t="s">
        <v>43</v>
      </c>
      <c r="G17" s="2" t="s">
        <v>27</v>
      </c>
      <c r="H17" s="5">
        <v>0.5</v>
      </c>
      <c r="I17">
        <v>29.5</v>
      </c>
      <c r="J17">
        <f>I17*0.85</f>
        <v>25.074999999999999</v>
      </c>
      <c r="L17">
        <v>4</v>
      </c>
      <c r="M17" t="s">
        <v>42</v>
      </c>
      <c r="N17" s="2">
        <v>4</v>
      </c>
      <c r="O17" s="2">
        <v>1</v>
      </c>
      <c r="P17" s="2" t="s">
        <v>26</v>
      </c>
      <c r="Q17" s="2" t="s">
        <v>18</v>
      </c>
      <c r="R17" s="2" t="s">
        <v>27</v>
      </c>
      <c r="S17" s="5">
        <v>0.5</v>
      </c>
      <c r="T17">
        <v>29.5</v>
      </c>
      <c r="U17">
        <f>T17*0.85</f>
        <v>25.074999999999999</v>
      </c>
      <c r="X17" s="1" t="s">
        <v>6</v>
      </c>
      <c r="Y17" s="6" t="s">
        <v>14</v>
      </c>
      <c r="Z17" s="7" t="s">
        <v>15</v>
      </c>
      <c r="AA17" s="7" t="s">
        <v>29</v>
      </c>
      <c r="AB17" s="7" t="s">
        <v>16</v>
      </c>
      <c r="AC17" s="8" t="s">
        <v>17</v>
      </c>
      <c r="AD17" s="87" t="s">
        <v>21</v>
      </c>
      <c r="AE17" s="15" t="s">
        <v>22</v>
      </c>
      <c r="BW17" t="s">
        <v>393</v>
      </c>
      <c r="BX17" t="s">
        <v>396</v>
      </c>
    </row>
    <row r="18" spans="1:76" x14ac:dyDescent="0.2">
      <c r="A18">
        <v>6</v>
      </c>
      <c r="B18" t="s">
        <v>44</v>
      </c>
      <c r="C18" s="2">
        <v>4</v>
      </c>
      <c r="D18" s="2">
        <v>30</v>
      </c>
      <c r="F18" s="2" t="s">
        <v>18</v>
      </c>
      <c r="G18" s="2">
        <v>6</v>
      </c>
      <c r="H18" s="5">
        <v>0.65</v>
      </c>
      <c r="L18">
        <v>6</v>
      </c>
      <c r="M18" t="s">
        <v>44</v>
      </c>
      <c r="N18" s="2">
        <v>4</v>
      </c>
      <c r="O18" s="2">
        <v>30</v>
      </c>
      <c r="Q18" s="2" t="s">
        <v>18</v>
      </c>
      <c r="R18" s="2">
        <v>6</v>
      </c>
      <c r="S18" s="5">
        <v>0.65</v>
      </c>
      <c r="W18">
        <v>4</v>
      </c>
      <c r="X18" t="s">
        <v>42</v>
      </c>
      <c r="Y18" s="2">
        <v>4</v>
      </c>
      <c r="Z18" s="2">
        <v>1</v>
      </c>
      <c r="AA18" s="2" t="s">
        <v>26</v>
      </c>
      <c r="AB18" s="2" t="s">
        <v>18</v>
      </c>
      <c r="AC18" s="2" t="s">
        <v>27</v>
      </c>
      <c r="AD18" s="5">
        <v>0.5</v>
      </c>
      <c r="AE18" s="45">
        <v>29.5</v>
      </c>
      <c r="AF18">
        <f>AE18*0.85</f>
        <v>25.074999999999999</v>
      </c>
      <c r="BX18" t="s">
        <v>394</v>
      </c>
    </row>
    <row r="19" spans="1:76" x14ac:dyDescent="0.2">
      <c r="A19">
        <v>12</v>
      </c>
      <c r="B19" t="s">
        <v>51</v>
      </c>
      <c r="C19" s="2">
        <v>3</v>
      </c>
      <c r="D19" s="2">
        <v>20</v>
      </c>
      <c r="F19" s="2" t="s">
        <v>26</v>
      </c>
      <c r="G19" s="2" t="s">
        <v>52</v>
      </c>
      <c r="H19" s="5">
        <v>0.5</v>
      </c>
      <c r="L19">
        <v>12</v>
      </c>
      <c r="M19" t="s">
        <v>51</v>
      </c>
      <c r="N19" s="2">
        <v>3</v>
      </c>
      <c r="O19" s="2">
        <v>20</v>
      </c>
      <c r="Q19" s="2" t="s">
        <v>26</v>
      </c>
      <c r="R19" s="2" t="s">
        <v>70</v>
      </c>
      <c r="S19" s="5">
        <v>0.8</v>
      </c>
      <c r="W19">
        <v>6</v>
      </c>
      <c r="X19" t="s">
        <v>44</v>
      </c>
      <c r="Y19" s="2">
        <v>4</v>
      </c>
      <c r="Z19" s="2">
        <v>30</v>
      </c>
      <c r="AB19" s="2" t="s">
        <v>18</v>
      </c>
      <c r="AC19" s="2">
        <v>6</v>
      </c>
      <c r="AD19" s="5">
        <v>0.65</v>
      </c>
      <c r="AE19" s="45">
        <v>16</v>
      </c>
      <c r="AJ19" s="1" t="s">
        <v>6</v>
      </c>
      <c r="AK19" s="6" t="s">
        <v>14</v>
      </c>
      <c r="AL19" s="7" t="s">
        <v>15</v>
      </c>
      <c r="AM19" s="7" t="s">
        <v>29</v>
      </c>
      <c r="AN19" s="7" t="s">
        <v>16</v>
      </c>
      <c r="AO19" s="8" t="s">
        <v>17</v>
      </c>
      <c r="AP19" s="87" t="s">
        <v>21</v>
      </c>
      <c r="AQ19" s="15" t="s">
        <v>22</v>
      </c>
      <c r="BB19" s="1" t="s">
        <v>6</v>
      </c>
      <c r="BC19" s="6" t="s">
        <v>14</v>
      </c>
      <c r="BD19" s="7" t="s">
        <v>15</v>
      </c>
      <c r="BE19" s="7" t="s">
        <v>29</v>
      </c>
      <c r="BF19" s="7" t="s">
        <v>16</v>
      </c>
      <c r="BG19" s="8" t="s">
        <v>17</v>
      </c>
      <c r="BH19" s="87" t="s">
        <v>21</v>
      </c>
      <c r="BI19" s="15" t="s">
        <v>22</v>
      </c>
      <c r="BW19" t="s">
        <v>395</v>
      </c>
      <c r="BX19" t="s">
        <v>396</v>
      </c>
    </row>
    <row r="20" spans="1:76" x14ac:dyDescent="0.2">
      <c r="A20">
        <v>14</v>
      </c>
      <c r="B20" t="s">
        <v>45</v>
      </c>
      <c r="C20" s="2">
        <v>3</v>
      </c>
      <c r="D20" s="2">
        <v>10</v>
      </c>
      <c r="F20" s="2" t="s">
        <v>18</v>
      </c>
      <c r="G20" s="2">
        <f>2+2+4+4</f>
        <v>12</v>
      </c>
      <c r="H20" s="5">
        <v>0.95</v>
      </c>
      <c r="L20">
        <v>14</v>
      </c>
      <c r="M20" t="s">
        <v>45</v>
      </c>
      <c r="N20" s="2">
        <v>3</v>
      </c>
      <c r="O20" s="2">
        <v>10</v>
      </c>
      <c r="Q20" s="2" t="s">
        <v>18</v>
      </c>
      <c r="R20" s="2">
        <f>2+2+4+4</f>
        <v>12</v>
      </c>
      <c r="S20" s="5">
        <v>0.95</v>
      </c>
      <c r="W20">
        <v>12</v>
      </c>
      <c r="X20" t="s">
        <v>51</v>
      </c>
      <c r="Y20" s="2">
        <v>3</v>
      </c>
      <c r="Z20" s="2">
        <v>20</v>
      </c>
      <c r="AB20" s="2" t="s">
        <v>26</v>
      </c>
      <c r="AC20" s="2" t="s">
        <v>70</v>
      </c>
      <c r="AD20" s="5">
        <v>0.8</v>
      </c>
      <c r="AE20" s="45">
        <v>6</v>
      </c>
      <c r="AI20">
        <v>16</v>
      </c>
      <c r="AJ20" t="s">
        <v>42</v>
      </c>
      <c r="AK20" s="2">
        <v>4</v>
      </c>
      <c r="AL20" s="2">
        <v>1</v>
      </c>
      <c r="AM20" s="2" t="s">
        <v>26</v>
      </c>
      <c r="AN20" s="2" t="s">
        <v>18</v>
      </c>
      <c r="AO20" s="2" t="s">
        <v>27</v>
      </c>
      <c r="AP20" s="5">
        <v>0.5</v>
      </c>
      <c r="AQ20" s="45">
        <v>29.5</v>
      </c>
      <c r="BA20">
        <v>16</v>
      </c>
      <c r="BB20" t="s">
        <v>42</v>
      </c>
      <c r="BC20" s="2">
        <v>4</v>
      </c>
      <c r="BD20" s="2">
        <v>1</v>
      </c>
      <c r="BE20" s="2" t="s">
        <v>26</v>
      </c>
      <c r="BF20" s="2" t="s">
        <v>18</v>
      </c>
      <c r="BG20" s="2" t="s">
        <v>27</v>
      </c>
      <c r="BH20" s="5">
        <v>0.5</v>
      </c>
      <c r="BI20" s="45">
        <v>29.5</v>
      </c>
      <c r="BX20" t="s">
        <v>394</v>
      </c>
    </row>
    <row r="21" spans="1:76" x14ac:dyDescent="0.2">
      <c r="A21">
        <v>8</v>
      </c>
      <c r="B21" t="s">
        <v>46</v>
      </c>
      <c r="C21" s="2">
        <v>4</v>
      </c>
      <c r="D21" s="2">
        <v>10</v>
      </c>
      <c r="F21" s="2" t="s">
        <v>26</v>
      </c>
      <c r="G21" s="2">
        <v>5</v>
      </c>
      <c r="H21" s="5">
        <v>0.85</v>
      </c>
      <c r="L21">
        <v>8</v>
      </c>
      <c r="M21" t="s">
        <v>46</v>
      </c>
      <c r="N21" s="2">
        <v>4</v>
      </c>
      <c r="O21" s="2">
        <v>8</v>
      </c>
      <c r="Q21" s="2" t="s">
        <v>18</v>
      </c>
      <c r="R21" s="2">
        <v>4</v>
      </c>
      <c r="S21" s="5">
        <v>0.85</v>
      </c>
      <c r="W21">
        <v>14</v>
      </c>
      <c r="X21" t="s">
        <v>45</v>
      </c>
      <c r="Y21" s="2">
        <v>3</v>
      </c>
      <c r="Z21" s="2">
        <v>10</v>
      </c>
      <c r="AB21" s="2" t="s">
        <v>18</v>
      </c>
      <c r="AC21" s="2">
        <f>2+2+4+4</f>
        <v>12</v>
      </c>
      <c r="AD21" s="5">
        <v>0.95</v>
      </c>
      <c r="AE21" s="45">
        <v>12</v>
      </c>
      <c r="AI21">
        <v>17</v>
      </c>
      <c r="AJ21" t="s">
        <v>44</v>
      </c>
      <c r="AK21" s="2">
        <v>4</v>
      </c>
      <c r="AL21" s="2">
        <v>30</v>
      </c>
      <c r="AN21" s="2" t="s">
        <v>18</v>
      </c>
      <c r="AO21" s="2">
        <v>6</v>
      </c>
      <c r="AP21" s="5">
        <v>0.65</v>
      </c>
      <c r="AQ21" s="45">
        <v>16</v>
      </c>
      <c r="BA21">
        <v>17</v>
      </c>
      <c r="BB21" t="s">
        <v>44</v>
      </c>
      <c r="BC21" s="2">
        <v>4</v>
      </c>
      <c r="BD21" s="2">
        <v>30</v>
      </c>
      <c r="BF21" s="2" t="s">
        <v>18</v>
      </c>
      <c r="BG21" s="2">
        <v>6</v>
      </c>
      <c r="BH21" s="5">
        <v>0.65</v>
      </c>
      <c r="BI21" s="45">
        <v>16</v>
      </c>
    </row>
    <row r="22" spans="1:76" x14ac:dyDescent="0.2">
      <c r="A22">
        <v>10</v>
      </c>
      <c r="B22" t="s">
        <v>49</v>
      </c>
      <c r="C22" s="2">
        <v>4</v>
      </c>
      <c r="D22" s="2">
        <v>10</v>
      </c>
      <c r="F22" s="2" t="s">
        <v>18</v>
      </c>
      <c r="G22" s="2" t="s">
        <v>27</v>
      </c>
      <c r="L22">
        <v>10</v>
      </c>
      <c r="M22" t="s">
        <v>71</v>
      </c>
      <c r="N22" s="2">
        <v>4</v>
      </c>
      <c r="O22" s="2">
        <v>10</v>
      </c>
      <c r="Q22" s="2" t="s">
        <v>18</v>
      </c>
      <c r="R22" s="2">
        <v>10</v>
      </c>
      <c r="S22" s="5">
        <v>0.9</v>
      </c>
      <c r="W22">
        <v>8</v>
      </c>
      <c r="X22" t="s">
        <v>46</v>
      </c>
      <c r="Y22" s="2">
        <v>4</v>
      </c>
      <c r="Z22" s="2">
        <v>8</v>
      </c>
      <c r="AB22" s="2" t="s">
        <v>18</v>
      </c>
      <c r="AC22" s="2">
        <v>4</v>
      </c>
      <c r="AD22" s="5">
        <v>0.85</v>
      </c>
      <c r="AE22" s="45">
        <v>4</v>
      </c>
      <c r="AI22">
        <v>18</v>
      </c>
      <c r="AJ22" t="s">
        <v>51</v>
      </c>
      <c r="AK22" s="2">
        <v>3</v>
      </c>
      <c r="AL22" s="2">
        <v>20</v>
      </c>
      <c r="AN22" s="2" t="s">
        <v>26</v>
      </c>
      <c r="AO22" s="2" t="s">
        <v>70</v>
      </c>
      <c r="AP22" s="5">
        <v>0.8</v>
      </c>
      <c r="AQ22" s="45">
        <v>6</v>
      </c>
      <c r="BA22">
        <v>18</v>
      </c>
      <c r="BB22" t="s">
        <v>51</v>
      </c>
      <c r="BC22" s="2">
        <v>3</v>
      </c>
      <c r="BD22" s="2">
        <v>20</v>
      </c>
      <c r="BF22" s="2" t="s">
        <v>26</v>
      </c>
      <c r="BG22" s="2" t="s">
        <v>70</v>
      </c>
      <c r="BH22" s="5">
        <v>0.8</v>
      </c>
      <c r="BI22" s="45">
        <v>6</v>
      </c>
    </row>
    <row r="23" spans="1:76" x14ac:dyDescent="0.2">
      <c r="W23">
        <v>10</v>
      </c>
      <c r="X23" t="s">
        <v>71</v>
      </c>
      <c r="Y23" s="2">
        <v>4</v>
      </c>
      <c r="Z23" s="2">
        <v>10</v>
      </c>
      <c r="AB23" s="2" t="s">
        <v>18</v>
      </c>
      <c r="AC23" s="2">
        <v>10</v>
      </c>
      <c r="AD23" s="5">
        <v>0.9</v>
      </c>
      <c r="AE23" s="45">
        <v>10</v>
      </c>
      <c r="AI23">
        <v>19</v>
      </c>
      <c r="AJ23" t="s">
        <v>45</v>
      </c>
      <c r="AK23" s="2">
        <v>3</v>
      </c>
      <c r="AL23" s="2">
        <v>10</v>
      </c>
      <c r="AN23" s="2" t="s">
        <v>18</v>
      </c>
      <c r="AO23" s="2">
        <f>2+2+4+4</f>
        <v>12</v>
      </c>
      <c r="AP23" s="5">
        <v>0.95</v>
      </c>
      <c r="AQ23" s="45">
        <v>12</v>
      </c>
      <c r="BA23">
        <v>19</v>
      </c>
      <c r="BB23" t="s">
        <v>45</v>
      </c>
      <c r="BC23" s="2">
        <v>3</v>
      </c>
      <c r="BD23" s="2">
        <v>10</v>
      </c>
      <c r="BF23" s="2" t="s">
        <v>18</v>
      </c>
      <c r="BG23" s="2">
        <f>2+2+4+4</f>
        <v>12</v>
      </c>
      <c r="BH23" s="5">
        <v>0.95</v>
      </c>
      <c r="BI23" s="45">
        <v>12</v>
      </c>
    </row>
    <row r="24" spans="1:76" x14ac:dyDescent="0.2">
      <c r="AI24">
        <v>20</v>
      </c>
      <c r="AJ24" t="s">
        <v>46</v>
      </c>
      <c r="AK24" s="2">
        <v>4</v>
      </c>
      <c r="AL24" s="2">
        <v>8</v>
      </c>
      <c r="AN24" s="2" t="s">
        <v>18</v>
      </c>
      <c r="AO24" s="2">
        <v>4</v>
      </c>
      <c r="AP24" s="5">
        <v>0.85</v>
      </c>
      <c r="AQ24" s="45">
        <v>4</v>
      </c>
      <c r="BA24">
        <v>20</v>
      </c>
      <c r="BB24" t="s">
        <v>46</v>
      </c>
      <c r="BC24" s="2">
        <v>4</v>
      </c>
      <c r="BD24" s="2">
        <v>8</v>
      </c>
      <c r="BF24" s="2" t="s">
        <v>18</v>
      </c>
      <c r="BG24" s="2">
        <v>4</v>
      </c>
      <c r="BH24" s="5">
        <v>0.85</v>
      </c>
      <c r="BI24" s="45">
        <v>4</v>
      </c>
    </row>
    <row r="25" spans="1:76" x14ac:dyDescent="0.2">
      <c r="B25" s="1" t="s">
        <v>7</v>
      </c>
      <c r="C25" s="6" t="s">
        <v>14</v>
      </c>
      <c r="D25" s="7" t="s">
        <v>15</v>
      </c>
      <c r="E25" s="7" t="s">
        <v>29</v>
      </c>
      <c r="F25" s="7" t="s">
        <v>16</v>
      </c>
      <c r="G25" s="8" t="s">
        <v>17</v>
      </c>
      <c r="H25" s="15" t="s">
        <v>21</v>
      </c>
      <c r="I25" s="2" t="s">
        <v>22</v>
      </c>
      <c r="M25" s="1" t="s">
        <v>7</v>
      </c>
      <c r="N25" s="6" t="s">
        <v>14</v>
      </c>
      <c r="O25" s="7" t="s">
        <v>15</v>
      </c>
      <c r="P25" s="7" t="s">
        <v>29</v>
      </c>
      <c r="Q25" s="7" t="s">
        <v>16</v>
      </c>
      <c r="R25" s="8" t="s">
        <v>17</v>
      </c>
      <c r="S25" s="15" t="s">
        <v>21</v>
      </c>
      <c r="T25" s="2" t="s">
        <v>22</v>
      </c>
      <c r="AI25">
        <v>21</v>
      </c>
      <c r="AJ25" t="s">
        <v>71</v>
      </c>
      <c r="AK25" s="2">
        <v>4</v>
      </c>
      <c r="AL25" s="2">
        <v>10</v>
      </c>
      <c r="AN25" s="2" t="s">
        <v>18</v>
      </c>
      <c r="AO25" s="2">
        <v>10</v>
      </c>
      <c r="AP25" s="5">
        <v>0.9</v>
      </c>
      <c r="AQ25" s="45">
        <v>10</v>
      </c>
      <c r="BA25">
        <v>21</v>
      </c>
      <c r="BB25" t="s">
        <v>71</v>
      </c>
      <c r="BC25" s="2">
        <v>4</v>
      </c>
      <c r="BD25" s="2">
        <v>10</v>
      </c>
      <c r="BF25" s="2" t="s">
        <v>18</v>
      </c>
      <c r="BG25" s="2">
        <v>10</v>
      </c>
      <c r="BH25" s="5">
        <v>0.9</v>
      </c>
      <c r="BI25" s="45">
        <v>10</v>
      </c>
    </row>
    <row r="26" spans="1:76" x14ac:dyDescent="0.2">
      <c r="B26" s="14" t="s">
        <v>23</v>
      </c>
      <c r="I26">
        <v>29.5</v>
      </c>
      <c r="J26">
        <f>I26*0.85</f>
        <v>25.074999999999999</v>
      </c>
      <c r="M26" s="14" t="s">
        <v>23</v>
      </c>
      <c r="T26">
        <v>29.5</v>
      </c>
      <c r="U26">
        <f>T26*0.85</f>
        <v>25.074999999999999</v>
      </c>
      <c r="X26" s="1" t="s">
        <v>7</v>
      </c>
      <c r="Y26" s="6" t="s">
        <v>14</v>
      </c>
      <c r="Z26" s="7" t="s">
        <v>15</v>
      </c>
      <c r="AA26" s="7" t="s">
        <v>29</v>
      </c>
      <c r="AB26" s="7" t="s">
        <v>16</v>
      </c>
      <c r="AC26" s="8" t="s">
        <v>17</v>
      </c>
      <c r="AD26" s="87" t="s">
        <v>21</v>
      </c>
      <c r="AE26" s="15" t="s">
        <v>22</v>
      </c>
      <c r="AI26" s="228">
        <v>8</v>
      </c>
      <c r="AJ26" t="s">
        <v>380</v>
      </c>
      <c r="AK26" s="2">
        <v>4</v>
      </c>
      <c r="AL26" s="2">
        <v>8</v>
      </c>
      <c r="AN26" s="2" t="s">
        <v>18</v>
      </c>
      <c r="AO26" s="2">
        <f>AQ26*AP26</f>
        <v>23.035</v>
      </c>
      <c r="AP26" s="5">
        <v>0.85</v>
      </c>
      <c r="AQ26" s="42">
        <v>27.1</v>
      </c>
      <c r="BA26" s="228">
        <v>8</v>
      </c>
      <c r="BB26" t="s">
        <v>380</v>
      </c>
      <c r="BC26" s="2">
        <v>4</v>
      </c>
      <c r="BD26" s="2">
        <v>8</v>
      </c>
      <c r="BF26" s="2" t="s">
        <v>18</v>
      </c>
      <c r="BG26" s="2">
        <f>BI26*BH26</f>
        <v>23.035</v>
      </c>
      <c r="BH26" s="5">
        <v>0.85</v>
      </c>
      <c r="BI26" s="42">
        <v>27.1</v>
      </c>
    </row>
    <row r="27" spans="1:76" x14ac:dyDescent="0.2">
      <c r="B27" t="s">
        <v>25</v>
      </c>
      <c r="C27" s="2">
        <v>3</v>
      </c>
      <c r="D27" s="2">
        <v>8</v>
      </c>
      <c r="E27" s="2" t="s">
        <v>30</v>
      </c>
      <c r="F27" s="2" t="s">
        <v>26</v>
      </c>
      <c r="G27" s="2" t="s">
        <v>27</v>
      </c>
      <c r="M27" t="s">
        <v>25</v>
      </c>
      <c r="N27" s="2">
        <v>3</v>
      </c>
      <c r="O27" s="2">
        <v>8</v>
      </c>
      <c r="P27" s="2" t="s">
        <v>30</v>
      </c>
      <c r="Q27" s="2" t="s">
        <v>26</v>
      </c>
      <c r="R27" s="2" t="s">
        <v>27</v>
      </c>
      <c r="X27" s="14" t="s">
        <v>23</v>
      </c>
      <c r="AE27" s="42">
        <v>29.5</v>
      </c>
      <c r="AF27">
        <f>AE27*0.85</f>
        <v>25.074999999999999</v>
      </c>
      <c r="AK27" s="237">
        <v>4</v>
      </c>
      <c r="AL27" s="237">
        <v>8</v>
      </c>
      <c r="AM27" s="237"/>
      <c r="AN27" s="237" t="s">
        <v>18</v>
      </c>
      <c r="AO27" s="237">
        <f>AQ27*AP27</f>
        <v>30.004999999999995</v>
      </c>
      <c r="AP27" s="239">
        <v>0.85</v>
      </c>
      <c r="AQ27" s="238">
        <v>35.299999999999997</v>
      </c>
      <c r="BC27" s="237">
        <v>4</v>
      </c>
      <c r="BD27" s="237">
        <v>8</v>
      </c>
      <c r="BE27" s="237"/>
      <c r="BF27" s="237" t="s">
        <v>18</v>
      </c>
      <c r="BG27" s="237">
        <f>BI27*BH27</f>
        <v>30.004999999999995</v>
      </c>
      <c r="BH27" s="239">
        <v>0.85</v>
      </c>
      <c r="BI27" s="238">
        <v>35.299999999999997</v>
      </c>
    </row>
    <row r="28" spans="1:76" x14ac:dyDescent="0.2">
      <c r="B28" t="s">
        <v>28</v>
      </c>
      <c r="C28" s="2">
        <v>3</v>
      </c>
      <c r="D28" s="2">
        <v>1</v>
      </c>
      <c r="E28" s="2" t="s">
        <v>31</v>
      </c>
      <c r="F28" s="2" t="s">
        <v>26</v>
      </c>
      <c r="G28" s="2" t="s">
        <v>27</v>
      </c>
      <c r="M28" t="s">
        <v>28</v>
      </c>
      <c r="N28" s="2">
        <v>3</v>
      </c>
      <c r="O28" s="2">
        <v>1</v>
      </c>
      <c r="P28" s="2" t="s">
        <v>31</v>
      </c>
      <c r="Q28" s="2" t="s">
        <v>26</v>
      </c>
      <c r="R28" s="2" t="s">
        <v>27</v>
      </c>
      <c r="X28" t="s">
        <v>25</v>
      </c>
      <c r="Y28" s="2">
        <v>3</v>
      </c>
      <c r="Z28" s="2">
        <v>8</v>
      </c>
      <c r="AA28" s="2" t="s">
        <v>30</v>
      </c>
      <c r="AB28" s="2" t="s">
        <v>26</v>
      </c>
      <c r="AC28" s="2" t="s">
        <v>27</v>
      </c>
      <c r="AE28" s="42"/>
      <c r="AJ28" s="1" t="s">
        <v>7</v>
      </c>
      <c r="AK28" s="6" t="s">
        <v>14</v>
      </c>
      <c r="AL28" s="7" t="s">
        <v>15</v>
      </c>
      <c r="AM28" s="7" t="s">
        <v>29</v>
      </c>
      <c r="AN28" s="7" t="s">
        <v>16</v>
      </c>
      <c r="AO28" s="8" t="s">
        <v>17</v>
      </c>
      <c r="AP28" s="87" t="s">
        <v>21</v>
      </c>
      <c r="AQ28" s="15" t="s">
        <v>22</v>
      </c>
      <c r="BB28" s="1" t="s">
        <v>7</v>
      </c>
      <c r="BC28" s="6" t="s">
        <v>14</v>
      </c>
      <c r="BD28" s="7" t="s">
        <v>15</v>
      </c>
      <c r="BE28" s="7" t="s">
        <v>29</v>
      </c>
      <c r="BF28" s="7" t="s">
        <v>16</v>
      </c>
      <c r="BG28" s="8" t="s">
        <v>17</v>
      </c>
      <c r="BH28" s="87" t="s">
        <v>21</v>
      </c>
      <c r="BI28" s="15" t="s">
        <v>22</v>
      </c>
    </row>
    <row r="29" spans="1:76" x14ac:dyDescent="0.2">
      <c r="B29" t="s">
        <v>32</v>
      </c>
      <c r="C29" s="2">
        <v>3</v>
      </c>
      <c r="D29" s="2">
        <v>4</v>
      </c>
      <c r="E29" s="2" t="s">
        <v>30</v>
      </c>
      <c r="F29" s="2" t="s">
        <v>26</v>
      </c>
      <c r="G29" s="2" t="s">
        <v>27</v>
      </c>
      <c r="M29" t="s">
        <v>32</v>
      </c>
      <c r="N29" s="2">
        <v>3</v>
      </c>
      <c r="O29" s="2">
        <v>4</v>
      </c>
      <c r="P29" s="2" t="s">
        <v>30</v>
      </c>
      <c r="Q29" s="2" t="s">
        <v>26</v>
      </c>
      <c r="R29" s="2" t="s">
        <v>27</v>
      </c>
      <c r="X29" t="s">
        <v>28</v>
      </c>
      <c r="Y29" s="2">
        <v>3</v>
      </c>
      <c r="Z29" s="2">
        <v>1</v>
      </c>
      <c r="AA29" s="2" t="s">
        <v>31</v>
      </c>
      <c r="AB29" s="2" t="s">
        <v>26</v>
      </c>
      <c r="AC29" s="2" t="s">
        <v>27</v>
      </c>
      <c r="AE29" s="42"/>
      <c r="AJ29" s="14" t="s">
        <v>23</v>
      </c>
      <c r="AQ29" s="42">
        <v>29.5</v>
      </c>
      <c r="AR29">
        <f>AQ29*0.85</f>
        <v>25.074999999999999</v>
      </c>
      <c r="BB29" s="14" t="s">
        <v>23</v>
      </c>
      <c r="BI29" s="42">
        <v>29.5</v>
      </c>
      <c r="BJ29">
        <f>BI29*0.85</f>
        <v>25.074999999999999</v>
      </c>
    </row>
    <row r="30" spans="1:76" x14ac:dyDescent="0.2">
      <c r="B30" s="9" t="s">
        <v>33</v>
      </c>
      <c r="C30" s="10">
        <v>3</v>
      </c>
      <c r="D30" s="10" t="s">
        <v>34</v>
      </c>
      <c r="E30" s="10" t="s">
        <v>34</v>
      </c>
      <c r="F30" s="10"/>
      <c r="G30" s="10"/>
      <c r="H30" s="9"/>
      <c r="M30" s="9" t="s">
        <v>33</v>
      </c>
      <c r="N30" s="10">
        <v>3</v>
      </c>
      <c r="O30" s="10" t="s">
        <v>34</v>
      </c>
      <c r="P30" s="10" t="s">
        <v>34</v>
      </c>
      <c r="Q30" s="10"/>
      <c r="R30" s="10"/>
      <c r="S30" s="9"/>
      <c r="X30" t="s">
        <v>32</v>
      </c>
      <c r="Y30" s="2">
        <v>3</v>
      </c>
      <c r="Z30" s="2">
        <v>4</v>
      </c>
      <c r="AA30" s="2" t="s">
        <v>30</v>
      </c>
      <c r="AB30" s="2" t="s">
        <v>26</v>
      </c>
      <c r="AC30" s="2" t="s">
        <v>27</v>
      </c>
      <c r="AE30" s="42"/>
      <c r="AJ30" t="s">
        <v>25</v>
      </c>
      <c r="AK30" s="2">
        <v>3</v>
      </c>
      <c r="AL30" s="2">
        <v>8</v>
      </c>
      <c r="AM30" s="2" t="s">
        <v>30</v>
      </c>
      <c r="AN30" s="2" t="s">
        <v>26</v>
      </c>
      <c r="AO30" s="2" t="s">
        <v>27</v>
      </c>
      <c r="AP30" s="5">
        <v>0.9</v>
      </c>
      <c r="AQ30" s="42">
        <v>48.5</v>
      </c>
      <c r="AR30" s="2" t="s">
        <v>209</v>
      </c>
      <c r="BB30" t="s">
        <v>25</v>
      </c>
      <c r="BC30" s="2">
        <v>3</v>
      </c>
      <c r="BD30" s="2">
        <v>8</v>
      </c>
      <c r="BE30" s="2" t="s">
        <v>30</v>
      </c>
      <c r="BF30" s="2" t="s">
        <v>26</v>
      </c>
      <c r="BG30" s="2" t="s">
        <v>27</v>
      </c>
      <c r="BH30" s="5">
        <v>0.9</v>
      </c>
      <c r="BI30" s="42">
        <v>48.5</v>
      </c>
      <c r="BJ30" s="2" t="s">
        <v>209</v>
      </c>
    </row>
    <row r="31" spans="1:76" x14ac:dyDescent="0.2">
      <c r="X31" s="9" t="s">
        <v>33</v>
      </c>
      <c r="Y31" s="10">
        <v>3</v>
      </c>
      <c r="Z31" s="10" t="s">
        <v>34</v>
      </c>
      <c r="AA31" s="10" t="s">
        <v>34</v>
      </c>
      <c r="AB31" s="10"/>
      <c r="AC31" s="10"/>
      <c r="AD31" s="9"/>
      <c r="AE31" s="42"/>
      <c r="AJ31" t="s">
        <v>28</v>
      </c>
      <c r="AK31" s="2">
        <v>3</v>
      </c>
      <c r="AL31" s="2">
        <v>1</v>
      </c>
      <c r="AM31" s="2" t="s">
        <v>31</v>
      </c>
      <c r="AN31" s="2" t="s">
        <v>26</v>
      </c>
      <c r="AO31" s="2" t="s">
        <v>27</v>
      </c>
      <c r="AP31" s="5">
        <v>0.9</v>
      </c>
      <c r="AQ31" s="42">
        <v>48.5</v>
      </c>
      <c r="AR31" s="2" t="s">
        <v>209</v>
      </c>
      <c r="BB31" t="s">
        <v>28</v>
      </c>
      <c r="BC31" s="2">
        <v>3</v>
      </c>
      <c r="BD31" s="2">
        <v>1</v>
      </c>
      <c r="BE31" s="2" t="s">
        <v>31</v>
      </c>
      <c r="BF31" s="2" t="s">
        <v>26</v>
      </c>
      <c r="BG31" s="2" t="s">
        <v>27</v>
      </c>
      <c r="BH31" s="5">
        <v>0.9</v>
      </c>
      <c r="BI31" s="42">
        <v>48.5</v>
      </c>
      <c r="BJ31" s="2" t="s">
        <v>209</v>
      </c>
    </row>
    <row r="32" spans="1:76" x14ac:dyDescent="0.2">
      <c r="AJ32" t="s">
        <v>32</v>
      </c>
      <c r="AK32" s="2">
        <v>3</v>
      </c>
      <c r="AL32" s="2">
        <v>4</v>
      </c>
      <c r="AM32" s="2" t="s">
        <v>30</v>
      </c>
      <c r="AN32" s="2" t="s">
        <v>26</v>
      </c>
      <c r="AO32" s="2" t="s">
        <v>27</v>
      </c>
      <c r="AP32" s="5">
        <v>0.9</v>
      </c>
      <c r="AQ32" s="42">
        <v>48.5</v>
      </c>
      <c r="AR32" s="2" t="s">
        <v>209</v>
      </c>
      <c r="BB32" t="s">
        <v>32</v>
      </c>
      <c r="BC32" s="2">
        <v>3</v>
      </c>
      <c r="BD32" s="2">
        <v>4</v>
      </c>
      <c r="BE32" s="2" t="s">
        <v>30</v>
      </c>
      <c r="BF32" s="2" t="s">
        <v>26</v>
      </c>
      <c r="BG32" s="2" t="s">
        <v>27</v>
      </c>
      <c r="BH32" s="5">
        <v>0.9</v>
      </c>
      <c r="BI32" s="42">
        <v>48.5</v>
      </c>
      <c r="BJ32" s="2" t="s">
        <v>209</v>
      </c>
    </row>
    <row r="33" spans="1:63" x14ac:dyDescent="0.2">
      <c r="AI33">
        <v>1</v>
      </c>
      <c r="AJ33" s="9" t="s">
        <v>33</v>
      </c>
      <c r="AK33" s="10">
        <v>4</v>
      </c>
      <c r="AL33" s="10">
        <v>2</v>
      </c>
      <c r="AM33" s="116" t="s">
        <v>30</v>
      </c>
      <c r="AN33" s="10" t="s">
        <v>18</v>
      </c>
      <c r="AO33" s="10" t="s">
        <v>27</v>
      </c>
      <c r="AP33" s="5">
        <v>1</v>
      </c>
      <c r="AQ33" s="42">
        <v>48.5</v>
      </c>
      <c r="AR33" s="2" t="s">
        <v>209</v>
      </c>
      <c r="BA33">
        <v>1</v>
      </c>
      <c r="BB33" s="9" t="s">
        <v>33</v>
      </c>
      <c r="BC33" s="10">
        <v>4</v>
      </c>
      <c r="BD33" s="10">
        <v>2</v>
      </c>
      <c r="BE33" s="116" t="s">
        <v>30</v>
      </c>
      <c r="BF33" s="10" t="s">
        <v>18</v>
      </c>
      <c r="BG33" s="10" t="s">
        <v>27</v>
      </c>
      <c r="BH33" s="5">
        <v>1</v>
      </c>
      <c r="BI33" s="42">
        <v>48.5</v>
      </c>
      <c r="BJ33" s="2" t="s">
        <v>209</v>
      </c>
    </row>
    <row r="34" spans="1:63" x14ac:dyDescent="0.2">
      <c r="B34" s="14" t="s">
        <v>24</v>
      </c>
      <c r="C34" s="6" t="s">
        <v>14</v>
      </c>
      <c r="D34" s="7" t="s">
        <v>15</v>
      </c>
      <c r="E34" s="7" t="s">
        <v>29</v>
      </c>
      <c r="F34" s="7" t="s">
        <v>16</v>
      </c>
      <c r="G34" s="8" t="s">
        <v>17</v>
      </c>
      <c r="H34" s="15" t="s">
        <v>21</v>
      </c>
      <c r="I34" s="2" t="s">
        <v>22</v>
      </c>
      <c r="M34" s="14" t="s">
        <v>24</v>
      </c>
      <c r="N34" s="6" t="s">
        <v>14</v>
      </c>
      <c r="O34" s="7" t="s">
        <v>15</v>
      </c>
      <c r="P34" s="7" t="s">
        <v>29</v>
      </c>
      <c r="Q34" s="7" t="s">
        <v>16</v>
      </c>
      <c r="R34" s="8" t="s">
        <v>17</v>
      </c>
      <c r="S34" s="15" t="s">
        <v>21</v>
      </c>
      <c r="T34" s="2" t="s">
        <v>22</v>
      </c>
      <c r="AI34">
        <v>1</v>
      </c>
      <c r="AJ34" s="9" t="s">
        <v>330</v>
      </c>
      <c r="AK34" s="10">
        <v>4</v>
      </c>
      <c r="AL34" s="10">
        <v>2</v>
      </c>
      <c r="AM34" s="116" t="s">
        <v>30</v>
      </c>
      <c r="AN34" s="10" t="s">
        <v>18</v>
      </c>
      <c r="AO34" s="116" t="s">
        <v>331</v>
      </c>
      <c r="AP34" s="5">
        <v>1</v>
      </c>
      <c r="AQ34" s="42">
        <v>48.5</v>
      </c>
      <c r="AR34" s="2" t="s">
        <v>209</v>
      </c>
      <c r="BA34">
        <v>1</v>
      </c>
      <c r="BB34" s="9" t="s">
        <v>330</v>
      </c>
      <c r="BC34" s="10">
        <v>4</v>
      </c>
      <c r="BD34" s="10">
        <v>2</v>
      </c>
      <c r="BE34" s="116" t="s">
        <v>30</v>
      </c>
      <c r="BF34" s="10" t="s">
        <v>18</v>
      </c>
      <c r="BG34" s="116" t="s">
        <v>331</v>
      </c>
      <c r="BH34" s="5">
        <v>1</v>
      </c>
      <c r="BI34" s="42">
        <v>48.5</v>
      </c>
      <c r="BJ34" s="2" t="s">
        <v>209</v>
      </c>
    </row>
    <row r="35" spans="1:63" x14ac:dyDescent="0.2">
      <c r="A35">
        <v>9</v>
      </c>
      <c r="B35" t="s">
        <v>35</v>
      </c>
      <c r="C35" s="2">
        <v>4</v>
      </c>
      <c r="D35" s="2">
        <v>8</v>
      </c>
      <c r="F35" s="2" t="s">
        <v>18</v>
      </c>
      <c r="G35" s="2">
        <v>36</v>
      </c>
      <c r="H35" s="4">
        <v>0.86</v>
      </c>
      <c r="I35">
        <v>29.5</v>
      </c>
      <c r="J35">
        <f>I35*0.85</f>
        <v>25.074999999999999</v>
      </c>
      <c r="L35">
        <v>9</v>
      </c>
      <c r="M35" t="s">
        <v>35</v>
      </c>
      <c r="N35" s="2">
        <v>4</v>
      </c>
      <c r="O35" s="2">
        <v>6</v>
      </c>
      <c r="Q35" s="2" t="s">
        <v>18</v>
      </c>
      <c r="R35" s="2">
        <v>41</v>
      </c>
      <c r="S35" s="4">
        <v>0.95</v>
      </c>
      <c r="T35">
        <v>29.5</v>
      </c>
      <c r="U35">
        <f>T35*0.85</f>
        <v>25.074999999999999</v>
      </c>
      <c r="X35" s="14" t="s">
        <v>24</v>
      </c>
      <c r="Y35" s="6" t="s">
        <v>14</v>
      </c>
      <c r="Z35" s="7" t="s">
        <v>15</v>
      </c>
      <c r="AA35" s="7" t="s">
        <v>29</v>
      </c>
      <c r="AB35" s="7" t="s">
        <v>16</v>
      </c>
      <c r="AC35" s="8" t="s">
        <v>17</v>
      </c>
      <c r="AD35" s="87" t="s">
        <v>21</v>
      </c>
      <c r="AE35" s="15" t="s">
        <v>22</v>
      </c>
    </row>
    <row r="36" spans="1:63" x14ac:dyDescent="0.2">
      <c r="A36">
        <v>11</v>
      </c>
      <c r="B36" t="s">
        <v>37</v>
      </c>
      <c r="C36" s="2">
        <v>4</v>
      </c>
      <c r="D36" s="2">
        <v>8</v>
      </c>
      <c r="F36" s="2" t="s">
        <v>18</v>
      </c>
      <c r="G36" s="2">
        <v>25</v>
      </c>
      <c r="H36" s="4">
        <v>0.9</v>
      </c>
      <c r="L36">
        <v>11</v>
      </c>
      <c r="M36" t="s">
        <v>37</v>
      </c>
      <c r="N36" s="2">
        <v>4</v>
      </c>
      <c r="O36" s="2">
        <v>8</v>
      </c>
      <c r="Q36" s="2" t="s">
        <v>18</v>
      </c>
      <c r="R36" s="2">
        <v>32</v>
      </c>
      <c r="S36" s="4">
        <v>0.95</v>
      </c>
      <c r="W36">
        <v>9</v>
      </c>
      <c r="X36" t="s">
        <v>35</v>
      </c>
      <c r="Y36" s="2">
        <v>4</v>
      </c>
      <c r="Z36" s="2">
        <v>6</v>
      </c>
      <c r="AB36" s="2" t="s">
        <v>18</v>
      </c>
      <c r="AC36" s="2">
        <v>41</v>
      </c>
      <c r="AD36" s="4">
        <v>0.95</v>
      </c>
      <c r="AE36" s="45">
        <v>30</v>
      </c>
      <c r="AF36">
        <f>AE36*0.85</f>
        <v>25.5</v>
      </c>
    </row>
    <row r="37" spans="1:63" x14ac:dyDescent="0.2">
      <c r="A37">
        <v>13</v>
      </c>
      <c r="B37" t="s">
        <v>38</v>
      </c>
      <c r="C37" s="2">
        <v>4</v>
      </c>
      <c r="D37" s="2">
        <v>8</v>
      </c>
      <c r="F37" s="2" t="s">
        <v>18</v>
      </c>
      <c r="G37" s="2">
        <v>39</v>
      </c>
      <c r="H37" s="4">
        <v>0.85</v>
      </c>
      <c r="L37">
        <v>13</v>
      </c>
      <c r="M37" t="s">
        <v>38</v>
      </c>
      <c r="N37" s="2">
        <v>4</v>
      </c>
      <c r="O37" s="2">
        <v>8</v>
      </c>
      <c r="Q37" s="2" t="s">
        <v>18</v>
      </c>
      <c r="R37" s="2">
        <v>39</v>
      </c>
      <c r="S37" s="4">
        <v>0.9</v>
      </c>
      <c r="W37">
        <v>11</v>
      </c>
      <c r="X37" t="s">
        <v>37</v>
      </c>
      <c r="Y37" s="2">
        <v>4</v>
      </c>
      <c r="Z37" s="2">
        <v>8</v>
      </c>
      <c r="AB37" s="2" t="s">
        <v>18</v>
      </c>
      <c r="AC37" s="2">
        <v>32</v>
      </c>
      <c r="AD37" s="4">
        <v>0.95</v>
      </c>
      <c r="AE37" s="45">
        <v>25</v>
      </c>
      <c r="AJ37" s="14" t="s">
        <v>24</v>
      </c>
      <c r="AK37" s="6" t="s">
        <v>14</v>
      </c>
      <c r="AL37" s="7" t="s">
        <v>15</v>
      </c>
      <c r="AM37" s="7" t="s">
        <v>29</v>
      </c>
      <c r="AN37" s="7" t="s">
        <v>16</v>
      </c>
      <c r="AO37" s="8" t="s">
        <v>17</v>
      </c>
      <c r="AP37" s="87" t="s">
        <v>21</v>
      </c>
      <c r="AQ37" s="15" t="s">
        <v>22</v>
      </c>
      <c r="AR37" s="4">
        <v>0.85</v>
      </c>
      <c r="AS37" s="4">
        <v>1</v>
      </c>
      <c r="BB37" s="14" t="s">
        <v>24</v>
      </c>
      <c r="BC37" s="6" t="s">
        <v>14</v>
      </c>
      <c r="BD37" s="7" t="s">
        <v>15</v>
      </c>
      <c r="BE37" s="7" t="s">
        <v>29</v>
      </c>
      <c r="BF37" s="7" t="s">
        <v>16</v>
      </c>
      <c r="BG37" s="8" t="s">
        <v>17</v>
      </c>
      <c r="BH37" s="87" t="s">
        <v>21</v>
      </c>
      <c r="BI37" s="15" t="s">
        <v>22</v>
      </c>
      <c r="BJ37" s="4">
        <v>0.85</v>
      </c>
      <c r="BK37" s="4">
        <v>1</v>
      </c>
    </row>
    <row r="38" spans="1:63" x14ac:dyDescent="0.2">
      <c r="A38">
        <v>15</v>
      </c>
      <c r="B38" t="s">
        <v>39</v>
      </c>
      <c r="C38" s="2">
        <v>4</v>
      </c>
      <c r="D38" s="2">
        <v>8</v>
      </c>
      <c r="F38" s="2" t="s">
        <v>18</v>
      </c>
      <c r="G38" s="2">
        <f>5.4+5</f>
        <v>10.4</v>
      </c>
      <c r="H38" s="4">
        <v>0.9</v>
      </c>
      <c r="L38">
        <v>15</v>
      </c>
      <c r="M38" t="s">
        <v>39</v>
      </c>
      <c r="N38" s="2">
        <v>4</v>
      </c>
      <c r="O38" s="2">
        <v>8</v>
      </c>
      <c r="Q38" s="2" t="s">
        <v>18</v>
      </c>
      <c r="R38" s="2">
        <f>5.4+5</f>
        <v>10.4</v>
      </c>
      <c r="S38" s="4">
        <v>0.9</v>
      </c>
      <c r="W38">
        <v>13</v>
      </c>
      <c r="X38" t="s">
        <v>38</v>
      </c>
      <c r="Y38" s="2">
        <v>4</v>
      </c>
      <c r="Z38" s="2">
        <v>8</v>
      </c>
      <c r="AB38" s="2" t="s">
        <v>18</v>
      </c>
      <c r="AC38" s="2">
        <v>39</v>
      </c>
      <c r="AD38" s="4">
        <v>0.9</v>
      </c>
      <c r="AE38" s="45">
        <v>32</v>
      </c>
      <c r="AI38" s="228">
        <v>9</v>
      </c>
      <c r="AJ38" t="s">
        <v>379</v>
      </c>
      <c r="AK38" s="2">
        <v>4</v>
      </c>
      <c r="AL38" s="2">
        <v>8</v>
      </c>
      <c r="AN38" s="2" t="s">
        <v>18</v>
      </c>
      <c r="AO38" s="2">
        <f t="shared" ref="AO38:AO40" si="3">AQ38*AP38</f>
        <v>39.015000000000001</v>
      </c>
      <c r="AP38" s="4">
        <v>0.85</v>
      </c>
      <c r="AQ38" s="45">
        <v>45.9</v>
      </c>
      <c r="AR38">
        <f>48.5-AO38</f>
        <v>9.4849999999999994</v>
      </c>
      <c r="AS38">
        <f>48.5-AQ38</f>
        <v>2.6000000000000014</v>
      </c>
      <c r="BA38" s="228">
        <v>9</v>
      </c>
      <c r="BB38" t="s">
        <v>379</v>
      </c>
      <c r="BC38" s="2">
        <v>4</v>
      </c>
      <c r="BD38" s="2">
        <v>8</v>
      </c>
      <c r="BF38" s="2" t="s">
        <v>259</v>
      </c>
      <c r="BG38" s="2">
        <f t="shared" ref="BG38:BG49" si="4">BI38*BH38</f>
        <v>39</v>
      </c>
      <c r="BH38" s="4">
        <v>0.75</v>
      </c>
      <c r="BI38" s="45">
        <v>52</v>
      </c>
      <c r="BJ38">
        <f>48.5-BG38</f>
        <v>9.5</v>
      </c>
      <c r="BK38">
        <f>48.5-BI38</f>
        <v>-3.5</v>
      </c>
    </row>
    <row r="39" spans="1:63" x14ac:dyDescent="0.2">
      <c r="A39">
        <v>16</v>
      </c>
      <c r="B39" t="s">
        <v>40</v>
      </c>
      <c r="C39" s="2">
        <v>4</v>
      </c>
      <c r="D39" s="2">
        <v>6</v>
      </c>
      <c r="F39" s="2" t="s">
        <v>18</v>
      </c>
      <c r="G39" s="13">
        <v>29.6</v>
      </c>
      <c r="H39" s="4">
        <v>0.9</v>
      </c>
      <c r="J39" s="12"/>
      <c r="L39">
        <v>16</v>
      </c>
      <c r="M39" t="s">
        <v>40</v>
      </c>
      <c r="N39" s="2">
        <v>4</v>
      </c>
      <c r="O39" s="2">
        <v>6</v>
      </c>
      <c r="Q39" s="2" t="s">
        <v>18</v>
      </c>
      <c r="R39" s="13">
        <v>29.6</v>
      </c>
      <c r="S39" s="4">
        <v>0.9</v>
      </c>
      <c r="U39" s="12"/>
      <c r="W39">
        <v>15</v>
      </c>
      <c r="X39" t="s">
        <v>39</v>
      </c>
      <c r="Y39" s="2">
        <v>4</v>
      </c>
      <c r="Z39" s="2">
        <v>8</v>
      </c>
      <c r="AB39" s="2" t="s">
        <v>18</v>
      </c>
      <c r="AC39" s="2">
        <f>5.4+5</f>
        <v>10.4</v>
      </c>
      <c r="AD39" s="4">
        <v>0.9</v>
      </c>
      <c r="AE39" s="45">
        <v>18</v>
      </c>
      <c r="AI39" s="228">
        <v>10</v>
      </c>
      <c r="AJ39" t="s">
        <v>37</v>
      </c>
      <c r="AK39" s="2">
        <v>4</v>
      </c>
      <c r="AL39" s="2">
        <v>8</v>
      </c>
      <c r="AN39" s="2" t="s">
        <v>18</v>
      </c>
      <c r="AO39" s="2">
        <f t="shared" si="3"/>
        <v>24.99</v>
      </c>
      <c r="AP39" s="4">
        <v>0.85</v>
      </c>
      <c r="AQ39" s="45">
        <v>29.4</v>
      </c>
      <c r="BA39" s="228">
        <v>10</v>
      </c>
      <c r="BB39" t="s">
        <v>37</v>
      </c>
      <c r="BC39" s="2">
        <v>4</v>
      </c>
      <c r="BD39" s="2">
        <v>8</v>
      </c>
      <c r="BF39" s="2" t="s">
        <v>259</v>
      </c>
      <c r="BG39" s="2">
        <f t="shared" si="4"/>
        <v>25.125</v>
      </c>
      <c r="BH39" s="4">
        <v>0.75</v>
      </c>
      <c r="BI39" s="45">
        <v>33.5</v>
      </c>
    </row>
    <row r="40" spans="1:63" x14ac:dyDescent="0.2">
      <c r="B40" t="s">
        <v>41</v>
      </c>
      <c r="C40" s="2">
        <v>4</v>
      </c>
      <c r="D40" s="2">
        <v>8</v>
      </c>
      <c r="F40" s="2" t="s">
        <v>26</v>
      </c>
      <c r="G40" s="2">
        <v>14</v>
      </c>
      <c r="H40" s="4">
        <v>0.9</v>
      </c>
      <c r="M40" t="s">
        <v>41</v>
      </c>
      <c r="N40" s="2">
        <v>4</v>
      </c>
      <c r="O40" s="2">
        <v>8</v>
      </c>
      <c r="Q40" s="2" t="s">
        <v>26</v>
      </c>
      <c r="R40" s="2">
        <v>14</v>
      </c>
      <c r="S40" s="4">
        <v>0.9</v>
      </c>
      <c r="W40">
        <v>16</v>
      </c>
      <c r="X40" t="s">
        <v>40</v>
      </c>
      <c r="Y40" s="2">
        <v>4</v>
      </c>
      <c r="Z40" s="2">
        <v>6</v>
      </c>
      <c r="AB40" s="2" t="s">
        <v>18</v>
      </c>
      <c r="AC40" s="13">
        <v>29.6</v>
      </c>
      <c r="AD40" s="4">
        <v>0.9</v>
      </c>
      <c r="AE40" s="45">
        <v>25</v>
      </c>
      <c r="AF40" s="12"/>
      <c r="AI40" s="228">
        <v>11</v>
      </c>
      <c r="AJ40" t="s">
        <v>38</v>
      </c>
      <c r="AK40" s="2">
        <v>4</v>
      </c>
      <c r="AL40" s="2">
        <v>8</v>
      </c>
      <c r="AN40" s="2" t="s">
        <v>18</v>
      </c>
      <c r="AO40" s="2">
        <f t="shared" si="3"/>
        <v>32.045000000000002</v>
      </c>
      <c r="AP40" s="4">
        <v>0.85</v>
      </c>
      <c r="AQ40" s="45">
        <v>37.700000000000003</v>
      </c>
      <c r="BA40" s="228">
        <v>11</v>
      </c>
      <c r="BB40" t="s">
        <v>38</v>
      </c>
      <c r="BC40" s="2">
        <v>4</v>
      </c>
      <c r="BD40" s="2">
        <v>8</v>
      </c>
      <c r="BF40" s="2" t="s">
        <v>259</v>
      </c>
      <c r="BG40" s="2">
        <f t="shared" si="4"/>
        <v>39</v>
      </c>
      <c r="BH40" s="4">
        <v>0.75</v>
      </c>
      <c r="BI40" s="45">
        <v>52</v>
      </c>
    </row>
    <row r="41" spans="1:63" x14ac:dyDescent="0.2">
      <c r="B41" t="s">
        <v>47</v>
      </c>
      <c r="C41" s="2">
        <v>3</v>
      </c>
      <c r="D41" s="2">
        <v>8</v>
      </c>
      <c r="F41" s="2" t="s">
        <v>18</v>
      </c>
      <c r="G41" s="2">
        <v>32</v>
      </c>
      <c r="H41" s="4">
        <v>0.8</v>
      </c>
      <c r="M41" t="s">
        <v>47</v>
      </c>
      <c r="N41" s="2">
        <v>3</v>
      </c>
      <c r="O41" s="2">
        <v>8</v>
      </c>
      <c r="Q41" s="2" t="s">
        <v>18</v>
      </c>
      <c r="R41" s="2">
        <v>32</v>
      </c>
      <c r="S41" s="4">
        <v>0.8</v>
      </c>
      <c r="X41" t="s">
        <v>41</v>
      </c>
      <c r="Y41" s="2">
        <v>4</v>
      </c>
      <c r="Z41" s="2">
        <v>8</v>
      </c>
      <c r="AB41" s="2" t="s">
        <v>26</v>
      </c>
      <c r="AC41" s="2">
        <v>14</v>
      </c>
      <c r="AD41" s="4">
        <v>0.9</v>
      </c>
      <c r="AE41" s="45">
        <v>14</v>
      </c>
      <c r="AI41">
        <v>14</v>
      </c>
      <c r="AJ41" t="s">
        <v>39</v>
      </c>
      <c r="AK41" s="2">
        <v>4</v>
      </c>
      <c r="AL41" s="2">
        <v>8</v>
      </c>
      <c r="AN41" s="2" t="s">
        <v>18</v>
      </c>
      <c r="AO41" s="2">
        <f t="shared" ref="AO41:AO48" si="5">AQ41*AP41</f>
        <v>18.02</v>
      </c>
      <c r="AP41" s="4">
        <v>0.85</v>
      </c>
      <c r="AQ41" s="45">
        <v>21.2</v>
      </c>
      <c r="BA41">
        <v>14</v>
      </c>
      <c r="BB41" t="s">
        <v>39</v>
      </c>
      <c r="BC41" s="2">
        <v>4</v>
      </c>
      <c r="BD41" s="2">
        <v>8</v>
      </c>
      <c r="BF41" s="2" t="s">
        <v>259</v>
      </c>
      <c r="BG41" s="2">
        <f t="shared" si="4"/>
        <v>18</v>
      </c>
      <c r="BH41" s="4">
        <v>0.75</v>
      </c>
      <c r="BI41" s="45">
        <v>24</v>
      </c>
    </row>
    <row r="42" spans="1:63" x14ac:dyDescent="0.2">
      <c r="B42" t="s">
        <v>48</v>
      </c>
      <c r="C42" s="2">
        <v>3</v>
      </c>
      <c r="D42" s="2">
        <v>8</v>
      </c>
      <c r="F42" s="2" t="s">
        <v>26</v>
      </c>
      <c r="G42" s="2">
        <v>2</v>
      </c>
      <c r="H42" s="4"/>
      <c r="M42" t="s">
        <v>48</v>
      </c>
      <c r="N42" s="2">
        <v>3</v>
      </c>
      <c r="O42" s="2">
        <v>8</v>
      </c>
      <c r="Q42" s="2" t="s">
        <v>26</v>
      </c>
      <c r="R42" s="2">
        <v>2</v>
      </c>
      <c r="S42" s="4"/>
      <c r="X42" t="s">
        <v>47</v>
      </c>
      <c r="Y42" s="2">
        <v>3</v>
      </c>
      <c r="Z42" s="2">
        <v>8</v>
      </c>
      <c r="AB42" s="2" t="s">
        <v>18</v>
      </c>
      <c r="AC42" s="2">
        <v>32</v>
      </c>
      <c r="AD42" s="4">
        <v>0.8</v>
      </c>
      <c r="AE42" s="45">
        <v>26.3</v>
      </c>
      <c r="AI42" s="228">
        <v>14</v>
      </c>
      <c r="AJ42" t="s">
        <v>391</v>
      </c>
      <c r="AK42" s="2">
        <v>4</v>
      </c>
      <c r="AL42" s="2">
        <v>8</v>
      </c>
      <c r="AN42" s="2" t="s">
        <v>18</v>
      </c>
      <c r="AO42" s="2">
        <f t="shared" si="5"/>
        <v>9.01</v>
      </c>
      <c r="AP42" s="4">
        <v>0.85</v>
      </c>
      <c r="AQ42" s="45">
        <v>10.6</v>
      </c>
      <c r="AR42" s="12"/>
      <c r="BA42" s="228">
        <v>14</v>
      </c>
      <c r="BB42" t="s">
        <v>391</v>
      </c>
      <c r="BC42" s="2">
        <v>4</v>
      </c>
      <c r="BD42" s="2">
        <v>8</v>
      </c>
      <c r="BF42" s="2" t="s">
        <v>259</v>
      </c>
      <c r="BG42" s="2">
        <f t="shared" si="4"/>
        <v>9</v>
      </c>
      <c r="BH42" s="4">
        <v>0.75</v>
      </c>
      <c r="BI42" s="45">
        <v>12</v>
      </c>
      <c r="BJ42" s="12"/>
    </row>
    <row r="43" spans="1:63" x14ac:dyDescent="0.2">
      <c r="A43">
        <v>17</v>
      </c>
      <c r="B43" t="s">
        <v>50</v>
      </c>
      <c r="C43" s="2">
        <v>4</v>
      </c>
      <c r="D43" s="2">
        <v>8</v>
      </c>
      <c r="F43" s="2" t="s">
        <v>26</v>
      </c>
      <c r="G43" s="2">
        <v>7</v>
      </c>
      <c r="H43" s="4">
        <v>0.85</v>
      </c>
      <c r="L43">
        <v>17</v>
      </c>
      <c r="M43" t="s">
        <v>50</v>
      </c>
      <c r="N43" s="2">
        <v>4</v>
      </c>
      <c r="O43" s="2">
        <v>8</v>
      </c>
      <c r="Q43" s="2" t="s">
        <v>26</v>
      </c>
      <c r="R43" s="2">
        <v>7</v>
      </c>
      <c r="S43" s="4">
        <v>0.85</v>
      </c>
      <c r="X43" t="s">
        <v>48</v>
      </c>
      <c r="Y43" s="2">
        <v>3</v>
      </c>
      <c r="Z43" s="2">
        <v>8</v>
      </c>
      <c r="AB43" s="2" t="s">
        <v>26</v>
      </c>
      <c r="AC43" s="2">
        <v>2</v>
      </c>
      <c r="AD43" s="4"/>
      <c r="AE43" s="45"/>
      <c r="AI43">
        <v>15</v>
      </c>
      <c r="AJ43" t="s">
        <v>40</v>
      </c>
      <c r="AK43" s="2">
        <v>4</v>
      </c>
      <c r="AL43" s="2">
        <v>6</v>
      </c>
      <c r="AN43" s="2" t="s">
        <v>18</v>
      </c>
      <c r="AO43" s="2">
        <f t="shared" si="5"/>
        <v>25.074999999999999</v>
      </c>
      <c r="AP43" s="4">
        <v>0.85</v>
      </c>
      <c r="AQ43" s="45">
        <v>29.5</v>
      </c>
      <c r="BA43">
        <v>15</v>
      </c>
      <c r="BB43" t="s">
        <v>40</v>
      </c>
      <c r="BC43" s="2">
        <v>4</v>
      </c>
      <c r="BD43" s="2">
        <v>6</v>
      </c>
      <c r="BF43" s="2" t="s">
        <v>259</v>
      </c>
      <c r="BG43" s="2">
        <f t="shared" si="4"/>
        <v>27.299999999999997</v>
      </c>
      <c r="BH43" s="4">
        <v>0.75</v>
      </c>
      <c r="BI43" s="45">
        <v>36.4</v>
      </c>
    </row>
    <row r="44" spans="1:63" x14ac:dyDescent="0.2">
      <c r="H44" s="4"/>
      <c r="L44">
        <v>18</v>
      </c>
      <c r="M44" t="s">
        <v>72</v>
      </c>
      <c r="N44" s="2">
        <v>4</v>
      </c>
      <c r="O44" s="2">
        <v>8</v>
      </c>
      <c r="Q44" s="2" t="s">
        <v>18</v>
      </c>
      <c r="R44" s="2">
        <v>26.3</v>
      </c>
      <c r="S44" s="4">
        <v>0.8</v>
      </c>
      <c r="W44">
        <v>17</v>
      </c>
      <c r="X44" t="s">
        <v>50</v>
      </c>
      <c r="Y44" s="2">
        <v>4</v>
      </c>
      <c r="Z44" s="2">
        <v>8</v>
      </c>
      <c r="AB44" s="2" t="s">
        <v>26</v>
      </c>
      <c r="AC44" s="2">
        <v>7</v>
      </c>
      <c r="AD44" s="4">
        <v>0.85</v>
      </c>
      <c r="AE44" s="45"/>
      <c r="AJ44" t="s">
        <v>41</v>
      </c>
      <c r="AK44" s="2">
        <v>4</v>
      </c>
      <c r="AL44" s="2">
        <v>8</v>
      </c>
      <c r="AN44" s="2" t="s">
        <v>26</v>
      </c>
      <c r="AO44" s="2">
        <f t="shared" si="5"/>
        <v>11.9</v>
      </c>
      <c r="AP44" s="4">
        <v>0.85</v>
      </c>
      <c r="AQ44" s="45">
        <v>14</v>
      </c>
      <c r="BB44" t="s">
        <v>41</v>
      </c>
      <c r="BC44" s="2">
        <v>4</v>
      </c>
      <c r="BD44" s="2">
        <v>8</v>
      </c>
      <c r="BF44" s="2" t="s">
        <v>259</v>
      </c>
      <c r="BG44" s="2">
        <f t="shared" si="4"/>
        <v>10.5</v>
      </c>
      <c r="BH44" s="4">
        <v>0.75</v>
      </c>
      <c r="BI44" s="45">
        <v>14</v>
      </c>
    </row>
    <row r="45" spans="1:63" x14ac:dyDescent="0.2">
      <c r="H45" s="4"/>
      <c r="S45" s="4"/>
      <c r="W45">
        <v>18</v>
      </c>
      <c r="X45" t="s">
        <v>187</v>
      </c>
      <c r="Y45" s="2">
        <v>4</v>
      </c>
      <c r="Z45" s="2">
        <v>8</v>
      </c>
      <c r="AB45" s="2" t="s">
        <v>18</v>
      </c>
      <c r="AC45" s="2">
        <v>26.3</v>
      </c>
      <c r="AD45" s="4">
        <v>0.8</v>
      </c>
      <c r="AE45" s="45">
        <v>32</v>
      </c>
      <c r="AJ45" t="s">
        <v>47</v>
      </c>
      <c r="AK45" s="2">
        <v>3</v>
      </c>
      <c r="AL45" s="2">
        <v>8</v>
      </c>
      <c r="AN45" s="2" t="s">
        <v>18</v>
      </c>
      <c r="AO45" s="2">
        <f t="shared" si="5"/>
        <v>27.2</v>
      </c>
      <c r="AP45" s="4">
        <v>0.85</v>
      </c>
      <c r="AQ45" s="45">
        <v>32</v>
      </c>
      <c r="BA45" s="294"/>
      <c r="BB45" t="s">
        <v>465</v>
      </c>
      <c r="BC45" s="2">
        <v>3</v>
      </c>
      <c r="BD45" s="2">
        <v>8</v>
      </c>
      <c r="BF45" s="2" t="s">
        <v>259</v>
      </c>
      <c r="BG45" s="2">
        <f t="shared" si="4"/>
        <v>28.950000000000003</v>
      </c>
      <c r="BH45" s="4">
        <v>0.75</v>
      </c>
      <c r="BI45" s="45">
        <v>38.6</v>
      </c>
    </row>
    <row r="46" spans="1:63" x14ac:dyDescent="0.2">
      <c r="B46" s="1" t="s">
        <v>53</v>
      </c>
      <c r="C46" s="6" t="s">
        <v>14</v>
      </c>
      <c r="D46" s="7" t="s">
        <v>15</v>
      </c>
      <c r="E46" s="7" t="s">
        <v>29</v>
      </c>
      <c r="F46" s="7" t="s">
        <v>16</v>
      </c>
      <c r="G46" s="8" t="s">
        <v>17</v>
      </c>
      <c r="H46" s="15" t="s">
        <v>21</v>
      </c>
      <c r="I46" s="2" t="s">
        <v>22</v>
      </c>
      <c r="M46" s="1" t="s">
        <v>53</v>
      </c>
      <c r="N46" s="6" t="s">
        <v>14</v>
      </c>
      <c r="O46" s="7" t="s">
        <v>15</v>
      </c>
      <c r="P46" s="7" t="s">
        <v>29</v>
      </c>
      <c r="Q46" s="7" t="s">
        <v>16</v>
      </c>
      <c r="R46" s="8" t="s">
        <v>17</v>
      </c>
      <c r="S46" s="15" t="s">
        <v>21</v>
      </c>
      <c r="T46" s="2" t="s">
        <v>22</v>
      </c>
      <c r="AD46" s="4"/>
      <c r="AJ46" t="s">
        <v>48</v>
      </c>
      <c r="AK46" s="2">
        <v>3</v>
      </c>
      <c r="AL46" s="2">
        <v>8</v>
      </c>
      <c r="AN46" s="2" t="s">
        <v>26</v>
      </c>
      <c r="AO46" s="2">
        <f t="shared" si="5"/>
        <v>1.7</v>
      </c>
      <c r="AP46" s="4">
        <v>0.85</v>
      </c>
      <c r="AQ46" s="45">
        <v>2</v>
      </c>
      <c r="BB46" t="s">
        <v>48</v>
      </c>
      <c r="BC46" s="2">
        <v>3</v>
      </c>
      <c r="BD46" s="2">
        <v>8</v>
      </c>
      <c r="BF46" s="2" t="s">
        <v>259</v>
      </c>
      <c r="BG46" s="2">
        <f t="shared" si="4"/>
        <v>1.5</v>
      </c>
      <c r="BH46" s="4">
        <v>0.75</v>
      </c>
      <c r="BI46" s="45">
        <v>2</v>
      </c>
    </row>
    <row r="47" spans="1:63" x14ac:dyDescent="0.2">
      <c r="B47" t="s">
        <v>54</v>
      </c>
      <c r="C47" s="2">
        <v>3</v>
      </c>
      <c r="D47" s="2">
        <v>12</v>
      </c>
      <c r="F47" s="2" t="s">
        <v>26</v>
      </c>
      <c r="G47" s="2">
        <v>4</v>
      </c>
      <c r="H47" s="5">
        <v>0.9</v>
      </c>
      <c r="I47">
        <v>29.5</v>
      </c>
      <c r="J47">
        <f>I47*0.85</f>
        <v>25.074999999999999</v>
      </c>
      <c r="M47" t="s">
        <v>54</v>
      </c>
      <c r="N47" s="2">
        <v>3</v>
      </c>
      <c r="O47" s="2">
        <v>12</v>
      </c>
      <c r="Q47" s="2" t="s">
        <v>26</v>
      </c>
      <c r="R47" s="2">
        <v>4</v>
      </c>
      <c r="S47" s="5">
        <v>0.9</v>
      </c>
      <c r="T47">
        <v>29.5</v>
      </c>
      <c r="U47">
        <f>T47*0.85</f>
        <v>25.074999999999999</v>
      </c>
      <c r="X47" s="1" t="s">
        <v>53</v>
      </c>
      <c r="Y47" s="6" t="s">
        <v>14</v>
      </c>
      <c r="Z47" s="7" t="s">
        <v>15</v>
      </c>
      <c r="AA47" s="7" t="s">
        <v>29</v>
      </c>
      <c r="AB47" s="7" t="s">
        <v>16</v>
      </c>
      <c r="AC47" s="8" t="s">
        <v>17</v>
      </c>
      <c r="AD47" s="87" t="s">
        <v>21</v>
      </c>
      <c r="AE47" s="15" t="s">
        <v>22</v>
      </c>
      <c r="AI47" s="228">
        <v>12</v>
      </c>
      <c r="AJ47" t="s">
        <v>50</v>
      </c>
      <c r="AK47" s="2">
        <v>4</v>
      </c>
      <c r="AL47" s="2">
        <v>8</v>
      </c>
      <c r="AN47" s="2" t="s">
        <v>26</v>
      </c>
      <c r="AO47" s="2">
        <f t="shared" si="5"/>
        <v>8.0749999999999993</v>
      </c>
      <c r="AP47" s="4">
        <v>0.85</v>
      </c>
      <c r="AQ47" s="45">
        <v>9.5</v>
      </c>
      <c r="BA47" s="228">
        <v>12</v>
      </c>
      <c r="BB47" t="s">
        <v>50</v>
      </c>
      <c r="BC47" s="2">
        <v>4</v>
      </c>
      <c r="BD47" s="2">
        <v>8</v>
      </c>
      <c r="BF47" s="2" t="s">
        <v>259</v>
      </c>
      <c r="BG47" s="2">
        <f t="shared" si="4"/>
        <v>6</v>
      </c>
      <c r="BH47" s="4">
        <v>0.75</v>
      </c>
      <c r="BI47" s="45">
        <v>8</v>
      </c>
    </row>
    <row r="48" spans="1:63" x14ac:dyDescent="0.2">
      <c r="B48" t="s">
        <v>55</v>
      </c>
      <c r="C48" s="2">
        <v>3</v>
      </c>
      <c r="D48" s="2">
        <v>12</v>
      </c>
      <c r="F48" s="2" t="s">
        <v>26</v>
      </c>
      <c r="G48" s="2">
        <v>6</v>
      </c>
      <c r="H48" s="5">
        <v>0.8</v>
      </c>
      <c r="M48" t="s">
        <v>55</v>
      </c>
      <c r="N48" s="2">
        <v>3</v>
      </c>
      <c r="O48" s="2">
        <v>12</v>
      </c>
      <c r="Q48" s="2" t="s">
        <v>26</v>
      </c>
      <c r="R48" s="2">
        <v>6</v>
      </c>
      <c r="S48" s="5">
        <v>0.8</v>
      </c>
      <c r="X48" t="s">
        <v>54</v>
      </c>
      <c r="Y48" s="2">
        <v>3</v>
      </c>
      <c r="Z48" s="2">
        <v>12</v>
      </c>
      <c r="AB48" s="2" t="s">
        <v>26</v>
      </c>
      <c r="AC48" s="2">
        <v>4</v>
      </c>
      <c r="AD48" s="5">
        <v>0.9</v>
      </c>
      <c r="AE48" s="42">
        <v>29.5</v>
      </c>
      <c r="AF48">
        <f>AE48*0.85</f>
        <v>25.074999999999999</v>
      </c>
      <c r="AI48" s="228">
        <v>12</v>
      </c>
      <c r="AJ48" t="s">
        <v>381</v>
      </c>
      <c r="AK48" s="2">
        <v>4</v>
      </c>
      <c r="AL48" s="2">
        <v>8</v>
      </c>
      <c r="AN48" s="2" t="s">
        <v>18</v>
      </c>
      <c r="AO48" s="2">
        <f t="shared" si="5"/>
        <v>12.41</v>
      </c>
      <c r="AP48" s="4">
        <v>0.85</v>
      </c>
      <c r="AQ48" s="45">
        <v>14.6</v>
      </c>
      <c r="BA48" s="228">
        <v>12</v>
      </c>
      <c r="BB48" t="s">
        <v>381</v>
      </c>
      <c r="BC48" s="2">
        <v>4</v>
      </c>
      <c r="BD48" s="2">
        <v>8</v>
      </c>
      <c r="BF48" s="2" t="s">
        <v>259</v>
      </c>
      <c r="BG48" s="2">
        <f t="shared" si="4"/>
        <v>10.95</v>
      </c>
      <c r="BH48" s="4">
        <v>0.75</v>
      </c>
      <c r="BI48" s="45">
        <v>14.6</v>
      </c>
    </row>
    <row r="49" spans="2:69" x14ac:dyDescent="0.2">
      <c r="B49" t="s">
        <v>56</v>
      </c>
      <c r="C49" s="2">
        <v>3</v>
      </c>
      <c r="D49" s="2">
        <v>3</v>
      </c>
      <c r="E49" s="2" t="s">
        <v>18</v>
      </c>
      <c r="F49" s="2" t="s">
        <v>18</v>
      </c>
      <c r="G49" s="2">
        <v>2.5</v>
      </c>
      <c r="H49" s="5">
        <v>1</v>
      </c>
      <c r="M49" t="s">
        <v>56</v>
      </c>
      <c r="N49" s="2">
        <v>3</v>
      </c>
      <c r="O49" s="2">
        <v>3</v>
      </c>
      <c r="P49" s="2" t="s">
        <v>18</v>
      </c>
      <c r="Q49" s="2" t="s">
        <v>18</v>
      </c>
      <c r="R49" s="2">
        <v>2.5</v>
      </c>
      <c r="S49" s="5">
        <v>1</v>
      </c>
      <c r="X49" t="s">
        <v>55</v>
      </c>
      <c r="Y49" s="2">
        <v>3</v>
      </c>
      <c r="Z49" s="2">
        <v>12</v>
      </c>
      <c r="AB49" s="2" t="s">
        <v>26</v>
      </c>
      <c r="AC49" s="2">
        <v>6</v>
      </c>
      <c r="AD49" s="5">
        <v>0.8</v>
      </c>
      <c r="AE49" s="45">
        <v>6</v>
      </c>
      <c r="AI49" s="228">
        <v>13</v>
      </c>
      <c r="AJ49" t="s">
        <v>187</v>
      </c>
      <c r="AK49" s="2">
        <v>4</v>
      </c>
      <c r="AL49" s="2">
        <v>8</v>
      </c>
      <c r="AN49" s="2" t="s">
        <v>18</v>
      </c>
      <c r="AO49" s="2">
        <f t="shared" ref="AO49" si="6">AQ49*AP49</f>
        <v>34.51</v>
      </c>
      <c r="AP49" s="4">
        <v>0.85</v>
      </c>
      <c r="AQ49" s="45">
        <v>40.6</v>
      </c>
      <c r="BA49" s="228">
        <v>13</v>
      </c>
      <c r="BB49" t="s">
        <v>187</v>
      </c>
      <c r="BC49" s="2">
        <v>4</v>
      </c>
      <c r="BD49" s="2">
        <v>8</v>
      </c>
      <c r="BF49" s="2" t="s">
        <v>259</v>
      </c>
      <c r="BG49" s="2">
        <f t="shared" si="4"/>
        <v>38.25</v>
      </c>
      <c r="BH49" s="4">
        <v>0.75</v>
      </c>
      <c r="BI49" s="45">
        <v>51</v>
      </c>
    </row>
    <row r="50" spans="2:69" x14ac:dyDescent="0.2">
      <c r="B50" t="s">
        <v>57</v>
      </c>
      <c r="C50" s="2">
        <v>3</v>
      </c>
      <c r="D50" s="2">
        <v>3</v>
      </c>
      <c r="E50" s="2" t="s">
        <v>18</v>
      </c>
      <c r="F50" s="2" t="s">
        <v>18</v>
      </c>
      <c r="G50" s="2">
        <v>2.5</v>
      </c>
      <c r="H50" s="5">
        <v>1</v>
      </c>
      <c r="M50" t="s">
        <v>57</v>
      </c>
      <c r="N50" s="2">
        <v>3</v>
      </c>
      <c r="O50" s="2">
        <v>3</v>
      </c>
      <c r="P50" s="2" t="s">
        <v>18</v>
      </c>
      <c r="Q50" s="2" t="s">
        <v>18</v>
      </c>
      <c r="R50" s="2">
        <v>2.5</v>
      </c>
      <c r="S50" s="5">
        <v>1</v>
      </c>
      <c r="X50" t="s">
        <v>56</v>
      </c>
      <c r="Y50" s="2">
        <v>3</v>
      </c>
      <c r="Z50" s="2">
        <v>3</v>
      </c>
      <c r="AA50" s="2" t="s">
        <v>18</v>
      </c>
      <c r="AB50" s="2" t="s">
        <v>18</v>
      </c>
      <c r="AC50" s="2">
        <v>2.5</v>
      </c>
      <c r="AD50" s="5">
        <v>1</v>
      </c>
      <c r="AE50" s="45">
        <v>6</v>
      </c>
      <c r="AP50" s="4"/>
      <c r="BH50" s="4"/>
    </row>
    <row r="51" spans="2:69" x14ac:dyDescent="0.2">
      <c r="H51" s="5"/>
      <c r="S51" s="5"/>
      <c r="X51" t="s">
        <v>57</v>
      </c>
      <c r="Y51" s="2">
        <v>3</v>
      </c>
      <c r="Z51" s="2">
        <v>3</v>
      </c>
      <c r="AA51" s="2" t="s">
        <v>18</v>
      </c>
      <c r="AB51" s="2" t="s">
        <v>18</v>
      </c>
      <c r="AC51" s="2">
        <v>2.5</v>
      </c>
      <c r="AD51" s="5">
        <v>1</v>
      </c>
      <c r="AE51" s="45">
        <v>4</v>
      </c>
      <c r="AJ51" s="1" t="s">
        <v>53</v>
      </c>
      <c r="AK51" s="6" t="s">
        <v>14</v>
      </c>
      <c r="AL51" s="7" t="s">
        <v>15</v>
      </c>
      <c r="AM51" s="7" t="s">
        <v>29</v>
      </c>
      <c r="AN51" s="7" t="s">
        <v>16</v>
      </c>
      <c r="AO51" s="8" t="s">
        <v>17</v>
      </c>
      <c r="AP51" s="87" t="s">
        <v>21</v>
      </c>
      <c r="AQ51" s="15" t="s">
        <v>22</v>
      </c>
      <c r="BB51" s="1" t="s">
        <v>53</v>
      </c>
      <c r="BC51" s="6" t="s">
        <v>14</v>
      </c>
      <c r="BD51" s="7" t="s">
        <v>15</v>
      </c>
      <c r="BE51" s="7" t="s">
        <v>29</v>
      </c>
      <c r="BF51" s="7" t="s">
        <v>16</v>
      </c>
      <c r="BG51" s="8" t="s">
        <v>17</v>
      </c>
      <c r="BH51" s="87" t="s">
        <v>21</v>
      </c>
      <c r="BI51" s="15" t="s">
        <v>22</v>
      </c>
    </row>
    <row r="52" spans="2:69" x14ac:dyDescent="0.2">
      <c r="AD52" s="5"/>
      <c r="AJ52" t="s">
        <v>54</v>
      </c>
      <c r="AK52" s="2">
        <v>3</v>
      </c>
      <c r="AL52" s="2">
        <v>12</v>
      </c>
      <c r="AN52" s="2" t="s">
        <v>26</v>
      </c>
      <c r="AO52" s="2">
        <f t="shared" ref="AO52:AO55" si="7">AQ52*AP52</f>
        <v>8.0749999999999993</v>
      </c>
      <c r="AP52" s="5">
        <v>0.85</v>
      </c>
      <c r="AQ52" s="42">
        <v>9.5</v>
      </c>
      <c r="AR52">
        <f>AQ52*0.85</f>
        <v>8.0749999999999993</v>
      </c>
      <c r="BB52" t="s">
        <v>54</v>
      </c>
      <c r="BC52" s="2">
        <v>3</v>
      </c>
      <c r="BD52" s="2">
        <v>12</v>
      </c>
      <c r="BF52" s="2" t="s">
        <v>259</v>
      </c>
      <c r="BG52" s="2">
        <f t="shared" ref="BG52:BG55" si="8">BI52*BH52</f>
        <v>8.0249999999999986</v>
      </c>
      <c r="BH52" s="5">
        <v>0.75</v>
      </c>
      <c r="BI52" s="42">
        <v>10.7</v>
      </c>
      <c r="BJ52">
        <f>BI52*0.85</f>
        <v>9.0949999999999989</v>
      </c>
    </row>
    <row r="53" spans="2:69" x14ac:dyDescent="0.2">
      <c r="AJ53" t="s">
        <v>55</v>
      </c>
      <c r="AK53" s="2">
        <v>3</v>
      </c>
      <c r="AL53" s="2">
        <v>12</v>
      </c>
      <c r="AN53" s="2" t="s">
        <v>26</v>
      </c>
      <c r="AO53" s="2">
        <f t="shared" si="7"/>
        <v>6.0349999999999993</v>
      </c>
      <c r="AP53" s="5">
        <v>0.85</v>
      </c>
      <c r="AQ53" s="45">
        <v>7.1</v>
      </c>
      <c r="BB53" t="s">
        <v>55</v>
      </c>
      <c r="BC53" s="2">
        <v>3</v>
      </c>
      <c r="BD53" s="2">
        <v>12</v>
      </c>
      <c r="BF53" s="2" t="s">
        <v>259</v>
      </c>
      <c r="BG53" s="2">
        <f t="shared" si="8"/>
        <v>4.0124999999999993</v>
      </c>
      <c r="BH53" s="5">
        <v>0.75</v>
      </c>
      <c r="BI53" s="45">
        <v>5.35</v>
      </c>
    </row>
    <row r="54" spans="2:69" x14ac:dyDescent="0.2">
      <c r="AJ54" t="s">
        <v>56</v>
      </c>
      <c r="AK54" s="2">
        <v>3</v>
      </c>
      <c r="AL54" s="2">
        <v>3</v>
      </c>
      <c r="AM54" s="2" t="s">
        <v>18</v>
      </c>
      <c r="AN54" s="2" t="s">
        <v>18</v>
      </c>
      <c r="AO54" s="2">
        <f t="shared" si="7"/>
        <v>6.0349999999999993</v>
      </c>
      <c r="AP54" s="5">
        <v>0.85</v>
      </c>
      <c r="AQ54" s="45">
        <v>7.1</v>
      </c>
      <c r="BB54" t="s">
        <v>56</v>
      </c>
      <c r="BC54" s="2">
        <v>3</v>
      </c>
      <c r="BD54" s="2">
        <v>3</v>
      </c>
      <c r="BE54" s="2" t="s">
        <v>18</v>
      </c>
      <c r="BF54" s="2" t="s">
        <v>259</v>
      </c>
      <c r="BG54" s="2">
        <f t="shared" si="8"/>
        <v>5.3249999999999993</v>
      </c>
      <c r="BH54" s="5">
        <v>0.75</v>
      </c>
      <c r="BI54" s="45">
        <v>7.1</v>
      </c>
    </row>
    <row r="55" spans="2:69" x14ac:dyDescent="0.2">
      <c r="B55" s="1" t="s">
        <v>8</v>
      </c>
      <c r="C55" s="6" t="s">
        <v>14</v>
      </c>
      <c r="D55" s="7" t="s">
        <v>15</v>
      </c>
      <c r="E55" s="7" t="s">
        <v>29</v>
      </c>
      <c r="F55" s="7" t="s">
        <v>16</v>
      </c>
      <c r="G55" s="8" t="s">
        <v>59</v>
      </c>
      <c r="H55" s="8" t="s">
        <v>17</v>
      </c>
      <c r="I55" s="15" t="s">
        <v>21</v>
      </c>
      <c r="J55" s="2" t="s">
        <v>22</v>
      </c>
      <c r="M55" s="1" t="s">
        <v>8</v>
      </c>
      <c r="N55" s="6" t="s">
        <v>14</v>
      </c>
      <c r="O55" s="7" t="s">
        <v>15</v>
      </c>
      <c r="P55" s="7" t="s">
        <v>29</v>
      </c>
      <c r="Q55" s="7" t="s">
        <v>16</v>
      </c>
      <c r="R55" s="8" t="s">
        <v>59</v>
      </c>
      <c r="S55" s="8" t="s">
        <v>17</v>
      </c>
      <c r="T55" s="15" t="s">
        <v>21</v>
      </c>
      <c r="U55" s="2" t="s">
        <v>22</v>
      </c>
      <c r="AJ55" t="s">
        <v>57</v>
      </c>
      <c r="AK55" s="2">
        <v>3</v>
      </c>
      <c r="AL55" s="2">
        <v>3</v>
      </c>
      <c r="AM55" s="2" t="s">
        <v>18</v>
      </c>
      <c r="AN55" s="2" t="s">
        <v>18</v>
      </c>
      <c r="AO55" s="2">
        <f t="shared" si="7"/>
        <v>4.25</v>
      </c>
      <c r="AP55" s="5">
        <v>0.85</v>
      </c>
      <c r="AQ55" s="45">
        <v>5</v>
      </c>
      <c r="BB55" t="s">
        <v>57</v>
      </c>
      <c r="BC55" s="2">
        <v>3</v>
      </c>
      <c r="BD55" s="2">
        <v>3</v>
      </c>
      <c r="BE55" s="2" t="s">
        <v>18</v>
      </c>
      <c r="BF55" s="2" t="s">
        <v>259</v>
      </c>
      <c r="BG55" s="2">
        <f t="shared" si="8"/>
        <v>3.75</v>
      </c>
      <c r="BH55" s="5">
        <v>0.75</v>
      </c>
      <c r="BI55" s="45">
        <v>5</v>
      </c>
    </row>
    <row r="56" spans="2:69" x14ac:dyDescent="0.2">
      <c r="B56" t="s">
        <v>58</v>
      </c>
      <c r="C56" s="2">
        <v>3</v>
      </c>
      <c r="D56" s="2">
        <v>3</v>
      </c>
      <c r="E56" s="2" t="s">
        <v>31</v>
      </c>
      <c r="F56" s="2" t="s">
        <v>61</v>
      </c>
      <c r="G56" s="2" t="s">
        <v>60</v>
      </c>
      <c r="H56" s="2">
        <v>35</v>
      </c>
      <c r="I56" s="5">
        <v>1</v>
      </c>
      <c r="J56">
        <v>29.5</v>
      </c>
      <c r="K56">
        <f>J56*0.85</f>
        <v>25.074999999999999</v>
      </c>
      <c r="M56" t="s">
        <v>58</v>
      </c>
      <c r="N56" s="2">
        <v>3</v>
      </c>
      <c r="O56" s="2">
        <v>3</v>
      </c>
      <c r="P56" s="2" t="s">
        <v>31</v>
      </c>
      <c r="Q56" s="2" t="s">
        <v>61</v>
      </c>
      <c r="R56" s="2" t="s">
        <v>60</v>
      </c>
      <c r="S56" s="2">
        <v>35</v>
      </c>
      <c r="T56" s="5">
        <v>1</v>
      </c>
      <c r="U56">
        <v>29.5</v>
      </c>
      <c r="X56" s="1" t="s">
        <v>8</v>
      </c>
      <c r="Y56" s="6" t="s">
        <v>14</v>
      </c>
      <c r="Z56" s="7" t="s">
        <v>15</v>
      </c>
      <c r="AA56" s="7" t="s">
        <v>29</v>
      </c>
      <c r="AB56" s="7" t="s">
        <v>16</v>
      </c>
      <c r="AC56" s="8" t="s">
        <v>59</v>
      </c>
      <c r="AD56" s="8" t="s">
        <v>17</v>
      </c>
      <c r="AE56" s="15" t="s">
        <v>21</v>
      </c>
      <c r="AF56" s="2" t="s">
        <v>22</v>
      </c>
      <c r="AP56" s="5"/>
      <c r="BH56" s="5"/>
    </row>
    <row r="57" spans="2:69" x14ac:dyDescent="0.2">
      <c r="H57" s="5"/>
      <c r="S57" s="5"/>
      <c r="X57" t="s">
        <v>58</v>
      </c>
      <c r="Y57" s="2">
        <v>3</v>
      </c>
      <c r="Z57" s="2">
        <v>3</v>
      </c>
      <c r="AA57" s="2" t="s">
        <v>31</v>
      </c>
      <c r="AB57" s="2" t="s">
        <v>61</v>
      </c>
      <c r="AC57" s="2" t="s">
        <v>60</v>
      </c>
      <c r="AD57" s="2">
        <v>35</v>
      </c>
      <c r="AE57" s="5">
        <v>1</v>
      </c>
      <c r="AF57">
        <v>29.5</v>
      </c>
    </row>
    <row r="58" spans="2:69" x14ac:dyDescent="0.2">
      <c r="H58" s="5"/>
      <c r="S58" s="5"/>
      <c r="AD58" s="5"/>
      <c r="AJ58" s="1" t="s">
        <v>9</v>
      </c>
      <c r="AK58" s="6" t="s">
        <v>14</v>
      </c>
      <c r="AL58" s="7" t="s">
        <v>15</v>
      </c>
      <c r="AM58" s="7" t="s">
        <v>29</v>
      </c>
      <c r="AN58" s="7" t="s">
        <v>16</v>
      </c>
      <c r="AO58" s="8" t="s">
        <v>59</v>
      </c>
      <c r="AP58" s="8" t="s">
        <v>17</v>
      </c>
      <c r="AQ58" s="15" t="s">
        <v>21</v>
      </c>
      <c r="BB58" s="1" t="s">
        <v>9</v>
      </c>
      <c r="BC58" s="6" t="s">
        <v>14</v>
      </c>
      <c r="BD58" s="7" t="s">
        <v>15</v>
      </c>
      <c r="BE58" s="7" t="s">
        <v>29</v>
      </c>
      <c r="BF58" s="7" t="s">
        <v>16</v>
      </c>
      <c r="BG58" s="8" t="s">
        <v>59</v>
      </c>
      <c r="BH58" s="8" t="s">
        <v>17</v>
      </c>
      <c r="BI58" s="15" t="s">
        <v>21</v>
      </c>
    </row>
    <row r="59" spans="2:69" x14ac:dyDescent="0.2">
      <c r="B59" s="1" t="s">
        <v>9</v>
      </c>
      <c r="C59" s="6" t="s">
        <v>14</v>
      </c>
      <c r="D59" s="7" t="s">
        <v>15</v>
      </c>
      <c r="E59" s="7" t="s">
        <v>29</v>
      </c>
      <c r="F59" s="7" t="s">
        <v>16</v>
      </c>
      <c r="G59" s="8" t="s">
        <v>59</v>
      </c>
      <c r="H59" s="8" t="s">
        <v>17</v>
      </c>
      <c r="I59" s="15" t="s">
        <v>21</v>
      </c>
      <c r="M59" s="1" t="s">
        <v>9</v>
      </c>
      <c r="N59" s="6" t="s">
        <v>14</v>
      </c>
      <c r="O59" s="7" t="s">
        <v>15</v>
      </c>
      <c r="P59" s="7" t="s">
        <v>29</v>
      </c>
      <c r="Q59" s="7" t="s">
        <v>16</v>
      </c>
      <c r="R59" s="8" t="s">
        <v>59</v>
      </c>
      <c r="S59" s="8" t="s">
        <v>17</v>
      </c>
      <c r="T59" s="15" t="s">
        <v>21</v>
      </c>
      <c r="AD59" s="5"/>
      <c r="AJ59" t="s">
        <v>62</v>
      </c>
      <c r="AK59" s="2">
        <v>12</v>
      </c>
      <c r="AL59" s="2">
        <v>1</v>
      </c>
      <c r="AM59" s="2" t="s">
        <v>26</v>
      </c>
      <c r="AQ59" s="5">
        <v>1</v>
      </c>
      <c r="BB59" t="s">
        <v>62</v>
      </c>
      <c r="BC59" s="2">
        <v>12</v>
      </c>
      <c r="BD59" s="2">
        <v>1</v>
      </c>
      <c r="BE59" s="2" t="s">
        <v>26</v>
      </c>
      <c r="BI59" s="5">
        <v>1</v>
      </c>
    </row>
    <row r="60" spans="2:69" x14ac:dyDescent="0.2">
      <c r="B60" t="s">
        <v>62</v>
      </c>
      <c r="C60" s="2">
        <v>12</v>
      </c>
      <c r="D60" s="2">
        <v>1</v>
      </c>
      <c r="E60" s="2" t="s">
        <v>26</v>
      </c>
      <c r="I60">
        <v>100</v>
      </c>
      <c r="M60" t="s">
        <v>62</v>
      </c>
      <c r="N60" s="2">
        <v>12</v>
      </c>
      <c r="O60" s="2">
        <v>1</v>
      </c>
      <c r="P60" s="2" t="s">
        <v>26</v>
      </c>
      <c r="T60">
        <v>100</v>
      </c>
      <c r="X60" s="1" t="s">
        <v>9</v>
      </c>
      <c r="Y60" s="6" t="s">
        <v>14</v>
      </c>
      <c r="Z60" s="7" t="s">
        <v>15</v>
      </c>
      <c r="AA60" s="7" t="s">
        <v>29</v>
      </c>
      <c r="AB60" s="7" t="s">
        <v>16</v>
      </c>
      <c r="AC60" s="8" t="s">
        <v>59</v>
      </c>
      <c r="AD60" s="8" t="s">
        <v>17</v>
      </c>
      <c r="AE60" s="15" t="s">
        <v>21</v>
      </c>
    </row>
    <row r="61" spans="2:69" x14ac:dyDescent="0.2">
      <c r="X61" t="s">
        <v>62</v>
      </c>
      <c r="Y61" s="2">
        <v>12</v>
      </c>
      <c r="Z61" s="2">
        <v>1</v>
      </c>
      <c r="AA61" s="2" t="s">
        <v>26</v>
      </c>
      <c r="AE61" s="5">
        <v>1</v>
      </c>
      <c r="AJ61" s="1" t="s">
        <v>188</v>
      </c>
      <c r="AK61" s="6" t="s">
        <v>14</v>
      </c>
      <c r="AL61" s="7" t="s">
        <v>15</v>
      </c>
      <c r="AM61" s="7" t="s">
        <v>29</v>
      </c>
      <c r="AN61" s="7" t="s">
        <v>16</v>
      </c>
      <c r="AO61" s="8" t="s">
        <v>59</v>
      </c>
      <c r="AP61" s="8" t="s">
        <v>17</v>
      </c>
      <c r="AQ61" s="15" t="s">
        <v>21</v>
      </c>
      <c r="AR61" s="86" t="s">
        <v>190</v>
      </c>
      <c r="BB61" s="1" t="s">
        <v>188</v>
      </c>
      <c r="BC61" s="6" t="s">
        <v>14</v>
      </c>
      <c r="BD61" s="7" t="s">
        <v>15</v>
      </c>
      <c r="BE61" s="7" t="s">
        <v>29</v>
      </c>
      <c r="BF61" s="7" t="s">
        <v>16</v>
      </c>
      <c r="BG61" s="8" t="s">
        <v>59</v>
      </c>
      <c r="BH61" s="8" t="s">
        <v>17</v>
      </c>
      <c r="BI61" s="15" t="s">
        <v>21</v>
      </c>
      <c r="BJ61" s="86" t="s">
        <v>190</v>
      </c>
    </row>
    <row r="62" spans="2:69" x14ac:dyDescent="0.2">
      <c r="AJ62" t="s">
        <v>189</v>
      </c>
      <c r="AK62" s="2">
        <v>3</v>
      </c>
      <c r="AL62" s="2">
        <v>12</v>
      </c>
      <c r="AM62" s="2" t="s">
        <v>26</v>
      </c>
      <c r="AO62" s="2" t="s">
        <v>18</v>
      </c>
      <c r="AP62">
        <f>AQ62*AR62</f>
        <v>12.75</v>
      </c>
      <c r="AQ62" s="5">
        <v>0.85</v>
      </c>
      <c r="AR62">
        <v>15</v>
      </c>
      <c r="BB62" t="s">
        <v>189</v>
      </c>
      <c r="BC62" s="2">
        <v>3</v>
      </c>
      <c r="BD62" s="2">
        <v>12</v>
      </c>
      <c r="BE62" s="2" t="s">
        <v>26</v>
      </c>
      <c r="BG62" s="2" t="s">
        <v>18</v>
      </c>
      <c r="BH62">
        <f>BI62*BJ62</f>
        <v>12.75</v>
      </c>
      <c r="BI62" s="5">
        <v>0.85</v>
      </c>
      <c r="BJ62">
        <v>15</v>
      </c>
    </row>
    <row r="63" spans="2:69" ht="16" thickBot="1" x14ac:dyDescent="0.25">
      <c r="X63" s="1" t="s">
        <v>188</v>
      </c>
      <c r="Y63" s="6" t="s">
        <v>14</v>
      </c>
      <c r="Z63" s="7" t="s">
        <v>15</v>
      </c>
      <c r="AA63" s="7" t="s">
        <v>29</v>
      </c>
      <c r="AB63" s="7" t="s">
        <v>16</v>
      </c>
      <c r="AC63" s="8" t="s">
        <v>59</v>
      </c>
      <c r="AD63" s="8" t="s">
        <v>17</v>
      </c>
      <c r="AE63" s="15" t="s">
        <v>21</v>
      </c>
      <c r="AF63" s="86" t="s">
        <v>190</v>
      </c>
    </row>
    <row r="64" spans="2:69" ht="16" thickBot="1" x14ac:dyDescent="0.25">
      <c r="B64" s="135" t="s">
        <v>261</v>
      </c>
      <c r="C64" s="136"/>
      <c r="D64" s="136"/>
      <c r="E64" s="136"/>
      <c r="F64" s="136"/>
      <c r="G64" s="136"/>
      <c r="H64" s="137"/>
      <c r="I64" s="137"/>
      <c r="J64" s="138">
        <v>45413</v>
      </c>
      <c r="X64" t="s">
        <v>189</v>
      </c>
      <c r="Y64" s="2">
        <v>3</v>
      </c>
      <c r="Z64" s="2">
        <v>12</v>
      </c>
      <c r="AA64" s="2" t="s">
        <v>26</v>
      </c>
      <c r="AC64" s="2" t="s">
        <v>18</v>
      </c>
      <c r="AD64">
        <f>AE64*AF64</f>
        <v>12.75</v>
      </c>
      <c r="AE64" s="5">
        <v>0.85</v>
      </c>
      <c r="AF64">
        <v>15</v>
      </c>
      <c r="AJ64" s="172" t="s">
        <v>276</v>
      </c>
      <c r="AK64" s="173"/>
      <c r="AL64" s="173"/>
      <c r="AM64" s="173"/>
      <c r="AN64" s="173"/>
      <c r="AO64" s="173"/>
      <c r="AP64" s="173"/>
      <c r="AQ64" s="173"/>
      <c r="AR64" s="173"/>
      <c r="AS64" s="173"/>
      <c r="AT64" s="173"/>
      <c r="AU64" s="173"/>
      <c r="AV64" s="173"/>
      <c r="AW64" s="173"/>
      <c r="AX64" s="173"/>
      <c r="AY64" s="174"/>
      <c r="BB64" s="172" t="s">
        <v>276</v>
      </c>
      <c r="BC64" s="173"/>
      <c r="BD64" s="173"/>
      <c r="BE64" s="173"/>
      <c r="BF64" s="173"/>
      <c r="BG64" s="173"/>
      <c r="BH64" s="173"/>
      <c r="BI64" s="173"/>
      <c r="BJ64" s="173"/>
      <c r="BK64" s="173"/>
      <c r="BL64" s="173"/>
      <c r="BM64" s="173"/>
      <c r="BN64" s="173"/>
      <c r="BO64" s="173"/>
      <c r="BP64" s="173"/>
      <c r="BQ64" s="174"/>
    </row>
    <row r="65" spans="1:66" x14ac:dyDescent="0.2">
      <c r="A65">
        <v>1</v>
      </c>
      <c r="B65" t="s">
        <v>262</v>
      </c>
      <c r="J65" s="3" t="s">
        <v>263</v>
      </c>
    </row>
    <row r="66" spans="1:66" x14ac:dyDescent="0.2">
      <c r="A66">
        <v>2</v>
      </c>
      <c r="B66" t="s">
        <v>264</v>
      </c>
      <c r="J66" s="3" t="s">
        <v>265</v>
      </c>
      <c r="AJ66" t="s">
        <v>216</v>
      </c>
      <c r="BB66" t="s">
        <v>216</v>
      </c>
    </row>
    <row r="67" spans="1:66" x14ac:dyDescent="0.2">
      <c r="A67">
        <v>3</v>
      </c>
      <c r="B67" t="s">
        <v>266</v>
      </c>
      <c r="J67" s="2" t="s">
        <v>267</v>
      </c>
      <c r="AI67">
        <v>1</v>
      </c>
      <c r="AJ67" s="125" t="s">
        <v>8</v>
      </c>
      <c r="AK67" s="117" t="s">
        <v>14</v>
      </c>
      <c r="AL67" s="117" t="s">
        <v>15</v>
      </c>
      <c r="AM67" s="117" t="s">
        <v>29</v>
      </c>
      <c r="AN67" s="117" t="s">
        <v>16</v>
      </c>
      <c r="AO67" s="117" t="s">
        <v>59</v>
      </c>
      <c r="AP67" s="117" t="s">
        <v>17</v>
      </c>
      <c r="AQ67" s="15" t="s">
        <v>21</v>
      </c>
      <c r="AR67" s="122" t="s">
        <v>214</v>
      </c>
      <c r="AS67" s="120" t="s">
        <v>210</v>
      </c>
      <c r="AT67" s="117" t="s">
        <v>211</v>
      </c>
      <c r="AU67" s="118" t="s">
        <v>209</v>
      </c>
      <c r="AV67" t="s">
        <v>215</v>
      </c>
      <c r="BA67">
        <v>1</v>
      </c>
      <c r="BB67" s="125" t="s">
        <v>8</v>
      </c>
      <c r="BC67" s="117" t="s">
        <v>14</v>
      </c>
      <c r="BD67" s="117" t="s">
        <v>15</v>
      </c>
      <c r="BE67" s="117" t="s">
        <v>29</v>
      </c>
      <c r="BF67" s="117" t="s">
        <v>16</v>
      </c>
      <c r="BG67" s="117" t="s">
        <v>59</v>
      </c>
      <c r="BH67" s="117" t="s">
        <v>17</v>
      </c>
      <c r="BI67" s="15" t="s">
        <v>21</v>
      </c>
      <c r="BJ67" s="122" t="s">
        <v>214</v>
      </c>
      <c r="BK67" s="120" t="s">
        <v>210</v>
      </c>
      <c r="BL67" s="117" t="s">
        <v>211</v>
      </c>
      <c r="BM67" s="118" t="s">
        <v>209</v>
      </c>
      <c r="BN67" t="s">
        <v>215</v>
      </c>
    </row>
    <row r="68" spans="1:66" x14ac:dyDescent="0.2">
      <c r="A68">
        <v>4</v>
      </c>
      <c r="B68" t="s">
        <v>268</v>
      </c>
      <c r="D68" s="3" t="s">
        <v>273</v>
      </c>
      <c r="H68" t="s">
        <v>275</v>
      </c>
      <c r="J68" s="2" t="s">
        <v>269</v>
      </c>
      <c r="AJ68" t="s">
        <v>213</v>
      </c>
      <c r="AK68" s="15">
        <v>6</v>
      </c>
      <c r="AL68" s="15">
        <v>1</v>
      </c>
      <c r="AM68" s="15" t="s">
        <v>31</v>
      </c>
      <c r="AN68" s="15" t="s">
        <v>18</v>
      </c>
      <c r="AO68" s="15" t="s">
        <v>60</v>
      </c>
      <c r="AP68" s="15">
        <f t="shared" ref="AP68" si="9">AR68*AQ68</f>
        <v>39.424999999999997</v>
      </c>
      <c r="AQ68" s="119">
        <v>0.95</v>
      </c>
      <c r="AR68" s="122">
        <f>AU68-(AS68+AT68)</f>
        <v>41.5</v>
      </c>
      <c r="AS68" s="121">
        <v>7</v>
      </c>
      <c r="AT68" s="42">
        <v>0</v>
      </c>
      <c r="AU68" s="42">
        <v>48.5</v>
      </c>
      <c r="AV68">
        <v>39.700000000000003</v>
      </c>
      <c r="BB68" t="s">
        <v>213</v>
      </c>
      <c r="BC68" s="15">
        <v>6</v>
      </c>
      <c r="BD68" s="15">
        <v>1</v>
      </c>
      <c r="BE68" s="15" t="s">
        <v>31</v>
      </c>
      <c r="BF68" s="15" t="s">
        <v>18</v>
      </c>
      <c r="BG68" s="15" t="s">
        <v>60</v>
      </c>
      <c r="BH68" s="15">
        <f t="shared" ref="BH68" si="10">BJ68*BI68</f>
        <v>39.424999999999997</v>
      </c>
      <c r="BI68" s="119">
        <v>0.95</v>
      </c>
      <c r="BJ68" s="122">
        <f>BM68-(BK68+BL68)</f>
        <v>41.5</v>
      </c>
      <c r="BK68" s="121">
        <v>7</v>
      </c>
      <c r="BL68" s="42">
        <v>0</v>
      </c>
      <c r="BM68" s="42">
        <v>48.5</v>
      </c>
      <c r="BN68">
        <v>39.700000000000003</v>
      </c>
    </row>
    <row r="69" spans="1:66" x14ac:dyDescent="0.2">
      <c r="A69">
        <v>5</v>
      </c>
      <c r="B69" t="s">
        <v>270</v>
      </c>
      <c r="D69" s="3" t="s">
        <v>274</v>
      </c>
      <c r="G69" s="133" t="s">
        <v>271</v>
      </c>
      <c r="H69" t="s">
        <v>275</v>
      </c>
      <c r="J69" s="2" t="s">
        <v>272</v>
      </c>
    </row>
    <row r="70" spans="1:66" x14ac:dyDescent="0.2">
      <c r="AP70">
        <v>36.700000000000003</v>
      </c>
      <c r="AR70">
        <v>39.700000000000003</v>
      </c>
      <c r="AS70">
        <v>90</v>
      </c>
      <c r="BH70">
        <v>36.700000000000003</v>
      </c>
      <c r="BJ70">
        <v>39.700000000000003</v>
      </c>
      <c r="BK70">
        <v>90</v>
      </c>
    </row>
    <row r="71" spans="1:66" x14ac:dyDescent="0.2">
      <c r="AR71" s="124">
        <f>(AR70*AS71)/AS70</f>
        <v>44.111111111111114</v>
      </c>
      <c r="AS71">
        <v>100</v>
      </c>
      <c r="BJ71" s="124">
        <f>(BJ70*BK71)/BK70</f>
        <v>44.111111111111114</v>
      </c>
      <c r="BK71">
        <v>100</v>
      </c>
    </row>
    <row r="72" spans="1:66" x14ac:dyDescent="0.2">
      <c r="AJ72" s="125" t="s">
        <v>163</v>
      </c>
      <c r="AK72" s="117" t="s">
        <v>14</v>
      </c>
      <c r="AL72" s="117" t="s">
        <v>15</v>
      </c>
      <c r="AM72" s="117" t="s">
        <v>29</v>
      </c>
      <c r="AN72" s="117" t="s">
        <v>16</v>
      </c>
      <c r="AO72" s="117" t="s">
        <v>59</v>
      </c>
      <c r="AP72" s="117" t="s">
        <v>17</v>
      </c>
      <c r="AQ72" s="15" t="s">
        <v>21</v>
      </c>
      <c r="AR72" s="122" t="s">
        <v>214</v>
      </c>
      <c r="AS72" s="120" t="s">
        <v>210</v>
      </c>
      <c r="AT72" s="117" t="s">
        <v>211</v>
      </c>
      <c r="AU72" s="118" t="s">
        <v>209</v>
      </c>
      <c r="AV72" s="123" t="s">
        <v>217</v>
      </c>
      <c r="BB72" s="125" t="s">
        <v>163</v>
      </c>
      <c r="BC72" s="117" t="s">
        <v>14</v>
      </c>
      <c r="BD72" s="117" t="s">
        <v>15</v>
      </c>
      <c r="BE72" s="117" t="s">
        <v>29</v>
      </c>
      <c r="BF72" s="117" t="s">
        <v>16</v>
      </c>
      <c r="BG72" s="117" t="s">
        <v>59</v>
      </c>
      <c r="BH72" s="117" t="s">
        <v>17</v>
      </c>
      <c r="BI72" s="15" t="s">
        <v>21</v>
      </c>
      <c r="BJ72" s="122" t="s">
        <v>214</v>
      </c>
      <c r="BK72" s="120" t="s">
        <v>210</v>
      </c>
      <c r="BL72" s="117" t="s">
        <v>211</v>
      </c>
      <c r="BM72" s="118" t="s">
        <v>209</v>
      </c>
      <c r="BN72" s="123" t="s">
        <v>217</v>
      </c>
    </row>
    <row r="73" spans="1:66" x14ac:dyDescent="0.2">
      <c r="AJ73" t="s">
        <v>314</v>
      </c>
      <c r="AK73" s="15">
        <v>6</v>
      </c>
      <c r="AL73" s="15">
        <v>1</v>
      </c>
      <c r="AM73" s="15" t="s">
        <v>212</v>
      </c>
      <c r="AN73" s="15" t="s">
        <v>18</v>
      </c>
      <c r="AO73" s="15" t="s">
        <v>60</v>
      </c>
      <c r="AP73" s="15">
        <f t="shared" ref="AP73" si="11">AR73*AQ73</f>
        <v>24.3</v>
      </c>
      <c r="AQ73" s="119">
        <v>0.9</v>
      </c>
      <c r="AR73" s="122">
        <f>(AS73+AT73)</f>
        <v>27</v>
      </c>
      <c r="AS73" s="121">
        <v>0</v>
      </c>
      <c r="AT73" s="42">
        <v>27</v>
      </c>
      <c r="AU73" s="42">
        <v>48.7</v>
      </c>
      <c r="AV73" s="126" t="s">
        <v>218</v>
      </c>
      <c r="BB73" t="s">
        <v>314</v>
      </c>
      <c r="BC73" s="15">
        <v>6</v>
      </c>
      <c r="BD73" s="15">
        <v>1</v>
      </c>
      <c r="BE73" s="15" t="s">
        <v>212</v>
      </c>
      <c r="BF73" s="15" t="s">
        <v>18</v>
      </c>
      <c r="BG73" s="15" t="s">
        <v>60</v>
      </c>
      <c r="BH73" s="15">
        <f t="shared" ref="BH73" si="12">BJ73*BI73</f>
        <v>24.3</v>
      </c>
      <c r="BI73" s="119">
        <v>0.9</v>
      </c>
      <c r="BJ73" s="122">
        <f>(BK73+BL73)</f>
        <v>27</v>
      </c>
      <c r="BK73" s="121">
        <v>0</v>
      </c>
      <c r="BL73" s="42">
        <v>27</v>
      </c>
      <c r="BM73" s="42">
        <v>48.7</v>
      </c>
      <c r="BN73" s="126" t="s">
        <v>218</v>
      </c>
    </row>
    <row r="75" spans="1:66" x14ac:dyDescent="0.2">
      <c r="AJ75" s="125" t="s">
        <v>315</v>
      </c>
      <c r="AK75" s="117" t="s">
        <v>14</v>
      </c>
      <c r="AL75" s="117" t="s">
        <v>15</v>
      </c>
      <c r="AM75" s="117" t="s">
        <v>29</v>
      </c>
      <c r="AN75" s="117" t="s">
        <v>16</v>
      </c>
      <c r="AO75" s="117" t="s">
        <v>59</v>
      </c>
      <c r="AP75" s="117" t="s">
        <v>17</v>
      </c>
      <c r="AQ75" s="15" t="s">
        <v>21</v>
      </c>
      <c r="AR75" s="122" t="s">
        <v>214</v>
      </c>
      <c r="AS75" s="120" t="s">
        <v>210</v>
      </c>
      <c r="AT75" s="117" t="s">
        <v>211</v>
      </c>
      <c r="AU75" s="118" t="s">
        <v>209</v>
      </c>
      <c r="AV75" s="123" t="s">
        <v>217</v>
      </c>
      <c r="BB75" s="125" t="s">
        <v>315</v>
      </c>
      <c r="BC75" s="117" t="s">
        <v>14</v>
      </c>
      <c r="BD75" s="117" t="s">
        <v>15</v>
      </c>
      <c r="BE75" s="117" t="s">
        <v>29</v>
      </c>
      <c r="BF75" s="117" t="s">
        <v>16</v>
      </c>
      <c r="BG75" s="117" t="s">
        <v>59</v>
      </c>
      <c r="BH75" s="117" t="s">
        <v>17</v>
      </c>
      <c r="BI75" s="15" t="s">
        <v>21</v>
      </c>
      <c r="BJ75" s="122" t="s">
        <v>214</v>
      </c>
      <c r="BK75" s="120" t="s">
        <v>210</v>
      </c>
      <c r="BL75" s="117" t="s">
        <v>211</v>
      </c>
      <c r="BM75" s="118" t="s">
        <v>209</v>
      </c>
      <c r="BN75" s="123" t="s">
        <v>217</v>
      </c>
    </row>
    <row r="76" spans="1:66" x14ac:dyDescent="0.2">
      <c r="AJ76" t="s">
        <v>311</v>
      </c>
      <c r="AK76" s="15">
        <v>6</v>
      </c>
      <c r="AL76" s="15">
        <v>7</v>
      </c>
      <c r="AM76" s="15" t="s">
        <v>212</v>
      </c>
      <c r="AN76" s="15" t="s">
        <v>18</v>
      </c>
      <c r="AO76" s="15" t="s">
        <v>60</v>
      </c>
      <c r="AP76" s="15">
        <f t="shared" ref="AP76" si="13">AR76*AQ76</f>
        <v>-16.099999999999998</v>
      </c>
      <c r="AQ76" s="119">
        <v>0.7</v>
      </c>
      <c r="AR76" s="122">
        <f>(AS76+AT76)</f>
        <v>-23</v>
      </c>
      <c r="AS76" s="121">
        <v>-23</v>
      </c>
      <c r="AT76" s="42">
        <v>0</v>
      </c>
      <c r="AU76" s="42">
        <v>48.7</v>
      </c>
      <c r="AV76" s="126" t="s">
        <v>218</v>
      </c>
      <c r="BB76" t="s">
        <v>311</v>
      </c>
      <c r="BC76" s="15">
        <v>6</v>
      </c>
      <c r="BD76" s="15">
        <v>7</v>
      </c>
      <c r="BE76" s="15" t="s">
        <v>212</v>
      </c>
      <c r="BF76" s="15" t="s">
        <v>18</v>
      </c>
      <c r="BG76" s="15" t="s">
        <v>60</v>
      </c>
      <c r="BH76" s="15">
        <f t="shared" ref="BH76" si="14">BJ76*BI76</f>
        <v>-16.099999999999998</v>
      </c>
      <c r="BI76" s="119">
        <v>0.7</v>
      </c>
      <c r="BJ76" s="122">
        <f>(BK76+BL76)</f>
        <v>-23</v>
      </c>
      <c r="BK76" s="121">
        <v>-23</v>
      </c>
      <c r="BL76" s="42">
        <v>0</v>
      </c>
      <c r="BM76" s="42">
        <v>48.7</v>
      </c>
      <c r="BN76" s="126" t="s">
        <v>218</v>
      </c>
    </row>
    <row r="78" spans="1:66" x14ac:dyDescent="0.2">
      <c r="AJ78" s="125" t="s">
        <v>163</v>
      </c>
      <c r="AK78" s="117" t="s">
        <v>14</v>
      </c>
      <c r="AL78" s="117" t="s">
        <v>15</v>
      </c>
      <c r="AM78" s="117" t="s">
        <v>29</v>
      </c>
      <c r="AN78" s="117" t="s">
        <v>16</v>
      </c>
      <c r="AO78" s="117" t="s">
        <v>59</v>
      </c>
      <c r="AP78" s="117" t="s">
        <v>17</v>
      </c>
      <c r="AQ78" s="15" t="s">
        <v>21</v>
      </c>
      <c r="AR78" s="122" t="s">
        <v>214</v>
      </c>
      <c r="AS78" s="120" t="s">
        <v>210</v>
      </c>
      <c r="AT78" s="117" t="s">
        <v>211</v>
      </c>
      <c r="AU78" s="118" t="s">
        <v>209</v>
      </c>
      <c r="AV78" s="123" t="s">
        <v>217</v>
      </c>
      <c r="BB78" s="125" t="s">
        <v>163</v>
      </c>
      <c r="BC78" s="117" t="s">
        <v>14</v>
      </c>
      <c r="BD78" s="117" t="s">
        <v>15</v>
      </c>
      <c r="BE78" s="117" t="s">
        <v>29</v>
      </c>
      <c r="BF78" s="117" t="s">
        <v>16</v>
      </c>
      <c r="BG78" s="117" t="s">
        <v>59</v>
      </c>
      <c r="BH78" s="117" t="s">
        <v>17</v>
      </c>
      <c r="BI78" s="15" t="s">
        <v>21</v>
      </c>
      <c r="BJ78" s="122" t="s">
        <v>214</v>
      </c>
      <c r="BK78" s="120" t="s">
        <v>210</v>
      </c>
      <c r="BL78" s="117" t="s">
        <v>211</v>
      </c>
      <c r="BM78" s="118" t="s">
        <v>209</v>
      </c>
      <c r="BN78" s="123" t="s">
        <v>217</v>
      </c>
    </row>
    <row r="79" spans="1:66" x14ac:dyDescent="0.2">
      <c r="AJ79" t="s">
        <v>316</v>
      </c>
      <c r="AK79" s="15">
        <v>6</v>
      </c>
      <c r="AL79" s="15">
        <v>1</v>
      </c>
      <c r="AM79" s="15" t="s">
        <v>212</v>
      </c>
      <c r="AN79" s="15" t="s">
        <v>18</v>
      </c>
      <c r="AO79" s="15" t="s">
        <v>60</v>
      </c>
      <c r="AP79" s="15">
        <f t="shared" ref="AP79" si="15">AR79*AQ79</f>
        <v>39.9</v>
      </c>
      <c r="AQ79" s="119">
        <v>0.95</v>
      </c>
      <c r="AR79" s="122">
        <f>(AS79+AT79)</f>
        <v>42</v>
      </c>
      <c r="AS79" s="121">
        <v>0</v>
      </c>
      <c r="AT79" s="42">
        <v>42</v>
      </c>
      <c r="AU79" s="42">
        <v>48.7</v>
      </c>
      <c r="AV79" s="126" t="s">
        <v>218</v>
      </c>
      <c r="BB79" t="s">
        <v>316</v>
      </c>
      <c r="BC79" s="15">
        <v>6</v>
      </c>
      <c r="BD79" s="15">
        <v>1</v>
      </c>
      <c r="BE79" s="15" t="s">
        <v>212</v>
      </c>
      <c r="BF79" s="15" t="s">
        <v>18</v>
      </c>
      <c r="BG79" s="15" t="s">
        <v>60</v>
      </c>
      <c r="BH79" s="15">
        <f t="shared" ref="BH79" si="16">BJ79*BI79</f>
        <v>39.9</v>
      </c>
      <c r="BI79" s="119">
        <v>0.95</v>
      </c>
      <c r="BJ79" s="122">
        <f>(BK79+BL79)</f>
        <v>42</v>
      </c>
      <c r="BK79" s="121">
        <v>0</v>
      </c>
      <c r="BL79" s="42">
        <v>42</v>
      </c>
      <c r="BM79" s="42">
        <v>48.7</v>
      </c>
      <c r="BN79" s="126" t="s">
        <v>218</v>
      </c>
    </row>
    <row r="82" spans="35:67" x14ac:dyDescent="0.2">
      <c r="AI82">
        <v>2</v>
      </c>
      <c r="AJ82" s="125" t="s">
        <v>8</v>
      </c>
      <c r="AK82" s="117" t="s">
        <v>14</v>
      </c>
      <c r="AL82" s="117" t="s">
        <v>15</v>
      </c>
      <c r="AM82" s="117" t="s">
        <v>29</v>
      </c>
      <c r="AN82" s="117" t="s">
        <v>16</v>
      </c>
      <c r="AO82" s="117" t="s">
        <v>59</v>
      </c>
      <c r="AP82" s="117" t="s">
        <v>17</v>
      </c>
      <c r="AQ82" s="15" t="s">
        <v>21</v>
      </c>
      <c r="AR82" s="122" t="s">
        <v>214</v>
      </c>
      <c r="AS82" s="120" t="s">
        <v>210</v>
      </c>
      <c r="AT82" s="117" t="s">
        <v>211</v>
      </c>
      <c r="AU82" s="118" t="s">
        <v>209</v>
      </c>
      <c r="AV82" s="123" t="s">
        <v>217</v>
      </c>
      <c r="BA82">
        <v>2</v>
      </c>
      <c r="BB82" s="125" t="s">
        <v>8</v>
      </c>
      <c r="BC82" s="117" t="s">
        <v>14</v>
      </c>
      <c r="BD82" s="117" t="s">
        <v>15</v>
      </c>
      <c r="BE82" s="117" t="s">
        <v>29</v>
      </c>
      <c r="BF82" s="117" t="s">
        <v>16</v>
      </c>
      <c r="BG82" s="117" t="s">
        <v>59</v>
      </c>
      <c r="BH82" s="117" t="s">
        <v>17</v>
      </c>
      <c r="BI82" s="15" t="s">
        <v>21</v>
      </c>
      <c r="BJ82" s="122" t="s">
        <v>214</v>
      </c>
      <c r="BK82" s="120" t="s">
        <v>210</v>
      </c>
      <c r="BL82" s="117" t="s">
        <v>211</v>
      </c>
      <c r="BM82" s="118" t="s">
        <v>209</v>
      </c>
      <c r="BN82" s="123" t="s">
        <v>217</v>
      </c>
    </row>
    <row r="83" spans="35:67" x14ac:dyDescent="0.2">
      <c r="AJ83" t="s">
        <v>277</v>
      </c>
      <c r="AK83" s="15">
        <v>5</v>
      </c>
      <c r="AL83" s="15">
        <v>1</v>
      </c>
      <c r="AM83" s="15" t="s">
        <v>212</v>
      </c>
      <c r="AN83" s="15" t="s">
        <v>18</v>
      </c>
      <c r="AO83" s="15" t="s">
        <v>60</v>
      </c>
      <c r="AP83" s="15">
        <f t="shared" ref="AP83" si="17">AR83*AQ83</f>
        <v>6.3</v>
      </c>
      <c r="AQ83" s="119">
        <v>0.9</v>
      </c>
      <c r="AR83" s="122">
        <f>(AS83+AT83)</f>
        <v>7</v>
      </c>
      <c r="AS83" s="121">
        <v>0</v>
      </c>
      <c r="AT83" s="42">
        <v>7</v>
      </c>
      <c r="AU83" s="42">
        <v>48.7</v>
      </c>
      <c r="AV83" s="126" t="s">
        <v>218</v>
      </c>
      <c r="BB83" t="s">
        <v>277</v>
      </c>
      <c r="BC83" s="15">
        <v>5</v>
      </c>
      <c r="BD83" s="15">
        <v>1</v>
      </c>
      <c r="BE83" s="15" t="s">
        <v>212</v>
      </c>
      <c r="BF83" s="15" t="s">
        <v>18</v>
      </c>
      <c r="BG83" s="15" t="s">
        <v>60</v>
      </c>
      <c r="BH83" s="15">
        <f t="shared" ref="BH83" si="18">BJ83*BI83</f>
        <v>6.3</v>
      </c>
      <c r="BI83" s="119">
        <v>0.9</v>
      </c>
      <c r="BJ83" s="122">
        <f>(BK83+BL83)</f>
        <v>7</v>
      </c>
      <c r="BK83" s="121">
        <v>0</v>
      </c>
      <c r="BL83" s="42">
        <v>7</v>
      </c>
      <c r="BM83" s="42">
        <v>48.7</v>
      </c>
      <c r="BN83" s="126" t="s">
        <v>218</v>
      </c>
    </row>
    <row r="85" spans="35:67" ht="14.5" customHeight="1" x14ac:dyDescent="0.2">
      <c r="AI85">
        <v>3</v>
      </c>
      <c r="AJ85" s="125" t="s">
        <v>8</v>
      </c>
      <c r="AK85" s="117" t="s">
        <v>14</v>
      </c>
      <c r="AL85" s="117" t="s">
        <v>15</v>
      </c>
      <c r="AM85" s="117" t="s">
        <v>29</v>
      </c>
      <c r="AN85" s="117" t="s">
        <v>16</v>
      </c>
      <c r="AO85" s="117" t="s">
        <v>59</v>
      </c>
      <c r="AP85" s="117" t="s">
        <v>17</v>
      </c>
      <c r="AQ85" s="15" t="s">
        <v>21</v>
      </c>
      <c r="AR85" s="122" t="s">
        <v>214</v>
      </c>
      <c r="AS85" s="120" t="s">
        <v>210</v>
      </c>
      <c r="AT85" s="117" t="s">
        <v>211</v>
      </c>
      <c r="AU85" s="118" t="s">
        <v>209</v>
      </c>
      <c r="AV85" s="123" t="s">
        <v>217</v>
      </c>
      <c r="BA85">
        <v>3</v>
      </c>
      <c r="BB85" s="125" t="s">
        <v>8</v>
      </c>
      <c r="BC85" s="117" t="s">
        <v>14</v>
      </c>
      <c r="BD85" s="117" t="s">
        <v>15</v>
      </c>
      <c r="BE85" s="117" t="s">
        <v>29</v>
      </c>
      <c r="BF85" s="117" t="s">
        <v>16</v>
      </c>
      <c r="BG85" s="117" t="s">
        <v>59</v>
      </c>
      <c r="BH85" s="117" t="s">
        <v>17</v>
      </c>
      <c r="BI85" s="15" t="s">
        <v>21</v>
      </c>
      <c r="BJ85" s="122" t="s">
        <v>214</v>
      </c>
      <c r="BK85" s="120" t="s">
        <v>210</v>
      </c>
      <c r="BL85" s="117" t="s">
        <v>211</v>
      </c>
      <c r="BM85" s="118" t="s">
        <v>209</v>
      </c>
      <c r="BN85" s="123" t="s">
        <v>217</v>
      </c>
    </row>
    <row r="86" spans="35:67" x14ac:dyDescent="0.2">
      <c r="AJ86" t="s">
        <v>278</v>
      </c>
      <c r="AK86" s="15">
        <v>5</v>
      </c>
      <c r="AL86" s="15">
        <v>1</v>
      </c>
      <c r="AM86" s="15" t="s">
        <v>212</v>
      </c>
      <c r="AN86" s="15" t="s">
        <v>18</v>
      </c>
      <c r="AO86" s="15" t="s">
        <v>60</v>
      </c>
      <c r="AP86" s="15">
        <f t="shared" ref="AP86" si="19">AR86*AQ86</f>
        <v>10.8</v>
      </c>
      <c r="AQ86" s="119">
        <v>0.8</v>
      </c>
      <c r="AR86" s="122">
        <f>(AS86+AT86)</f>
        <v>13.5</v>
      </c>
      <c r="AS86" s="121">
        <v>0</v>
      </c>
      <c r="AT86" s="42">
        <v>13.5</v>
      </c>
      <c r="AU86" s="42">
        <v>48.7</v>
      </c>
      <c r="AV86" s="126" t="s">
        <v>218</v>
      </c>
      <c r="BB86" t="s">
        <v>278</v>
      </c>
      <c r="BC86" s="15">
        <v>5</v>
      </c>
      <c r="BD86" s="15">
        <v>1</v>
      </c>
      <c r="BE86" s="15" t="s">
        <v>212</v>
      </c>
      <c r="BF86" s="15" t="s">
        <v>18</v>
      </c>
      <c r="BG86" s="15" t="s">
        <v>60</v>
      </c>
      <c r="BH86" s="15">
        <f t="shared" ref="BH86" si="20">BJ86*BI86</f>
        <v>10.8</v>
      </c>
      <c r="BI86" s="119">
        <v>0.8</v>
      </c>
      <c r="BJ86" s="122">
        <f>(BK86+BL86)</f>
        <v>13.5</v>
      </c>
      <c r="BK86" s="121">
        <v>0</v>
      </c>
      <c r="BL86" s="42">
        <v>13.5</v>
      </c>
      <c r="BM86" s="42">
        <v>48.7</v>
      </c>
      <c r="BN86" s="126" t="s">
        <v>218</v>
      </c>
    </row>
    <row r="88" spans="35:67" x14ac:dyDescent="0.2">
      <c r="AI88">
        <v>4</v>
      </c>
      <c r="AJ88" s="125" t="s">
        <v>8</v>
      </c>
      <c r="AK88" s="117" t="s">
        <v>14</v>
      </c>
      <c r="AL88" s="117" t="s">
        <v>15</v>
      </c>
      <c r="AM88" s="117" t="s">
        <v>29</v>
      </c>
      <c r="AN88" s="117" t="s">
        <v>16</v>
      </c>
      <c r="AO88" s="117" t="s">
        <v>59</v>
      </c>
      <c r="AP88" s="117" t="s">
        <v>17</v>
      </c>
      <c r="AQ88" s="15" t="s">
        <v>21</v>
      </c>
      <c r="AR88" s="122" t="s">
        <v>214</v>
      </c>
      <c r="AS88" s="120" t="s">
        <v>210</v>
      </c>
      <c r="AT88" s="117" t="s">
        <v>211</v>
      </c>
      <c r="AU88" s="118" t="s">
        <v>209</v>
      </c>
      <c r="AV88" s="123" t="s">
        <v>217</v>
      </c>
      <c r="BA88">
        <v>4</v>
      </c>
      <c r="BB88" s="125" t="s">
        <v>8</v>
      </c>
      <c r="BC88" s="117" t="s">
        <v>14</v>
      </c>
      <c r="BD88" s="117" t="s">
        <v>15</v>
      </c>
      <c r="BE88" s="117" t="s">
        <v>29</v>
      </c>
      <c r="BF88" s="117" t="s">
        <v>16</v>
      </c>
      <c r="BG88" s="117" t="s">
        <v>59</v>
      </c>
      <c r="BH88" s="117" t="s">
        <v>17</v>
      </c>
      <c r="BI88" s="15" t="s">
        <v>21</v>
      </c>
      <c r="BJ88" s="122" t="s">
        <v>214</v>
      </c>
      <c r="BK88" s="120" t="s">
        <v>210</v>
      </c>
      <c r="BL88" s="117" t="s">
        <v>211</v>
      </c>
      <c r="BM88" s="118" t="s">
        <v>209</v>
      </c>
      <c r="BN88" s="123" t="s">
        <v>217</v>
      </c>
    </row>
    <row r="89" spans="35:67" x14ac:dyDescent="0.2">
      <c r="AJ89" t="s">
        <v>279</v>
      </c>
      <c r="AK89" s="15">
        <v>5</v>
      </c>
      <c r="AL89" s="15">
        <v>1</v>
      </c>
      <c r="AM89" s="15" t="s">
        <v>212</v>
      </c>
      <c r="AN89" s="15" t="s">
        <v>18</v>
      </c>
      <c r="AO89" s="15" t="s">
        <v>60</v>
      </c>
      <c r="AP89" s="15">
        <f t="shared" ref="AP89" si="21">AR89*AQ89</f>
        <v>12.15</v>
      </c>
      <c r="AQ89" s="119">
        <v>0.9</v>
      </c>
      <c r="AR89" s="122">
        <f>(AS89+AT89)</f>
        <v>13.5</v>
      </c>
      <c r="AS89" s="121">
        <v>0</v>
      </c>
      <c r="AT89" s="42">
        <v>13.5</v>
      </c>
      <c r="AU89" s="42">
        <v>48.7</v>
      </c>
      <c r="AV89" s="126" t="s">
        <v>218</v>
      </c>
      <c r="BB89" t="s">
        <v>279</v>
      </c>
      <c r="BC89" s="15">
        <v>5</v>
      </c>
      <c r="BD89" s="15">
        <v>1</v>
      </c>
      <c r="BE89" s="15" t="s">
        <v>212</v>
      </c>
      <c r="BF89" s="15" t="s">
        <v>18</v>
      </c>
      <c r="BG89" s="15" t="s">
        <v>60</v>
      </c>
      <c r="BH89" s="15">
        <f t="shared" ref="BH89" si="22">BJ89*BI89</f>
        <v>12.15</v>
      </c>
      <c r="BI89" s="119">
        <v>0.9</v>
      </c>
      <c r="BJ89" s="122">
        <f>(BK89+BL89)</f>
        <v>13.5</v>
      </c>
      <c r="BK89" s="121">
        <v>0</v>
      </c>
      <c r="BL89" s="42">
        <v>13.5</v>
      </c>
      <c r="BM89" s="42">
        <v>48.7</v>
      </c>
      <c r="BN89" s="126" t="s">
        <v>218</v>
      </c>
    </row>
    <row r="91" spans="35:67" x14ac:dyDescent="0.2">
      <c r="AI91">
        <v>5</v>
      </c>
      <c r="AJ91" s="125" t="s">
        <v>8</v>
      </c>
      <c r="AK91" s="117" t="s">
        <v>14</v>
      </c>
      <c r="AL91" s="117" t="s">
        <v>15</v>
      </c>
      <c r="AM91" s="117" t="s">
        <v>29</v>
      </c>
      <c r="AN91" s="117" t="s">
        <v>16</v>
      </c>
      <c r="AO91" s="117" t="s">
        <v>59</v>
      </c>
      <c r="AP91" s="117" t="s">
        <v>17</v>
      </c>
      <c r="AQ91" s="15" t="s">
        <v>21</v>
      </c>
      <c r="AR91" s="122" t="s">
        <v>214</v>
      </c>
      <c r="AS91" s="120" t="s">
        <v>210</v>
      </c>
      <c r="AT91" s="117" t="s">
        <v>211</v>
      </c>
      <c r="AU91" s="118" t="s">
        <v>209</v>
      </c>
      <c r="AV91" s="123" t="s">
        <v>217</v>
      </c>
      <c r="BA91">
        <v>5</v>
      </c>
      <c r="BB91" s="125" t="s">
        <v>8</v>
      </c>
      <c r="BC91" s="117" t="s">
        <v>14</v>
      </c>
      <c r="BD91" s="117" t="s">
        <v>15</v>
      </c>
      <c r="BE91" s="117" t="s">
        <v>29</v>
      </c>
      <c r="BF91" s="117" t="s">
        <v>16</v>
      </c>
      <c r="BG91" s="117" t="s">
        <v>59</v>
      </c>
      <c r="BH91" s="117" t="s">
        <v>17</v>
      </c>
      <c r="BI91" s="15" t="s">
        <v>21</v>
      </c>
      <c r="BJ91" s="122" t="s">
        <v>214</v>
      </c>
      <c r="BK91" s="120" t="s">
        <v>210</v>
      </c>
      <c r="BL91" s="117" t="s">
        <v>211</v>
      </c>
      <c r="BM91" s="118" t="s">
        <v>209</v>
      </c>
      <c r="BN91" s="123" t="s">
        <v>217</v>
      </c>
    </row>
    <row r="92" spans="35:67" x14ac:dyDescent="0.2">
      <c r="AJ92" t="s">
        <v>280</v>
      </c>
      <c r="AK92" s="15">
        <v>5</v>
      </c>
      <c r="AL92" s="15">
        <v>1</v>
      </c>
      <c r="AM92" s="15" t="s">
        <v>212</v>
      </c>
      <c r="AN92" s="15" t="s">
        <v>18</v>
      </c>
      <c r="AO92" s="15" t="s">
        <v>60</v>
      </c>
      <c r="AP92" s="15">
        <f t="shared" ref="AP92" si="23">AR92*AQ92</f>
        <v>12.15</v>
      </c>
      <c r="AQ92" s="119">
        <v>0.9</v>
      </c>
      <c r="AR92" s="122">
        <f>(AS92+AT92)</f>
        <v>13.5</v>
      </c>
      <c r="AS92" s="121">
        <v>0</v>
      </c>
      <c r="AT92" s="42">
        <v>13.5</v>
      </c>
      <c r="AU92" s="42">
        <v>48.7</v>
      </c>
      <c r="AV92" s="126" t="s">
        <v>218</v>
      </c>
      <c r="BB92" t="s">
        <v>280</v>
      </c>
      <c r="BC92" s="15">
        <v>5</v>
      </c>
      <c r="BD92" s="15">
        <v>1</v>
      </c>
      <c r="BE92" s="15" t="s">
        <v>212</v>
      </c>
      <c r="BF92" s="15" t="s">
        <v>18</v>
      </c>
      <c r="BG92" s="15" t="s">
        <v>60</v>
      </c>
      <c r="BH92" s="15">
        <f t="shared" ref="BH92" si="24">BJ92*BI92</f>
        <v>12.15</v>
      </c>
      <c r="BI92" s="119">
        <v>0.9</v>
      </c>
      <c r="BJ92" s="122">
        <f>(BK92+BL92)</f>
        <v>13.5</v>
      </c>
      <c r="BK92" s="121">
        <v>0</v>
      </c>
      <c r="BL92" s="42">
        <v>13.5</v>
      </c>
      <c r="BM92" s="42">
        <v>48.7</v>
      </c>
      <c r="BN92" s="126" t="s">
        <v>218</v>
      </c>
    </row>
    <row r="94" spans="35:67" x14ac:dyDescent="0.2">
      <c r="AJ94" s="139" t="s">
        <v>162</v>
      </c>
      <c r="AK94" s="117" t="s">
        <v>14</v>
      </c>
      <c r="AL94" s="117" t="s">
        <v>15</v>
      </c>
      <c r="AM94" s="117" t="s">
        <v>29</v>
      </c>
      <c r="AN94" s="117" t="s">
        <v>16</v>
      </c>
      <c r="AO94" s="117" t="s">
        <v>59</v>
      </c>
      <c r="AP94" s="117" t="s">
        <v>17</v>
      </c>
      <c r="AQ94" s="15" t="s">
        <v>21</v>
      </c>
      <c r="AR94" s="122" t="s">
        <v>214</v>
      </c>
      <c r="AS94" s="140" t="s">
        <v>210</v>
      </c>
      <c r="AT94" s="140" t="s">
        <v>211</v>
      </c>
      <c r="AU94" s="118" t="s">
        <v>209</v>
      </c>
      <c r="AV94" s="123" t="s">
        <v>217</v>
      </c>
      <c r="AW94" s="17" t="s">
        <v>283</v>
      </c>
      <c r="BB94" s="139" t="s">
        <v>162</v>
      </c>
      <c r="BC94" s="117" t="s">
        <v>14</v>
      </c>
      <c r="BD94" s="117" t="s">
        <v>15</v>
      </c>
      <c r="BE94" s="117" t="s">
        <v>29</v>
      </c>
      <c r="BF94" s="117" t="s">
        <v>16</v>
      </c>
      <c r="BG94" s="117" t="s">
        <v>59</v>
      </c>
      <c r="BH94" s="117" t="s">
        <v>17</v>
      </c>
      <c r="BI94" s="15" t="s">
        <v>21</v>
      </c>
      <c r="BJ94" s="122" t="s">
        <v>214</v>
      </c>
      <c r="BK94" s="140" t="s">
        <v>210</v>
      </c>
      <c r="BL94" s="140" t="s">
        <v>211</v>
      </c>
      <c r="BM94" s="118" t="s">
        <v>209</v>
      </c>
      <c r="BN94" s="123" t="s">
        <v>217</v>
      </c>
      <c r="BO94" s="17" t="s">
        <v>283</v>
      </c>
    </row>
    <row r="95" spans="35:67" x14ac:dyDescent="0.2">
      <c r="AJ95" t="s">
        <v>281</v>
      </c>
      <c r="AK95" s="15">
        <v>3</v>
      </c>
      <c r="AL95" s="15">
        <v>8</v>
      </c>
      <c r="AM95" s="128" t="s">
        <v>30</v>
      </c>
      <c r="AN95" s="15" t="s">
        <v>282</v>
      </c>
      <c r="AO95" s="15" t="s">
        <v>60</v>
      </c>
      <c r="AP95" s="15">
        <f t="shared" ref="AP95" si="25">AR95*AQ95</f>
        <v>4.95</v>
      </c>
      <c r="AQ95" s="119">
        <v>0.9</v>
      </c>
      <c r="AR95" s="122">
        <f>(AS95+AT95)</f>
        <v>5.5</v>
      </c>
      <c r="AS95" s="141">
        <v>0</v>
      </c>
      <c r="AT95" s="42">
        <v>5.5</v>
      </c>
      <c r="AU95" s="42">
        <v>48.7</v>
      </c>
      <c r="AV95" s="126" t="s">
        <v>218</v>
      </c>
      <c r="AW95" s="15" t="s">
        <v>284</v>
      </c>
      <c r="BB95" t="s">
        <v>281</v>
      </c>
      <c r="BC95" s="15">
        <v>3</v>
      </c>
      <c r="BD95" s="15">
        <v>8</v>
      </c>
      <c r="BE95" s="128" t="s">
        <v>30</v>
      </c>
      <c r="BF95" s="15" t="s">
        <v>282</v>
      </c>
      <c r="BG95" s="15" t="s">
        <v>60</v>
      </c>
      <c r="BH95" s="15">
        <f t="shared" ref="BH95" si="26">BJ95*BI95</f>
        <v>4.95</v>
      </c>
      <c r="BI95" s="119">
        <v>0.9</v>
      </c>
      <c r="BJ95" s="122">
        <f>(BK95+BL95)</f>
        <v>5.5</v>
      </c>
      <c r="BK95" s="141">
        <v>0</v>
      </c>
      <c r="BL95" s="42">
        <v>5.5</v>
      </c>
      <c r="BM95" s="42">
        <v>48.7</v>
      </c>
      <c r="BN95" s="126" t="s">
        <v>218</v>
      </c>
      <c r="BO95" s="15" t="s">
        <v>284</v>
      </c>
    </row>
    <row r="97" spans="36:67" x14ac:dyDescent="0.2">
      <c r="AJ97" s="139" t="s">
        <v>162</v>
      </c>
      <c r="AK97" s="117" t="s">
        <v>14</v>
      </c>
      <c r="AL97" s="117" t="s">
        <v>15</v>
      </c>
      <c r="AM97" s="117" t="s">
        <v>29</v>
      </c>
      <c r="AN97" s="117" t="s">
        <v>16</v>
      </c>
      <c r="AO97" s="117" t="s">
        <v>59</v>
      </c>
      <c r="AP97" s="117" t="s">
        <v>17</v>
      </c>
      <c r="AQ97" s="15" t="s">
        <v>21</v>
      </c>
      <c r="AR97" s="122" t="s">
        <v>214</v>
      </c>
      <c r="AS97" s="140" t="s">
        <v>210</v>
      </c>
      <c r="AT97" s="140" t="s">
        <v>211</v>
      </c>
      <c r="AU97" s="118" t="s">
        <v>209</v>
      </c>
      <c r="AV97" s="123" t="s">
        <v>217</v>
      </c>
      <c r="AW97" s="17" t="s">
        <v>283</v>
      </c>
      <c r="BB97" s="139" t="s">
        <v>162</v>
      </c>
      <c r="BC97" s="117" t="s">
        <v>14</v>
      </c>
      <c r="BD97" s="117" t="s">
        <v>15</v>
      </c>
      <c r="BE97" s="117" t="s">
        <v>29</v>
      </c>
      <c r="BF97" s="117" t="s">
        <v>16</v>
      </c>
      <c r="BG97" s="117" t="s">
        <v>59</v>
      </c>
      <c r="BH97" s="117" t="s">
        <v>17</v>
      </c>
      <c r="BI97" s="15" t="s">
        <v>21</v>
      </c>
      <c r="BJ97" s="122" t="s">
        <v>214</v>
      </c>
      <c r="BK97" s="140" t="s">
        <v>210</v>
      </c>
      <c r="BL97" s="140" t="s">
        <v>211</v>
      </c>
      <c r="BM97" s="118" t="s">
        <v>209</v>
      </c>
      <c r="BN97" s="123" t="s">
        <v>217</v>
      </c>
      <c r="BO97" s="17" t="s">
        <v>283</v>
      </c>
    </row>
    <row r="98" spans="36:67" x14ac:dyDescent="0.2">
      <c r="AJ98" t="s">
        <v>281</v>
      </c>
      <c r="AK98" s="15">
        <v>3</v>
      </c>
      <c r="AL98" s="15">
        <v>8</v>
      </c>
      <c r="AM98" s="128" t="s">
        <v>30</v>
      </c>
      <c r="AN98" s="15" t="s">
        <v>282</v>
      </c>
      <c r="AO98" s="15" t="s">
        <v>60</v>
      </c>
      <c r="AP98" s="15">
        <f t="shared" ref="AP98" si="27">AR98*AQ98</f>
        <v>4.95</v>
      </c>
      <c r="AQ98" s="119">
        <v>0.9</v>
      </c>
      <c r="AR98" s="122">
        <f>(AS98+AT98)</f>
        <v>5.5</v>
      </c>
      <c r="AS98" s="141">
        <v>0</v>
      </c>
      <c r="AT98" s="42">
        <v>5.5</v>
      </c>
      <c r="AU98" s="42">
        <v>48.7</v>
      </c>
      <c r="AV98" s="126" t="s">
        <v>286</v>
      </c>
      <c r="AW98" s="15" t="s">
        <v>284</v>
      </c>
      <c r="BB98" t="s">
        <v>281</v>
      </c>
      <c r="BC98" s="15">
        <v>3</v>
      </c>
      <c r="BD98" s="15">
        <v>8</v>
      </c>
      <c r="BE98" s="128" t="s">
        <v>30</v>
      </c>
      <c r="BF98" s="15" t="s">
        <v>282</v>
      </c>
      <c r="BG98" s="15" t="s">
        <v>60</v>
      </c>
      <c r="BH98" s="15">
        <f t="shared" ref="BH98" si="28">BJ98*BI98</f>
        <v>4.95</v>
      </c>
      <c r="BI98" s="119">
        <v>0.9</v>
      </c>
      <c r="BJ98" s="122">
        <f>(BK98+BL98)</f>
        <v>5.5</v>
      </c>
      <c r="BK98" s="141">
        <v>0</v>
      </c>
      <c r="BL98" s="42">
        <v>5.5</v>
      </c>
      <c r="BM98" s="42">
        <v>48.7</v>
      </c>
      <c r="BN98" s="126" t="s">
        <v>286</v>
      </c>
      <c r="BO98" s="15" t="s">
        <v>284</v>
      </c>
    </row>
    <row r="100" spans="36:67" x14ac:dyDescent="0.2">
      <c r="AJ100" s="139" t="s">
        <v>162</v>
      </c>
      <c r="AK100" s="117" t="s">
        <v>14</v>
      </c>
      <c r="AL100" s="117" t="s">
        <v>15</v>
      </c>
      <c r="AM100" s="117" t="s">
        <v>29</v>
      </c>
      <c r="AN100" s="117" t="s">
        <v>16</v>
      </c>
      <c r="AO100" s="117" t="s">
        <v>59</v>
      </c>
      <c r="AP100" s="117" t="s">
        <v>17</v>
      </c>
      <c r="AQ100" s="15" t="s">
        <v>21</v>
      </c>
      <c r="AR100" s="122" t="s">
        <v>214</v>
      </c>
      <c r="AS100" s="140" t="s">
        <v>210</v>
      </c>
      <c r="AT100" s="140" t="s">
        <v>211</v>
      </c>
      <c r="AU100" s="118" t="s">
        <v>209</v>
      </c>
      <c r="AV100" s="123" t="s">
        <v>217</v>
      </c>
      <c r="AW100" s="17" t="s">
        <v>283</v>
      </c>
      <c r="BB100" s="139" t="s">
        <v>162</v>
      </c>
      <c r="BC100" s="117" t="s">
        <v>14</v>
      </c>
      <c r="BD100" s="117" t="s">
        <v>15</v>
      </c>
      <c r="BE100" s="117" t="s">
        <v>29</v>
      </c>
      <c r="BF100" s="117" t="s">
        <v>16</v>
      </c>
      <c r="BG100" s="117" t="s">
        <v>59</v>
      </c>
      <c r="BH100" s="117" t="s">
        <v>17</v>
      </c>
      <c r="BI100" s="15" t="s">
        <v>21</v>
      </c>
      <c r="BJ100" s="122" t="s">
        <v>214</v>
      </c>
      <c r="BK100" s="140" t="s">
        <v>210</v>
      </c>
      <c r="BL100" s="140" t="s">
        <v>211</v>
      </c>
      <c r="BM100" s="118" t="s">
        <v>209</v>
      </c>
      <c r="BN100" s="123" t="s">
        <v>217</v>
      </c>
      <c r="BO100" s="17" t="s">
        <v>283</v>
      </c>
    </row>
    <row r="101" spans="36:67" x14ac:dyDescent="0.2">
      <c r="AJ101" t="s">
        <v>285</v>
      </c>
      <c r="AK101" s="15">
        <v>4</v>
      </c>
      <c r="AL101" s="15">
        <v>4</v>
      </c>
      <c r="AM101" s="128" t="s">
        <v>30</v>
      </c>
      <c r="AN101" s="15" t="s">
        <v>18</v>
      </c>
      <c r="AO101" s="15" t="s">
        <v>60</v>
      </c>
      <c r="AP101" s="15">
        <f t="shared" ref="AP101" si="29">AR101*AQ101</f>
        <v>0</v>
      </c>
      <c r="AQ101" s="119">
        <v>0.9</v>
      </c>
      <c r="AR101" s="122">
        <f>(AS101+AT101)</f>
        <v>0</v>
      </c>
      <c r="AS101" s="141">
        <v>0</v>
      </c>
      <c r="AT101" s="42">
        <v>0</v>
      </c>
      <c r="AU101" s="42">
        <v>48.7</v>
      </c>
      <c r="AV101" s="126" t="s">
        <v>30</v>
      </c>
      <c r="AW101" s="15" t="s">
        <v>287</v>
      </c>
      <c r="BB101" t="s">
        <v>285</v>
      </c>
      <c r="BC101" s="15">
        <v>4</v>
      </c>
      <c r="BD101" s="15">
        <v>4</v>
      </c>
      <c r="BE101" s="128" t="s">
        <v>30</v>
      </c>
      <c r="BF101" s="15" t="s">
        <v>18</v>
      </c>
      <c r="BG101" s="15" t="s">
        <v>60</v>
      </c>
      <c r="BH101" s="15">
        <f t="shared" ref="BH101" si="30">BJ101*BI101</f>
        <v>0</v>
      </c>
      <c r="BI101" s="119">
        <v>0.9</v>
      </c>
      <c r="BJ101" s="122">
        <f>(BK101+BL101)</f>
        <v>0</v>
      </c>
      <c r="BK101" s="141">
        <v>0</v>
      </c>
      <c r="BL101" s="42">
        <v>0</v>
      </c>
      <c r="BM101" s="42">
        <v>48.7</v>
      </c>
      <c r="BN101" s="126" t="s">
        <v>30</v>
      </c>
      <c r="BO101" s="15" t="s">
        <v>287</v>
      </c>
    </row>
    <row r="103" spans="36:67" x14ac:dyDescent="0.2">
      <c r="AJ103" s="139" t="s">
        <v>162</v>
      </c>
      <c r="AK103" s="117" t="s">
        <v>14</v>
      </c>
      <c r="AL103" s="117" t="s">
        <v>15</v>
      </c>
      <c r="AM103" s="117" t="s">
        <v>29</v>
      </c>
      <c r="AN103" s="117" t="s">
        <v>16</v>
      </c>
      <c r="AO103" s="117" t="s">
        <v>59</v>
      </c>
      <c r="AP103" s="117" t="s">
        <v>17</v>
      </c>
      <c r="AQ103" s="15" t="s">
        <v>21</v>
      </c>
      <c r="AR103" s="122" t="s">
        <v>214</v>
      </c>
      <c r="AS103" s="140" t="s">
        <v>210</v>
      </c>
      <c r="AT103" s="140" t="s">
        <v>211</v>
      </c>
      <c r="AU103" s="118" t="s">
        <v>209</v>
      </c>
      <c r="AV103" s="123" t="s">
        <v>217</v>
      </c>
      <c r="AW103" s="17" t="s">
        <v>283</v>
      </c>
      <c r="BB103" s="139" t="s">
        <v>162</v>
      </c>
      <c r="BC103" s="117" t="s">
        <v>14</v>
      </c>
      <c r="BD103" s="117" t="s">
        <v>15</v>
      </c>
      <c r="BE103" s="117" t="s">
        <v>29</v>
      </c>
      <c r="BF103" s="117" t="s">
        <v>16</v>
      </c>
      <c r="BG103" s="117" t="s">
        <v>59</v>
      </c>
      <c r="BH103" s="117" t="s">
        <v>17</v>
      </c>
      <c r="BI103" s="15" t="s">
        <v>21</v>
      </c>
      <c r="BJ103" s="122" t="s">
        <v>214</v>
      </c>
      <c r="BK103" s="140" t="s">
        <v>210</v>
      </c>
      <c r="BL103" s="140" t="s">
        <v>211</v>
      </c>
      <c r="BM103" s="118" t="s">
        <v>209</v>
      </c>
      <c r="BN103" s="123" t="s">
        <v>217</v>
      </c>
      <c r="BO103" s="17" t="s">
        <v>283</v>
      </c>
    </row>
    <row r="104" spans="36:67" x14ac:dyDescent="0.2">
      <c r="AJ104" t="s">
        <v>288</v>
      </c>
      <c r="AK104" s="15">
        <v>4</v>
      </c>
      <c r="AL104" s="15">
        <v>4</v>
      </c>
      <c r="AM104" s="128" t="s">
        <v>30</v>
      </c>
      <c r="AN104" s="15" t="s">
        <v>18</v>
      </c>
      <c r="AO104" s="15" t="s">
        <v>60</v>
      </c>
      <c r="AP104" s="15">
        <f t="shared" ref="AP104" si="31">AR104*AQ104</f>
        <v>7.2</v>
      </c>
      <c r="AQ104" s="119">
        <v>0.9</v>
      </c>
      <c r="AR104" s="122">
        <f>(AS104+AT104)</f>
        <v>8</v>
      </c>
      <c r="AS104" s="141">
        <v>0</v>
      </c>
      <c r="AT104" s="42">
        <v>8</v>
      </c>
      <c r="AU104" s="42">
        <v>48.7</v>
      </c>
      <c r="AV104" s="126" t="s">
        <v>30</v>
      </c>
      <c r="AW104" s="15" t="s">
        <v>287</v>
      </c>
      <c r="BB104" t="s">
        <v>288</v>
      </c>
      <c r="BC104" s="15">
        <v>4</v>
      </c>
      <c r="BD104" s="15">
        <v>4</v>
      </c>
      <c r="BE104" s="128" t="s">
        <v>30</v>
      </c>
      <c r="BF104" s="15" t="s">
        <v>18</v>
      </c>
      <c r="BG104" s="15" t="s">
        <v>60</v>
      </c>
      <c r="BH104" s="15">
        <f t="shared" ref="BH104" si="32">BJ104*BI104</f>
        <v>7.2</v>
      </c>
      <c r="BI104" s="119">
        <v>0.9</v>
      </c>
      <c r="BJ104" s="122">
        <f>(BK104+BL104)</f>
        <v>8</v>
      </c>
      <c r="BK104" s="141">
        <v>0</v>
      </c>
      <c r="BL104" s="42">
        <v>8</v>
      </c>
      <c r="BM104" s="42">
        <v>48.7</v>
      </c>
      <c r="BN104" s="126" t="s">
        <v>30</v>
      </c>
      <c r="BO104" s="15" t="s">
        <v>287</v>
      </c>
    </row>
    <row r="107" spans="36:67" x14ac:dyDescent="0.2">
      <c r="AJ107" s="139" t="s">
        <v>162</v>
      </c>
      <c r="AK107" s="117" t="s">
        <v>14</v>
      </c>
      <c r="AL107" s="117" t="s">
        <v>15</v>
      </c>
      <c r="AM107" s="117" t="s">
        <v>29</v>
      </c>
      <c r="AN107" s="117" t="s">
        <v>16</v>
      </c>
      <c r="AO107" s="117" t="s">
        <v>59</v>
      </c>
      <c r="AP107" s="117" t="s">
        <v>17</v>
      </c>
      <c r="AQ107" s="15" t="s">
        <v>21</v>
      </c>
      <c r="AR107" s="122" t="s">
        <v>214</v>
      </c>
      <c r="AS107" s="140" t="s">
        <v>210</v>
      </c>
      <c r="AT107" s="140" t="s">
        <v>211</v>
      </c>
      <c r="AU107" s="118" t="s">
        <v>209</v>
      </c>
      <c r="AV107" s="123" t="s">
        <v>217</v>
      </c>
      <c r="AW107" s="17" t="s">
        <v>283</v>
      </c>
      <c r="BB107" s="139" t="s">
        <v>162</v>
      </c>
      <c r="BC107" s="117" t="s">
        <v>14</v>
      </c>
      <c r="BD107" s="117" t="s">
        <v>15</v>
      </c>
      <c r="BE107" s="117" t="s">
        <v>29</v>
      </c>
      <c r="BF107" s="117" t="s">
        <v>16</v>
      </c>
      <c r="BG107" s="117" t="s">
        <v>59</v>
      </c>
      <c r="BH107" s="117" t="s">
        <v>17</v>
      </c>
      <c r="BI107" s="15" t="s">
        <v>21</v>
      </c>
      <c r="BJ107" s="122" t="s">
        <v>214</v>
      </c>
      <c r="BK107" s="140" t="s">
        <v>210</v>
      </c>
      <c r="BL107" s="140" t="s">
        <v>211</v>
      </c>
      <c r="BM107" s="118" t="s">
        <v>209</v>
      </c>
      <c r="BN107" s="123" t="s">
        <v>217</v>
      </c>
      <c r="BO107" s="17" t="s">
        <v>283</v>
      </c>
    </row>
    <row r="108" spans="36:67" x14ac:dyDescent="0.2">
      <c r="AJ108" t="s">
        <v>294</v>
      </c>
      <c r="AK108" s="15">
        <v>3</v>
      </c>
      <c r="AL108" s="15">
        <v>8</v>
      </c>
      <c r="AM108" s="128" t="s">
        <v>30</v>
      </c>
      <c r="AN108" s="15" t="s">
        <v>282</v>
      </c>
      <c r="AO108" s="15" t="s">
        <v>60</v>
      </c>
      <c r="AP108" s="15">
        <f t="shared" ref="AP108" si="33">AR108*AQ108</f>
        <v>14.4</v>
      </c>
      <c r="AQ108" s="119">
        <v>0.9</v>
      </c>
      <c r="AR108" s="122">
        <f>(AS108+AT108)</f>
        <v>16</v>
      </c>
      <c r="AS108" s="141">
        <v>0</v>
      </c>
      <c r="AT108" s="42">
        <v>16</v>
      </c>
      <c r="AU108" s="42">
        <v>48.7</v>
      </c>
      <c r="AV108" s="126" t="s">
        <v>30</v>
      </c>
      <c r="AW108" s="15" t="s">
        <v>284</v>
      </c>
      <c r="BB108" t="s">
        <v>294</v>
      </c>
      <c r="BC108" s="15">
        <v>3</v>
      </c>
      <c r="BD108" s="15">
        <v>8</v>
      </c>
      <c r="BE108" s="128" t="s">
        <v>30</v>
      </c>
      <c r="BF108" s="15" t="s">
        <v>282</v>
      </c>
      <c r="BG108" s="15" t="s">
        <v>60</v>
      </c>
      <c r="BH108" s="15">
        <f t="shared" ref="BH108" si="34">BJ108*BI108</f>
        <v>14.4</v>
      </c>
      <c r="BI108" s="119">
        <v>0.9</v>
      </c>
      <c r="BJ108" s="122">
        <f>(BK108+BL108)</f>
        <v>16</v>
      </c>
      <c r="BK108" s="141">
        <v>0</v>
      </c>
      <c r="BL108" s="42">
        <v>16</v>
      </c>
      <c r="BM108" s="42">
        <v>48.7</v>
      </c>
      <c r="BN108" s="126" t="s">
        <v>30</v>
      </c>
      <c r="BO108" s="15" t="s">
        <v>284</v>
      </c>
    </row>
    <row r="110" spans="36:67" x14ac:dyDescent="0.2">
      <c r="AJ110" s="139" t="s">
        <v>162</v>
      </c>
      <c r="AK110" s="117" t="s">
        <v>14</v>
      </c>
      <c r="AL110" s="117" t="s">
        <v>15</v>
      </c>
      <c r="AM110" s="117" t="s">
        <v>29</v>
      </c>
      <c r="AN110" s="117" t="s">
        <v>16</v>
      </c>
      <c r="AO110" s="117" t="s">
        <v>59</v>
      </c>
      <c r="AP110" s="117" t="s">
        <v>17</v>
      </c>
      <c r="AQ110" s="15" t="s">
        <v>21</v>
      </c>
      <c r="AR110" s="122" t="s">
        <v>214</v>
      </c>
      <c r="AS110" s="140" t="s">
        <v>210</v>
      </c>
      <c r="AT110" s="140" t="s">
        <v>211</v>
      </c>
      <c r="AU110" s="118" t="s">
        <v>209</v>
      </c>
      <c r="AV110" s="123" t="s">
        <v>217</v>
      </c>
      <c r="AW110" s="17" t="s">
        <v>283</v>
      </c>
      <c r="BB110" s="139" t="s">
        <v>162</v>
      </c>
      <c r="BC110" s="117" t="s">
        <v>14</v>
      </c>
      <c r="BD110" s="117" t="s">
        <v>15</v>
      </c>
      <c r="BE110" s="117" t="s">
        <v>29</v>
      </c>
      <c r="BF110" s="117" t="s">
        <v>16</v>
      </c>
      <c r="BG110" s="117" t="s">
        <v>59</v>
      </c>
      <c r="BH110" s="117" t="s">
        <v>17</v>
      </c>
      <c r="BI110" s="15" t="s">
        <v>21</v>
      </c>
      <c r="BJ110" s="122" t="s">
        <v>214</v>
      </c>
      <c r="BK110" s="140" t="s">
        <v>210</v>
      </c>
      <c r="BL110" s="140" t="s">
        <v>211</v>
      </c>
      <c r="BM110" s="118" t="s">
        <v>209</v>
      </c>
      <c r="BN110" s="123" t="s">
        <v>217</v>
      </c>
      <c r="BO110" s="17" t="s">
        <v>283</v>
      </c>
    </row>
    <row r="111" spans="36:67" x14ac:dyDescent="0.2">
      <c r="AJ111" t="s">
        <v>295</v>
      </c>
      <c r="AK111" s="15">
        <v>3</v>
      </c>
      <c r="AL111" s="15">
        <v>8</v>
      </c>
      <c r="AM111" s="128" t="s">
        <v>30</v>
      </c>
      <c r="AN111" s="15" t="s">
        <v>282</v>
      </c>
      <c r="AO111" s="15" t="s">
        <v>60</v>
      </c>
      <c r="AP111" s="15">
        <f t="shared" ref="AP111" si="35">AR111*AQ111</f>
        <v>8</v>
      </c>
      <c r="AQ111" s="119">
        <v>0.8</v>
      </c>
      <c r="AR111" s="122">
        <f>(AS111+AT111)</f>
        <v>10</v>
      </c>
      <c r="AS111" s="141">
        <v>0</v>
      </c>
      <c r="AT111" s="42">
        <v>10</v>
      </c>
      <c r="AU111" s="42">
        <v>48.7</v>
      </c>
      <c r="AV111" s="126" t="s">
        <v>30</v>
      </c>
      <c r="AW111" s="15" t="s">
        <v>284</v>
      </c>
      <c r="BB111" t="s">
        <v>295</v>
      </c>
      <c r="BC111" s="15">
        <v>3</v>
      </c>
      <c r="BD111" s="15">
        <v>8</v>
      </c>
      <c r="BE111" s="128" t="s">
        <v>30</v>
      </c>
      <c r="BF111" s="15" t="s">
        <v>282</v>
      </c>
      <c r="BG111" s="15" t="s">
        <v>60</v>
      </c>
      <c r="BH111" s="15">
        <f t="shared" ref="BH111" si="36">BJ111*BI111</f>
        <v>8</v>
      </c>
      <c r="BI111" s="119">
        <v>0.8</v>
      </c>
      <c r="BJ111" s="122">
        <f>(BK111+BL111)</f>
        <v>10</v>
      </c>
      <c r="BK111" s="141">
        <v>0</v>
      </c>
      <c r="BL111" s="42">
        <v>10</v>
      </c>
      <c r="BM111" s="42">
        <v>48.7</v>
      </c>
      <c r="BN111" s="126" t="s">
        <v>30</v>
      </c>
      <c r="BO111" s="15" t="s">
        <v>284</v>
      </c>
    </row>
    <row r="113" spans="35:67" x14ac:dyDescent="0.2">
      <c r="AJ113" s="139" t="s">
        <v>162</v>
      </c>
      <c r="AK113" s="117" t="s">
        <v>14</v>
      </c>
      <c r="AL113" s="117" t="s">
        <v>15</v>
      </c>
      <c r="AM113" s="117" t="s">
        <v>29</v>
      </c>
      <c r="AN113" s="117" t="s">
        <v>16</v>
      </c>
      <c r="AO113" s="117" t="s">
        <v>59</v>
      </c>
      <c r="AP113" s="117" t="s">
        <v>17</v>
      </c>
      <c r="AQ113" s="15" t="s">
        <v>21</v>
      </c>
      <c r="AR113" s="122" t="s">
        <v>214</v>
      </c>
      <c r="AS113" s="140" t="s">
        <v>210</v>
      </c>
      <c r="AT113" s="140" t="s">
        <v>211</v>
      </c>
      <c r="AU113" s="118" t="s">
        <v>209</v>
      </c>
      <c r="AV113" s="123" t="s">
        <v>217</v>
      </c>
      <c r="AW113" s="17" t="s">
        <v>283</v>
      </c>
      <c r="BB113" s="139" t="s">
        <v>162</v>
      </c>
      <c r="BC113" s="117" t="s">
        <v>14</v>
      </c>
      <c r="BD113" s="117" t="s">
        <v>15</v>
      </c>
      <c r="BE113" s="117" t="s">
        <v>29</v>
      </c>
      <c r="BF113" s="117" t="s">
        <v>16</v>
      </c>
      <c r="BG113" s="117" t="s">
        <v>59</v>
      </c>
      <c r="BH113" s="117" t="s">
        <v>17</v>
      </c>
      <c r="BI113" s="15" t="s">
        <v>21</v>
      </c>
      <c r="BJ113" s="122" t="s">
        <v>214</v>
      </c>
      <c r="BK113" s="140" t="s">
        <v>210</v>
      </c>
      <c r="BL113" s="140" t="s">
        <v>211</v>
      </c>
      <c r="BM113" s="118" t="s">
        <v>209</v>
      </c>
      <c r="BN113" s="123" t="s">
        <v>217</v>
      </c>
      <c r="BO113" s="17" t="s">
        <v>283</v>
      </c>
    </row>
    <row r="114" spans="35:67" x14ac:dyDescent="0.2">
      <c r="AJ114" t="s">
        <v>296</v>
      </c>
      <c r="AK114" s="15">
        <v>3</v>
      </c>
      <c r="AL114" s="15">
        <v>8</v>
      </c>
      <c r="AM114" s="128" t="s">
        <v>30</v>
      </c>
      <c r="AN114" s="15" t="s">
        <v>282</v>
      </c>
      <c r="AO114" s="15" t="s">
        <v>60</v>
      </c>
      <c r="AP114" s="15">
        <f t="shared" ref="AP114" si="37">AR114*AQ114</f>
        <v>4</v>
      </c>
      <c r="AQ114" s="119">
        <v>0.8</v>
      </c>
      <c r="AR114" s="122">
        <f>(AS114+AT114)</f>
        <v>5</v>
      </c>
      <c r="AS114" s="141">
        <v>0</v>
      </c>
      <c r="AT114" s="42">
        <v>5</v>
      </c>
      <c r="AU114" s="42">
        <v>48.7</v>
      </c>
      <c r="AV114" s="126" t="s">
        <v>30</v>
      </c>
      <c r="AW114" s="15" t="s">
        <v>284</v>
      </c>
      <c r="BB114" t="s">
        <v>296</v>
      </c>
      <c r="BC114" s="15">
        <v>3</v>
      </c>
      <c r="BD114" s="15">
        <v>8</v>
      </c>
      <c r="BE114" s="128" t="s">
        <v>30</v>
      </c>
      <c r="BF114" s="15" t="s">
        <v>282</v>
      </c>
      <c r="BG114" s="15" t="s">
        <v>60</v>
      </c>
      <c r="BH114" s="15">
        <f t="shared" ref="BH114" si="38">BJ114*BI114</f>
        <v>4</v>
      </c>
      <c r="BI114" s="119">
        <v>0.8</v>
      </c>
      <c r="BJ114" s="122">
        <f>(BK114+BL114)</f>
        <v>5</v>
      </c>
      <c r="BK114" s="141">
        <v>0</v>
      </c>
      <c r="BL114" s="42">
        <v>5</v>
      </c>
      <c r="BM114" s="42">
        <v>48.7</v>
      </c>
      <c r="BN114" s="126" t="s">
        <v>30</v>
      </c>
      <c r="BO114" s="15" t="s">
        <v>284</v>
      </c>
    </row>
    <row r="116" spans="35:67" x14ac:dyDescent="0.2">
      <c r="AI116" s="175"/>
      <c r="AJ116" s="139" t="s">
        <v>162</v>
      </c>
      <c r="AK116" s="117" t="s">
        <v>14</v>
      </c>
      <c r="AL116" s="117" t="s">
        <v>15</v>
      </c>
      <c r="AM116" s="117" t="s">
        <v>29</v>
      </c>
      <c r="AN116" s="117" t="s">
        <v>16</v>
      </c>
      <c r="AO116" s="117" t="s">
        <v>59</v>
      </c>
      <c r="AP116" s="117" t="s">
        <v>17</v>
      </c>
      <c r="AQ116" s="15" t="s">
        <v>21</v>
      </c>
      <c r="AR116" s="122" t="s">
        <v>214</v>
      </c>
      <c r="AS116" s="140" t="s">
        <v>210</v>
      </c>
      <c r="AT116" s="140" t="s">
        <v>211</v>
      </c>
      <c r="AU116" s="118" t="s">
        <v>209</v>
      </c>
      <c r="AV116" s="123" t="s">
        <v>217</v>
      </c>
      <c r="AW116" s="17" t="s">
        <v>283</v>
      </c>
      <c r="BA116" s="175"/>
      <c r="BB116" s="139" t="s">
        <v>162</v>
      </c>
      <c r="BC116" s="117" t="s">
        <v>14</v>
      </c>
      <c r="BD116" s="117" t="s">
        <v>15</v>
      </c>
      <c r="BE116" s="117" t="s">
        <v>29</v>
      </c>
      <c r="BF116" s="117" t="s">
        <v>16</v>
      </c>
      <c r="BG116" s="117" t="s">
        <v>59</v>
      </c>
      <c r="BH116" s="117" t="s">
        <v>17</v>
      </c>
      <c r="BI116" s="15" t="s">
        <v>21</v>
      </c>
      <c r="BJ116" s="122" t="s">
        <v>214</v>
      </c>
      <c r="BK116" s="140" t="s">
        <v>210</v>
      </c>
      <c r="BL116" s="140" t="s">
        <v>211</v>
      </c>
      <c r="BM116" s="118" t="s">
        <v>209</v>
      </c>
      <c r="BN116" s="123" t="s">
        <v>217</v>
      </c>
      <c r="BO116" s="17" t="s">
        <v>283</v>
      </c>
    </row>
    <row r="117" spans="35:67" x14ac:dyDescent="0.2">
      <c r="AI117" s="175"/>
      <c r="AJ117" t="s">
        <v>303</v>
      </c>
      <c r="AK117" s="15">
        <v>3</v>
      </c>
      <c r="AL117" s="15">
        <v>1</v>
      </c>
      <c r="AM117" s="128" t="s">
        <v>31</v>
      </c>
      <c r="AN117" s="15" t="s">
        <v>282</v>
      </c>
      <c r="AO117" s="15" t="s">
        <v>60</v>
      </c>
      <c r="AP117" s="15">
        <f t="shared" ref="AP117" si="39">AR117*AQ117</f>
        <v>10</v>
      </c>
      <c r="AQ117" s="119">
        <v>0.8</v>
      </c>
      <c r="AR117" s="122">
        <f>(AS117+AT117)</f>
        <v>12.5</v>
      </c>
      <c r="AS117" s="141">
        <v>0</v>
      </c>
      <c r="AT117" s="42">
        <v>12.5</v>
      </c>
      <c r="AU117" s="42">
        <v>48.7</v>
      </c>
      <c r="AV117" s="126" t="s">
        <v>301</v>
      </c>
      <c r="AW117" s="15" t="s">
        <v>284</v>
      </c>
      <c r="BA117" s="175"/>
      <c r="BB117" t="s">
        <v>303</v>
      </c>
      <c r="BC117" s="15">
        <v>3</v>
      </c>
      <c r="BD117" s="15">
        <v>1</v>
      </c>
      <c r="BE117" s="128" t="s">
        <v>31</v>
      </c>
      <c r="BF117" s="15" t="s">
        <v>282</v>
      </c>
      <c r="BG117" s="15" t="s">
        <v>60</v>
      </c>
      <c r="BH117" s="15">
        <f t="shared" ref="BH117" si="40">BJ117*BI117</f>
        <v>10</v>
      </c>
      <c r="BI117" s="119">
        <v>0.8</v>
      </c>
      <c r="BJ117" s="122">
        <f>(BK117+BL117)</f>
        <v>12.5</v>
      </c>
      <c r="BK117" s="141">
        <v>0</v>
      </c>
      <c r="BL117" s="42">
        <v>12.5</v>
      </c>
      <c r="BM117" s="42">
        <v>48.7</v>
      </c>
      <c r="BN117" s="126" t="s">
        <v>301</v>
      </c>
      <c r="BO117" s="15" t="s">
        <v>284</v>
      </c>
    </row>
    <row r="118" spans="35:67" x14ac:dyDescent="0.2">
      <c r="AI118" s="175"/>
      <c r="BA118" s="175"/>
    </row>
    <row r="119" spans="35:67" x14ac:dyDescent="0.2">
      <c r="AI119" s="175"/>
      <c r="AJ119" s="139" t="s">
        <v>162</v>
      </c>
      <c r="AK119" s="117" t="s">
        <v>14</v>
      </c>
      <c r="AL119" s="117" t="s">
        <v>15</v>
      </c>
      <c r="AM119" s="117" t="s">
        <v>29</v>
      </c>
      <c r="AN119" s="117" t="s">
        <v>16</v>
      </c>
      <c r="AO119" s="117" t="s">
        <v>59</v>
      </c>
      <c r="AP119" s="117" t="s">
        <v>17</v>
      </c>
      <c r="AQ119" s="15" t="s">
        <v>21</v>
      </c>
      <c r="AR119" s="122" t="s">
        <v>214</v>
      </c>
      <c r="AS119" s="140" t="s">
        <v>210</v>
      </c>
      <c r="AT119" s="140" t="s">
        <v>211</v>
      </c>
      <c r="AU119" s="118" t="s">
        <v>209</v>
      </c>
      <c r="AV119" s="123" t="s">
        <v>217</v>
      </c>
      <c r="AW119" s="17" t="s">
        <v>283</v>
      </c>
      <c r="BA119" s="175"/>
      <c r="BB119" s="139" t="s">
        <v>162</v>
      </c>
      <c r="BC119" s="117" t="s">
        <v>14</v>
      </c>
      <c r="BD119" s="117" t="s">
        <v>15</v>
      </c>
      <c r="BE119" s="117" t="s">
        <v>29</v>
      </c>
      <c r="BF119" s="117" t="s">
        <v>16</v>
      </c>
      <c r="BG119" s="117" t="s">
        <v>59</v>
      </c>
      <c r="BH119" s="117" t="s">
        <v>17</v>
      </c>
      <c r="BI119" s="15" t="s">
        <v>21</v>
      </c>
      <c r="BJ119" s="122" t="s">
        <v>214</v>
      </c>
      <c r="BK119" s="140" t="s">
        <v>210</v>
      </c>
      <c r="BL119" s="140" t="s">
        <v>211</v>
      </c>
      <c r="BM119" s="118" t="s">
        <v>209</v>
      </c>
      <c r="BN119" s="123" t="s">
        <v>217</v>
      </c>
      <c r="BO119" s="17" t="s">
        <v>283</v>
      </c>
    </row>
    <row r="120" spans="35:67" x14ac:dyDescent="0.2">
      <c r="AI120" s="175"/>
      <c r="AJ120" t="s">
        <v>302</v>
      </c>
      <c r="AK120" s="15">
        <v>3</v>
      </c>
      <c r="AL120" s="15">
        <v>6</v>
      </c>
      <c r="AM120" s="128" t="s">
        <v>31</v>
      </c>
      <c r="AN120" s="15" t="s">
        <v>43</v>
      </c>
      <c r="AO120" s="15" t="s">
        <v>18</v>
      </c>
      <c r="AP120" s="15">
        <f t="shared" ref="AP120" si="41">AR120*AQ120</f>
        <v>10</v>
      </c>
      <c r="AQ120" s="119">
        <v>0.8</v>
      </c>
      <c r="AR120" s="122">
        <f>(AS120+AT120)</f>
        <v>12.5</v>
      </c>
      <c r="AS120" s="141">
        <v>0</v>
      </c>
      <c r="AT120" s="42">
        <v>12.5</v>
      </c>
      <c r="AU120" s="42">
        <v>48.7</v>
      </c>
      <c r="AV120" s="126" t="s">
        <v>301</v>
      </c>
      <c r="AW120" s="15" t="s">
        <v>284</v>
      </c>
      <c r="BA120" s="175"/>
      <c r="BB120" t="s">
        <v>302</v>
      </c>
      <c r="BC120" s="15">
        <v>3</v>
      </c>
      <c r="BD120" s="15">
        <v>6</v>
      </c>
      <c r="BE120" s="128" t="s">
        <v>31</v>
      </c>
      <c r="BF120" s="15" t="s">
        <v>43</v>
      </c>
      <c r="BG120" s="15" t="s">
        <v>18</v>
      </c>
      <c r="BH120" s="15">
        <f t="shared" ref="BH120" si="42">BJ120*BI120</f>
        <v>10</v>
      </c>
      <c r="BI120" s="119">
        <v>0.8</v>
      </c>
      <c r="BJ120" s="122">
        <f>(BK120+BL120)</f>
        <v>12.5</v>
      </c>
      <c r="BK120" s="141">
        <v>0</v>
      </c>
      <c r="BL120" s="42">
        <v>12.5</v>
      </c>
      <c r="BM120" s="42">
        <v>48.7</v>
      </c>
      <c r="BN120" s="126" t="s">
        <v>301</v>
      </c>
      <c r="BO120" s="15" t="s">
        <v>284</v>
      </c>
    </row>
    <row r="122" spans="35:67" x14ac:dyDescent="0.2">
      <c r="AJ122" s="139" t="s">
        <v>162</v>
      </c>
      <c r="AK122" s="117" t="s">
        <v>14</v>
      </c>
      <c r="AL122" s="117" t="s">
        <v>15</v>
      </c>
      <c r="AM122" s="117" t="s">
        <v>29</v>
      </c>
      <c r="AN122" s="117" t="s">
        <v>16</v>
      </c>
      <c r="AO122" s="117" t="s">
        <v>59</v>
      </c>
      <c r="AP122" s="117" t="s">
        <v>17</v>
      </c>
      <c r="AQ122" s="15" t="s">
        <v>21</v>
      </c>
      <c r="AR122" s="122" t="s">
        <v>214</v>
      </c>
      <c r="AS122" s="140" t="s">
        <v>210</v>
      </c>
      <c r="AT122" s="140" t="s">
        <v>211</v>
      </c>
      <c r="AU122" s="118" t="s">
        <v>209</v>
      </c>
      <c r="AV122" s="123" t="s">
        <v>217</v>
      </c>
      <c r="AW122" s="17" t="s">
        <v>283</v>
      </c>
      <c r="BB122" s="139" t="s">
        <v>162</v>
      </c>
      <c r="BC122" s="117" t="s">
        <v>14</v>
      </c>
      <c r="BD122" s="117" t="s">
        <v>15</v>
      </c>
      <c r="BE122" s="117" t="s">
        <v>29</v>
      </c>
      <c r="BF122" s="117" t="s">
        <v>16</v>
      </c>
      <c r="BG122" s="117" t="s">
        <v>59</v>
      </c>
      <c r="BH122" s="117" t="s">
        <v>17</v>
      </c>
      <c r="BI122" s="15" t="s">
        <v>21</v>
      </c>
      <c r="BJ122" s="122" t="s">
        <v>214</v>
      </c>
      <c r="BK122" s="140" t="s">
        <v>210</v>
      </c>
      <c r="BL122" s="140" t="s">
        <v>211</v>
      </c>
      <c r="BM122" s="118" t="s">
        <v>209</v>
      </c>
      <c r="BN122" s="123" t="s">
        <v>217</v>
      </c>
      <c r="BO122" s="17" t="s">
        <v>283</v>
      </c>
    </row>
    <row r="123" spans="35:67" x14ac:dyDescent="0.2">
      <c r="AJ123" t="s">
        <v>304</v>
      </c>
      <c r="AK123" s="15">
        <v>4</v>
      </c>
      <c r="AL123" s="15">
        <v>4</v>
      </c>
      <c r="AM123" s="128" t="s">
        <v>30</v>
      </c>
      <c r="AN123" s="15" t="s">
        <v>18</v>
      </c>
      <c r="AO123" s="15" t="s">
        <v>60</v>
      </c>
      <c r="AP123" s="15">
        <f t="shared" ref="AP123" si="43">AR123*AQ123</f>
        <v>11.9</v>
      </c>
      <c r="AQ123" s="119">
        <v>0.85</v>
      </c>
      <c r="AR123" s="122">
        <f>(AS123+AT123)</f>
        <v>14</v>
      </c>
      <c r="AS123" s="141">
        <v>0</v>
      </c>
      <c r="AT123" s="42">
        <v>14</v>
      </c>
      <c r="AU123" s="42">
        <v>48.7</v>
      </c>
      <c r="AV123" s="126" t="s">
        <v>30</v>
      </c>
      <c r="AW123" s="15" t="s">
        <v>287</v>
      </c>
      <c r="BB123" t="s">
        <v>304</v>
      </c>
      <c r="BC123" s="15">
        <v>4</v>
      </c>
      <c r="BD123" s="15">
        <v>4</v>
      </c>
      <c r="BE123" s="128" t="s">
        <v>30</v>
      </c>
      <c r="BF123" s="15" t="s">
        <v>18</v>
      </c>
      <c r="BG123" s="15" t="s">
        <v>60</v>
      </c>
      <c r="BH123" s="15">
        <f t="shared" ref="BH123" si="44">BJ123*BI123</f>
        <v>11.9</v>
      </c>
      <c r="BI123" s="119">
        <v>0.85</v>
      </c>
      <c r="BJ123" s="122">
        <f>(BK123+BL123)</f>
        <v>14</v>
      </c>
      <c r="BK123" s="141">
        <v>0</v>
      </c>
      <c r="BL123" s="42">
        <v>14</v>
      </c>
      <c r="BM123" s="42">
        <v>48.7</v>
      </c>
      <c r="BN123" s="126" t="s">
        <v>30</v>
      </c>
      <c r="BO123" s="15" t="s">
        <v>287</v>
      </c>
    </row>
    <row r="125" spans="35:67" x14ac:dyDescent="0.2">
      <c r="AJ125" s="139" t="s">
        <v>162</v>
      </c>
      <c r="AK125" s="117" t="s">
        <v>14</v>
      </c>
      <c r="AL125" s="117" t="s">
        <v>15</v>
      </c>
      <c r="AM125" s="117" t="s">
        <v>29</v>
      </c>
      <c r="AN125" s="117" t="s">
        <v>16</v>
      </c>
      <c r="AO125" s="117" t="s">
        <v>59</v>
      </c>
      <c r="AP125" s="117" t="s">
        <v>17</v>
      </c>
      <c r="AQ125" s="15" t="s">
        <v>21</v>
      </c>
      <c r="AR125" s="122" t="s">
        <v>214</v>
      </c>
      <c r="AS125" s="140" t="s">
        <v>210</v>
      </c>
      <c r="AT125" s="140" t="s">
        <v>211</v>
      </c>
      <c r="AU125" s="118" t="s">
        <v>209</v>
      </c>
      <c r="AV125" s="123" t="s">
        <v>217</v>
      </c>
      <c r="AW125" s="17" t="s">
        <v>283</v>
      </c>
      <c r="BB125" s="139" t="s">
        <v>162</v>
      </c>
      <c r="BC125" s="117" t="s">
        <v>14</v>
      </c>
      <c r="BD125" s="117" t="s">
        <v>15</v>
      </c>
      <c r="BE125" s="117" t="s">
        <v>29</v>
      </c>
      <c r="BF125" s="117" t="s">
        <v>16</v>
      </c>
      <c r="BG125" s="117" t="s">
        <v>59</v>
      </c>
      <c r="BH125" s="117" t="s">
        <v>17</v>
      </c>
      <c r="BI125" s="15" t="s">
        <v>21</v>
      </c>
      <c r="BJ125" s="122" t="s">
        <v>214</v>
      </c>
      <c r="BK125" s="140" t="s">
        <v>210</v>
      </c>
      <c r="BL125" s="140" t="s">
        <v>211</v>
      </c>
      <c r="BM125" s="118" t="s">
        <v>209</v>
      </c>
      <c r="BN125" s="123" t="s">
        <v>217</v>
      </c>
      <c r="BO125" s="17" t="s">
        <v>283</v>
      </c>
    </row>
    <row r="126" spans="35:67" x14ac:dyDescent="0.2">
      <c r="AJ126" t="s">
        <v>305</v>
      </c>
      <c r="AK126" s="15">
        <v>3</v>
      </c>
      <c r="AL126" s="15">
        <v>12</v>
      </c>
      <c r="AM126" s="128" t="s">
        <v>30</v>
      </c>
      <c r="AN126" s="15" t="s">
        <v>282</v>
      </c>
      <c r="AO126" s="15" t="s">
        <v>60</v>
      </c>
      <c r="AP126" s="15">
        <f t="shared" ref="AP126" si="45">AR126*AQ126</f>
        <v>5.0999999999999996</v>
      </c>
      <c r="AQ126" s="119">
        <v>0.85</v>
      </c>
      <c r="AR126" s="122">
        <f>(AS126+AT126)</f>
        <v>6</v>
      </c>
      <c r="AS126" s="141">
        <v>0</v>
      </c>
      <c r="AT126" s="42">
        <v>6</v>
      </c>
      <c r="AU126" s="42">
        <v>48.7</v>
      </c>
      <c r="AV126" s="126" t="s">
        <v>30</v>
      </c>
      <c r="AW126" s="15" t="s">
        <v>306</v>
      </c>
      <c r="BB126" t="s">
        <v>305</v>
      </c>
      <c r="BC126" s="15">
        <v>3</v>
      </c>
      <c r="BD126" s="15">
        <v>12</v>
      </c>
      <c r="BE126" s="128" t="s">
        <v>30</v>
      </c>
      <c r="BF126" s="15" t="s">
        <v>282</v>
      </c>
      <c r="BG126" s="15" t="s">
        <v>60</v>
      </c>
      <c r="BH126" s="15">
        <f t="shared" ref="BH126" si="46">BJ126*BI126</f>
        <v>5.0999999999999996</v>
      </c>
      <c r="BI126" s="119">
        <v>0.85</v>
      </c>
      <c r="BJ126" s="122">
        <f>(BK126+BL126)</f>
        <v>6</v>
      </c>
      <c r="BK126" s="141">
        <v>0</v>
      </c>
      <c r="BL126" s="42">
        <v>6</v>
      </c>
      <c r="BM126" s="42">
        <v>48.7</v>
      </c>
      <c r="BN126" s="126" t="s">
        <v>30</v>
      </c>
      <c r="BO126" s="15" t="s">
        <v>306</v>
      </c>
    </row>
    <row r="128" spans="35:67" x14ac:dyDescent="0.2">
      <c r="AJ128" s="139" t="s">
        <v>162</v>
      </c>
      <c r="AK128" s="117" t="s">
        <v>14</v>
      </c>
      <c r="AL128" s="117" t="s">
        <v>15</v>
      </c>
      <c r="AM128" s="117" t="s">
        <v>29</v>
      </c>
      <c r="AN128" s="117" t="s">
        <v>16</v>
      </c>
      <c r="AO128" s="117" t="s">
        <v>59</v>
      </c>
      <c r="AP128" s="117" t="s">
        <v>17</v>
      </c>
      <c r="AQ128" s="15" t="s">
        <v>21</v>
      </c>
      <c r="AR128" s="122" t="s">
        <v>214</v>
      </c>
      <c r="AS128" s="140" t="s">
        <v>210</v>
      </c>
      <c r="AT128" s="140" t="s">
        <v>211</v>
      </c>
      <c r="AU128" s="118" t="s">
        <v>209</v>
      </c>
      <c r="AV128" s="123" t="s">
        <v>217</v>
      </c>
      <c r="AW128" s="17" t="s">
        <v>283</v>
      </c>
      <c r="BB128" s="139" t="s">
        <v>162</v>
      </c>
      <c r="BC128" s="117" t="s">
        <v>14</v>
      </c>
      <c r="BD128" s="117" t="s">
        <v>15</v>
      </c>
      <c r="BE128" s="117" t="s">
        <v>29</v>
      </c>
      <c r="BF128" s="117" t="s">
        <v>16</v>
      </c>
      <c r="BG128" s="117" t="s">
        <v>59</v>
      </c>
      <c r="BH128" s="117" t="s">
        <v>17</v>
      </c>
      <c r="BI128" s="15" t="s">
        <v>21</v>
      </c>
      <c r="BJ128" s="122" t="s">
        <v>214</v>
      </c>
      <c r="BK128" s="140" t="s">
        <v>210</v>
      </c>
      <c r="BL128" s="140" t="s">
        <v>211</v>
      </c>
      <c r="BM128" s="118" t="s">
        <v>209</v>
      </c>
      <c r="BN128" s="123" t="s">
        <v>217</v>
      </c>
      <c r="BO128" s="17" t="s">
        <v>283</v>
      </c>
    </row>
    <row r="129" spans="35:67" x14ac:dyDescent="0.2">
      <c r="AJ129" t="s">
        <v>307</v>
      </c>
      <c r="AK129" s="15">
        <v>3</v>
      </c>
      <c r="AL129" s="15">
        <v>8</v>
      </c>
      <c r="AM129" s="128" t="s">
        <v>30</v>
      </c>
      <c r="AN129" s="15" t="s">
        <v>259</v>
      </c>
      <c r="AO129" s="15" t="s">
        <v>60</v>
      </c>
      <c r="AP129" s="15">
        <f t="shared" ref="AP129" si="47">AR129*AQ129</f>
        <v>2</v>
      </c>
      <c r="AQ129" s="119">
        <v>0.8</v>
      </c>
      <c r="AR129" s="122">
        <f>(AS129+AT129)</f>
        <v>2.5</v>
      </c>
      <c r="AS129" s="141">
        <v>0</v>
      </c>
      <c r="AT129" s="42">
        <v>2.5</v>
      </c>
      <c r="AU129" s="42">
        <v>48.7</v>
      </c>
      <c r="AV129" s="126" t="s">
        <v>30</v>
      </c>
      <c r="AW129" s="15" t="s">
        <v>284</v>
      </c>
      <c r="BB129" t="s">
        <v>307</v>
      </c>
      <c r="BC129" s="15">
        <v>3</v>
      </c>
      <c r="BD129" s="15">
        <v>8</v>
      </c>
      <c r="BE129" s="128" t="s">
        <v>30</v>
      </c>
      <c r="BF129" s="15" t="s">
        <v>259</v>
      </c>
      <c r="BG129" s="15" t="s">
        <v>60</v>
      </c>
      <c r="BH129" s="15">
        <f t="shared" ref="BH129" si="48">BJ129*BI129</f>
        <v>2</v>
      </c>
      <c r="BI129" s="119">
        <v>0.8</v>
      </c>
      <c r="BJ129" s="122">
        <f>(BK129+BL129)</f>
        <v>2.5</v>
      </c>
      <c r="BK129" s="141">
        <v>0</v>
      </c>
      <c r="BL129" s="42">
        <v>2.5</v>
      </c>
      <c r="BM129" s="42">
        <v>48.7</v>
      </c>
      <c r="BN129" s="126" t="s">
        <v>30</v>
      </c>
      <c r="BO129" s="15" t="s">
        <v>284</v>
      </c>
    </row>
    <row r="131" spans="35:67" x14ac:dyDescent="0.2">
      <c r="AJ131" s="139" t="s">
        <v>162</v>
      </c>
      <c r="AK131" s="117" t="s">
        <v>14</v>
      </c>
      <c r="AL131" s="117" t="s">
        <v>15</v>
      </c>
      <c r="AM131" s="117" t="s">
        <v>29</v>
      </c>
      <c r="AN131" s="117" t="s">
        <v>16</v>
      </c>
      <c r="AO131" s="117" t="s">
        <v>59</v>
      </c>
      <c r="AP131" s="117" t="s">
        <v>17</v>
      </c>
      <c r="AQ131" s="15" t="s">
        <v>21</v>
      </c>
      <c r="AR131" s="122" t="s">
        <v>214</v>
      </c>
      <c r="AS131" s="140" t="s">
        <v>210</v>
      </c>
      <c r="AT131" s="140" t="s">
        <v>211</v>
      </c>
      <c r="AU131" s="118" t="s">
        <v>209</v>
      </c>
      <c r="AV131" s="123" t="s">
        <v>217</v>
      </c>
      <c r="AW131" s="17" t="s">
        <v>283</v>
      </c>
      <c r="BB131" s="139" t="s">
        <v>162</v>
      </c>
      <c r="BC131" s="117" t="s">
        <v>14</v>
      </c>
      <c r="BD131" s="117" t="s">
        <v>15</v>
      </c>
      <c r="BE131" s="117" t="s">
        <v>29</v>
      </c>
      <c r="BF131" s="117" t="s">
        <v>16</v>
      </c>
      <c r="BG131" s="117" t="s">
        <v>59</v>
      </c>
      <c r="BH131" s="117" t="s">
        <v>17</v>
      </c>
      <c r="BI131" s="15" t="s">
        <v>21</v>
      </c>
      <c r="BJ131" s="122" t="s">
        <v>214</v>
      </c>
      <c r="BK131" s="140" t="s">
        <v>210</v>
      </c>
      <c r="BL131" s="140" t="s">
        <v>211</v>
      </c>
      <c r="BM131" s="118" t="s">
        <v>209</v>
      </c>
      <c r="BN131" s="123" t="s">
        <v>217</v>
      </c>
      <c r="BO131" s="17" t="s">
        <v>283</v>
      </c>
    </row>
    <row r="132" spans="35:67" x14ac:dyDescent="0.2">
      <c r="AJ132" t="s">
        <v>308</v>
      </c>
      <c r="AK132" s="15">
        <v>4</v>
      </c>
      <c r="AL132" s="15">
        <v>2</v>
      </c>
      <c r="AM132" s="128" t="s">
        <v>30</v>
      </c>
      <c r="AN132" s="15" t="s">
        <v>18</v>
      </c>
      <c r="AO132" s="15" t="s">
        <v>60</v>
      </c>
      <c r="AP132" s="15">
        <f t="shared" ref="AP132" si="49">AR132*AQ132</f>
        <v>-12</v>
      </c>
      <c r="AQ132" s="119">
        <v>0.8</v>
      </c>
      <c r="AR132" s="122">
        <f>(AS132+AT132)</f>
        <v>-15</v>
      </c>
      <c r="AS132" s="151" t="s">
        <v>309</v>
      </c>
      <c r="AT132" s="42">
        <v>0</v>
      </c>
      <c r="AU132" s="42">
        <v>48.7</v>
      </c>
      <c r="AV132" s="126" t="s">
        <v>30</v>
      </c>
      <c r="AW132" s="15" t="s">
        <v>284</v>
      </c>
      <c r="BB132" t="s">
        <v>308</v>
      </c>
      <c r="BC132" s="15">
        <v>4</v>
      </c>
      <c r="BD132" s="15">
        <v>2</v>
      </c>
      <c r="BE132" s="128" t="s">
        <v>30</v>
      </c>
      <c r="BF132" s="15" t="s">
        <v>18</v>
      </c>
      <c r="BG132" s="15" t="s">
        <v>60</v>
      </c>
      <c r="BH132" s="15">
        <f t="shared" ref="BH132" si="50">BJ132*BI132</f>
        <v>-12</v>
      </c>
      <c r="BI132" s="119">
        <v>0.8</v>
      </c>
      <c r="BJ132" s="122">
        <f>(BK132+BL132)</f>
        <v>-15</v>
      </c>
      <c r="BK132" s="151" t="s">
        <v>309</v>
      </c>
      <c r="BL132" s="42">
        <v>0</v>
      </c>
      <c r="BM132" s="42">
        <v>48.7</v>
      </c>
      <c r="BN132" s="126" t="s">
        <v>30</v>
      </c>
      <c r="BO132" s="15" t="s">
        <v>284</v>
      </c>
    </row>
    <row r="133" spans="35:67" x14ac:dyDescent="0.2">
      <c r="AS133" t="s">
        <v>310</v>
      </c>
      <c r="BK133" t="s">
        <v>310</v>
      </c>
    </row>
    <row r="134" spans="35:67" x14ac:dyDescent="0.2">
      <c r="AJ134" s="139" t="s">
        <v>162</v>
      </c>
      <c r="AK134" s="117" t="s">
        <v>14</v>
      </c>
      <c r="AL134" s="117" t="s">
        <v>15</v>
      </c>
      <c r="AM134" s="117" t="s">
        <v>29</v>
      </c>
      <c r="AN134" s="117" t="s">
        <v>16</v>
      </c>
      <c r="AO134" s="117" t="s">
        <v>59</v>
      </c>
      <c r="AP134" s="117" t="s">
        <v>17</v>
      </c>
      <c r="AQ134" s="15" t="s">
        <v>21</v>
      </c>
      <c r="AR134" s="122" t="s">
        <v>214</v>
      </c>
      <c r="AS134" s="140" t="s">
        <v>210</v>
      </c>
      <c r="AT134" s="140" t="s">
        <v>211</v>
      </c>
      <c r="AU134" s="118" t="s">
        <v>209</v>
      </c>
      <c r="AV134" s="123" t="s">
        <v>217</v>
      </c>
      <c r="AW134" s="17" t="s">
        <v>283</v>
      </c>
      <c r="BB134" s="139" t="s">
        <v>162</v>
      </c>
      <c r="BC134" s="117" t="s">
        <v>14</v>
      </c>
      <c r="BD134" s="117" t="s">
        <v>15</v>
      </c>
      <c r="BE134" s="117" t="s">
        <v>29</v>
      </c>
      <c r="BF134" s="117" t="s">
        <v>16</v>
      </c>
      <c r="BG134" s="117" t="s">
        <v>59</v>
      </c>
      <c r="BH134" s="117" t="s">
        <v>17</v>
      </c>
      <c r="BI134" s="15" t="s">
        <v>21</v>
      </c>
      <c r="BJ134" s="122" t="s">
        <v>214</v>
      </c>
      <c r="BK134" s="140" t="s">
        <v>210</v>
      </c>
      <c r="BL134" s="140" t="s">
        <v>211</v>
      </c>
      <c r="BM134" s="118" t="s">
        <v>209</v>
      </c>
      <c r="BN134" s="123" t="s">
        <v>217</v>
      </c>
      <c r="BO134" s="17" t="s">
        <v>283</v>
      </c>
    </row>
    <row r="135" spans="35:67" x14ac:dyDescent="0.2">
      <c r="AJ135" t="s">
        <v>312</v>
      </c>
      <c r="AK135" s="15">
        <v>4</v>
      </c>
      <c r="AL135" s="15">
        <v>3</v>
      </c>
      <c r="AM135" s="128" t="s">
        <v>30</v>
      </c>
      <c r="AN135" s="15" t="s">
        <v>18</v>
      </c>
      <c r="AO135" s="15" t="s">
        <v>60</v>
      </c>
      <c r="AP135" s="15">
        <f t="shared" ref="AP135" si="51">AR135*AQ135</f>
        <v>4.8000000000000007</v>
      </c>
      <c r="AQ135" s="119">
        <v>0.8</v>
      </c>
      <c r="AR135" s="122">
        <f>(AS135+AT135)</f>
        <v>6</v>
      </c>
      <c r="AS135" s="141">
        <v>0</v>
      </c>
      <c r="AT135" s="42">
        <v>6</v>
      </c>
      <c r="AU135" s="42">
        <v>48.7</v>
      </c>
      <c r="AV135" s="126" t="s">
        <v>30</v>
      </c>
      <c r="AW135" s="15" t="s">
        <v>313</v>
      </c>
      <c r="BB135" t="s">
        <v>312</v>
      </c>
      <c r="BC135" s="15">
        <v>4</v>
      </c>
      <c r="BD135" s="15">
        <v>3</v>
      </c>
      <c r="BE135" s="128" t="s">
        <v>30</v>
      </c>
      <c r="BF135" s="15" t="s">
        <v>18</v>
      </c>
      <c r="BG135" s="15" t="s">
        <v>60</v>
      </c>
      <c r="BH135" s="15">
        <f t="shared" ref="BH135" si="52">BJ135*BI135</f>
        <v>4.8000000000000007</v>
      </c>
      <c r="BI135" s="119">
        <v>0.8</v>
      </c>
      <c r="BJ135" s="122">
        <f>(BK135+BL135)</f>
        <v>6</v>
      </c>
      <c r="BK135" s="141">
        <v>0</v>
      </c>
      <c r="BL135" s="42">
        <v>6</v>
      </c>
      <c r="BM135" s="42">
        <v>48.7</v>
      </c>
      <c r="BN135" s="126" t="s">
        <v>30</v>
      </c>
      <c r="BO135" s="15" t="s">
        <v>313</v>
      </c>
    </row>
    <row r="137" spans="35:67" x14ac:dyDescent="0.2">
      <c r="AI137" s="175"/>
      <c r="AJ137" s="139" t="s">
        <v>162</v>
      </c>
      <c r="AK137" s="117" t="s">
        <v>14</v>
      </c>
      <c r="AL137" s="117" t="s">
        <v>15</v>
      </c>
      <c r="AM137" s="117" t="s">
        <v>29</v>
      </c>
      <c r="AN137" s="117" t="s">
        <v>16</v>
      </c>
      <c r="AO137" s="117" t="s">
        <v>59</v>
      </c>
      <c r="AP137" s="117" t="s">
        <v>17</v>
      </c>
      <c r="AQ137" s="15" t="s">
        <v>21</v>
      </c>
      <c r="AR137" s="122" t="s">
        <v>214</v>
      </c>
      <c r="AS137" s="140" t="s">
        <v>210</v>
      </c>
      <c r="AT137" s="140" t="s">
        <v>211</v>
      </c>
      <c r="AU137" s="118" t="s">
        <v>209</v>
      </c>
      <c r="AV137" s="123" t="s">
        <v>217</v>
      </c>
      <c r="AW137" s="17" t="s">
        <v>283</v>
      </c>
      <c r="BA137" s="175"/>
      <c r="BB137" s="139" t="s">
        <v>162</v>
      </c>
      <c r="BC137" s="117" t="s">
        <v>14</v>
      </c>
      <c r="BD137" s="117" t="s">
        <v>15</v>
      </c>
      <c r="BE137" s="117" t="s">
        <v>29</v>
      </c>
      <c r="BF137" s="117" t="s">
        <v>16</v>
      </c>
      <c r="BG137" s="117" t="s">
        <v>59</v>
      </c>
      <c r="BH137" s="117" t="s">
        <v>17</v>
      </c>
      <c r="BI137" s="15" t="s">
        <v>21</v>
      </c>
      <c r="BJ137" s="122" t="s">
        <v>214</v>
      </c>
      <c r="BK137" s="140" t="s">
        <v>210</v>
      </c>
      <c r="BL137" s="140" t="s">
        <v>211</v>
      </c>
      <c r="BM137" s="118" t="s">
        <v>209</v>
      </c>
      <c r="BN137" s="123" t="s">
        <v>217</v>
      </c>
      <c r="BO137" s="17" t="s">
        <v>283</v>
      </c>
    </row>
    <row r="138" spans="35:67" x14ac:dyDescent="0.2">
      <c r="AI138" s="175"/>
      <c r="AJ138" t="s">
        <v>317</v>
      </c>
      <c r="AK138" s="15">
        <v>3</v>
      </c>
      <c r="AL138" s="15">
        <v>6</v>
      </c>
      <c r="AM138" s="128" t="s">
        <v>30</v>
      </c>
      <c r="AN138" s="15" t="s">
        <v>18</v>
      </c>
      <c r="AO138" s="15" t="s">
        <v>60</v>
      </c>
      <c r="AP138" s="15">
        <f t="shared" ref="AP138" si="53">AR138*AQ138</f>
        <v>4.8000000000000007</v>
      </c>
      <c r="AQ138" s="119">
        <v>0.8</v>
      </c>
      <c r="AR138" s="122">
        <f>(AS138+AT138)</f>
        <v>6</v>
      </c>
      <c r="AS138" s="141">
        <v>0</v>
      </c>
      <c r="AT138" s="42">
        <v>6</v>
      </c>
      <c r="AU138" s="42">
        <v>48.7</v>
      </c>
      <c r="AV138" s="126" t="s">
        <v>30</v>
      </c>
      <c r="AW138" s="15" t="s">
        <v>318</v>
      </c>
      <c r="BA138" s="175"/>
      <c r="BB138" t="s">
        <v>317</v>
      </c>
      <c r="BC138" s="15">
        <v>3</v>
      </c>
      <c r="BD138" s="15">
        <v>6</v>
      </c>
      <c r="BE138" s="128" t="s">
        <v>30</v>
      </c>
      <c r="BF138" s="15" t="s">
        <v>18</v>
      </c>
      <c r="BG138" s="15" t="s">
        <v>60</v>
      </c>
      <c r="BH138" s="15">
        <f t="shared" ref="BH138" si="54">BJ138*BI138</f>
        <v>4.8000000000000007</v>
      </c>
      <c r="BI138" s="119">
        <v>0.8</v>
      </c>
      <c r="BJ138" s="122">
        <f>(BK138+BL138)</f>
        <v>6</v>
      </c>
      <c r="BK138" s="141">
        <v>0</v>
      </c>
      <c r="BL138" s="42">
        <v>6</v>
      </c>
      <c r="BM138" s="42">
        <v>48.7</v>
      </c>
      <c r="BN138" s="126" t="s">
        <v>30</v>
      </c>
      <c r="BO138" s="15" t="s">
        <v>318</v>
      </c>
    </row>
    <row r="139" spans="35:67" x14ac:dyDescent="0.2">
      <c r="AI139" s="175"/>
      <c r="BA139" s="175"/>
    </row>
    <row r="140" spans="35:67" x14ac:dyDescent="0.2">
      <c r="AI140" s="175"/>
      <c r="AJ140" s="139" t="s">
        <v>162</v>
      </c>
      <c r="AK140" s="117" t="s">
        <v>14</v>
      </c>
      <c r="AL140" s="117" t="s">
        <v>15</v>
      </c>
      <c r="AM140" s="117" t="s">
        <v>29</v>
      </c>
      <c r="AN140" s="117" t="s">
        <v>16</v>
      </c>
      <c r="AO140" s="117" t="s">
        <v>59</v>
      </c>
      <c r="AP140" s="117" t="s">
        <v>17</v>
      </c>
      <c r="AQ140" s="15" t="s">
        <v>21</v>
      </c>
      <c r="AR140" s="122" t="s">
        <v>214</v>
      </c>
      <c r="AS140" s="140" t="s">
        <v>210</v>
      </c>
      <c r="AT140" s="140" t="s">
        <v>211</v>
      </c>
      <c r="AU140" s="118" t="s">
        <v>209</v>
      </c>
      <c r="AV140" s="123" t="s">
        <v>217</v>
      </c>
      <c r="AW140" s="17" t="s">
        <v>283</v>
      </c>
      <c r="BA140" s="175"/>
      <c r="BB140" s="139" t="s">
        <v>162</v>
      </c>
      <c r="BC140" s="117" t="s">
        <v>14</v>
      </c>
      <c r="BD140" s="117" t="s">
        <v>15</v>
      </c>
      <c r="BE140" s="117" t="s">
        <v>29</v>
      </c>
      <c r="BF140" s="117" t="s">
        <v>16</v>
      </c>
      <c r="BG140" s="117" t="s">
        <v>59</v>
      </c>
      <c r="BH140" s="117" t="s">
        <v>17</v>
      </c>
      <c r="BI140" s="15" t="s">
        <v>21</v>
      </c>
      <c r="BJ140" s="122" t="s">
        <v>214</v>
      </c>
      <c r="BK140" s="140" t="s">
        <v>210</v>
      </c>
      <c r="BL140" s="140" t="s">
        <v>211</v>
      </c>
      <c r="BM140" s="118" t="s">
        <v>209</v>
      </c>
      <c r="BN140" s="123" t="s">
        <v>217</v>
      </c>
      <c r="BO140" s="17" t="s">
        <v>283</v>
      </c>
    </row>
    <row r="141" spans="35:67" x14ac:dyDescent="0.2">
      <c r="AI141" s="175"/>
      <c r="AJ141" t="s">
        <v>319</v>
      </c>
      <c r="AK141" s="15">
        <v>3</v>
      </c>
      <c r="AL141" s="15">
        <v>6</v>
      </c>
      <c r="AM141" s="128" t="s">
        <v>30</v>
      </c>
      <c r="AN141" s="15" t="s">
        <v>18</v>
      </c>
      <c r="AO141" s="15" t="s">
        <v>60</v>
      </c>
      <c r="AP141" s="15">
        <f t="shared" ref="AP141" si="55">AR141*AQ141</f>
        <v>6.4</v>
      </c>
      <c r="AQ141" s="119">
        <v>0.8</v>
      </c>
      <c r="AR141" s="122">
        <f>(AS141+AT141)</f>
        <v>8</v>
      </c>
      <c r="AS141" s="141">
        <v>0</v>
      </c>
      <c r="AT141" s="42">
        <v>8</v>
      </c>
      <c r="AU141" s="42">
        <v>48.7</v>
      </c>
      <c r="AV141" s="126" t="s">
        <v>30</v>
      </c>
      <c r="AW141" s="15" t="s">
        <v>318</v>
      </c>
      <c r="BA141" s="175"/>
      <c r="BB141" t="s">
        <v>319</v>
      </c>
      <c r="BC141" s="15">
        <v>3</v>
      </c>
      <c r="BD141" s="15">
        <v>6</v>
      </c>
      <c r="BE141" s="128" t="s">
        <v>30</v>
      </c>
      <c r="BF141" s="15" t="s">
        <v>18</v>
      </c>
      <c r="BG141" s="15" t="s">
        <v>60</v>
      </c>
      <c r="BH141" s="15">
        <f t="shared" ref="BH141" si="56">BJ141*BI141</f>
        <v>6.4</v>
      </c>
      <c r="BI141" s="119">
        <v>0.8</v>
      </c>
      <c r="BJ141" s="122">
        <f>(BK141+BL141)</f>
        <v>8</v>
      </c>
      <c r="BK141" s="141">
        <v>0</v>
      </c>
      <c r="BL141" s="42">
        <v>8</v>
      </c>
      <c r="BM141" s="42">
        <v>48.7</v>
      </c>
      <c r="BN141" s="126" t="s">
        <v>30</v>
      </c>
      <c r="BO141" s="15" t="s">
        <v>318</v>
      </c>
    </row>
    <row r="145" spans="35:64" x14ac:dyDescent="0.2">
      <c r="AJ145" s="127" t="s">
        <v>219</v>
      </c>
      <c r="AK145" s="117" t="s">
        <v>14</v>
      </c>
      <c r="AL145" s="117" t="s">
        <v>15</v>
      </c>
      <c r="AM145" s="117" t="s">
        <v>29</v>
      </c>
      <c r="AN145" s="117" t="s">
        <v>16</v>
      </c>
      <c r="AO145" s="117" t="s">
        <v>59</v>
      </c>
      <c r="AP145" s="117" t="s">
        <v>17</v>
      </c>
      <c r="AQ145" s="15" t="s">
        <v>21</v>
      </c>
      <c r="AR145" s="118" t="s">
        <v>209</v>
      </c>
      <c r="AS145" s="123" t="s">
        <v>217</v>
      </c>
      <c r="AT145" s="42" t="s">
        <v>224</v>
      </c>
      <c r="BB145" s="127" t="s">
        <v>219</v>
      </c>
      <c r="BC145" s="117" t="s">
        <v>14</v>
      </c>
      <c r="BD145" s="117" t="s">
        <v>15</v>
      </c>
      <c r="BE145" s="117" t="s">
        <v>29</v>
      </c>
      <c r="BF145" s="117" t="s">
        <v>16</v>
      </c>
      <c r="BG145" s="117" t="s">
        <v>59</v>
      </c>
      <c r="BH145" s="117" t="s">
        <v>17</v>
      </c>
      <c r="BI145" s="15" t="s">
        <v>21</v>
      </c>
      <c r="BJ145" s="118" t="s">
        <v>209</v>
      </c>
      <c r="BK145" s="123" t="s">
        <v>217</v>
      </c>
      <c r="BL145" s="42" t="s">
        <v>224</v>
      </c>
    </row>
    <row r="146" spans="35:64" x14ac:dyDescent="0.2">
      <c r="AJ146" s="42" t="s">
        <v>220</v>
      </c>
      <c r="AK146" s="15">
        <v>1</v>
      </c>
      <c r="AL146" s="15">
        <v>1</v>
      </c>
      <c r="AM146" s="128" t="s">
        <v>257</v>
      </c>
      <c r="AN146" s="15" t="s">
        <v>259</v>
      </c>
      <c r="AO146" s="15" t="s">
        <v>260</v>
      </c>
      <c r="AP146" s="15">
        <v>0</v>
      </c>
      <c r="AQ146" s="119">
        <v>0.95</v>
      </c>
      <c r="AR146" s="42">
        <v>48.7</v>
      </c>
      <c r="AS146" s="126" t="s">
        <v>258</v>
      </c>
      <c r="AT146" s="42" t="s">
        <v>225</v>
      </c>
      <c r="BB146" s="42" t="s">
        <v>220</v>
      </c>
      <c r="BC146" s="15">
        <v>1</v>
      </c>
      <c r="BD146" s="15">
        <v>1</v>
      </c>
      <c r="BE146" s="128" t="s">
        <v>257</v>
      </c>
      <c r="BF146" s="15" t="s">
        <v>259</v>
      </c>
      <c r="BG146" s="15" t="s">
        <v>260</v>
      </c>
      <c r="BH146" s="15">
        <v>0</v>
      </c>
      <c r="BI146" s="119">
        <v>0.95</v>
      </c>
      <c r="BJ146" s="42">
        <v>48.7</v>
      </c>
      <c r="BK146" s="126" t="s">
        <v>258</v>
      </c>
      <c r="BL146" s="42" t="s">
        <v>225</v>
      </c>
    </row>
    <row r="148" spans="35:64" x14ac:dyDescent="0.2">
      <c r="AJ148" s="127" t="s">
        <v>219</v>
      </c>
      <c r="AK148" s="117" t="s">
        <v>14</v>
      </c>
      <c r="AL148" s="117" t="s">
        <v>15</v>
      </c>
      <c r="AM148" s="117" t="s">
        <v>29</v>
      </c>
      <c r="AN148" s="117" t="s">
        <v>16</v>
      </c>
      <c r="AO148" s="117" t="s">
        <v>59</v>
      </c>
      <c r="AP148" s="117" t="s">
        <v>17</v>
      </c>
      <c r="AQ148" s="15" t="s">
        <v>21</v>
      </c>
      <c r="AR148" s="118" t="s">
        <v>209</v>
      </c>
      <c r="AS148" s="123" t="s">
        <v>217</v>
      </c>
      <c r="AT148" s="42" t="s">
        <v>224</v>
      </c>
      <c r="BB148" s="127" t="s">
        <v>219</v>
      </c>
      <c r="BC148" s="117" t="s">
        <v>14</v>
      </c>
      <c r="BD148" s="117" t="s">
        <v>15</v>
      </c>
      <c r="BE148" s="117" t="s">
        <v>29</v>
      </c>
      <c r="BF148" s="117" t="s">
        <v>16</v>
      </c>
      <c r="BG148" s="117" t="s">
        <v>59</v>
      </c>
      <c r="BH148" s="117" t="s">
        <v>17</v>
      </c>
      <c r="BI148" s="15" t="s">
        <v>21</v>
      </c>
      <c r="BJ148" s="118" t="s">
        <v>209</v>
      </c>
      <c r="BK148" s="123" t="s">
        <v>217</v>
      </c>
      <c r="BL148" s="42" t="s">
        <v>224</v>
      </c>
    </row>
    <row r="149" spans="35:64" x14ac:dyDescent="0.2">
      <c r="AJ149" s="42" t="s">
        <v>220</v>
      </c>
      <c r="AK149" s="15">
        <v>4</v>
      </c>
      <c r="AL149" s="15">
        <v>3</v>
      </c>
      <c r="AM149" s="128" t="s">
        <v>30</v>
      </c>
      <c r="AN149" s="15" t="s">
        <v>18</v>
      </c>
      <c r="AO149" s="15" t="s">
        <v>60</v>
      </c>
      <c r="AP149" s="15">
        <v>0</v>
      </c>
      <c r="AQ149" s="119">
        <v>0.95</v>
      </c>
      <c r="AR149" s="42">
        <v>48.7</v>
      </c>
      <c r="AS149" s="126" t="s">
        <v>218</v>
      </c>
      <c r="AT149" s="42" t="s">
        <v>225</v>
      </c>
      <c r="BB149" s="42" t="s">
        <v>220</v>
      </c>
      <c r="BC149" s="15">
        <v>4</v>
      </c>
      <c r="BD149" s="15">
        <v>3</v>
      </c>
      <c r="BE149" s="128" t="s">
        <v>30</v>
      </c>
      <c r="BF149" s="15" t="s">
        <v>18</v>
      </c>
      <c r="BG149" s="15" t="s">
        <v>60</v>
      </c>
      <c r="BH149" s="15">
        <v>0</v>
      </c>
      <c r="BI149" s="119">
        <v>0.95</v>
      </c>
      <c r="BJ149" s="42">
        <v>48.7</v>
      </c>
      <c r="BK149" s="126" t="s">
        <v>218</v>
      </c>
      <c r="BL149" s="42" t="s">
        <v>225</v>
      </c>
    </row>
    <row r="150" spans="35:64" ht="16" thickBot="1" x14ac:dyDescent="0.25"/>
    <row r="151" spans="35:64" x14ac:dyDescent="0.2">
      <c r="AI151" s="176"/>
      <c r="AJ151" s="142" t="s">
        <v>219</v>
      </c>
      <c r="AK151" s="143" t="s">
        <v>14</v>
      </c>
      <c r="AL151" s="143" t="s">
        <v>15</v>
      </c>
      <c r="AM151" s="143" t="s">
        <v>29</v>
      </c>
      <c r="AN151" s="143" t="s">
        <v>16</v>
      </c>
      <c r="AO151" s="143" t="s">
        <v>59</v>
      </c>
      <c r="AP151" s="143" t="s">
        <v>17</v>
      </c>
      <c r="AQ151" s="99" t="s">
        <v>21</v>
      </c>
      <c r="AR151" s="144" t="s">
        <v>209</v>
      </c>
      <c r="AS151" s="145" t="s">
        <v>217</v>
      </c>
      <c r="AT151" s="51" t="s">
        <v>224</v>
      </c>
      <c r="BA151" s="176"/>
      <c r="BB151" s="142" t="s">
        <v>219</v>
      </c>
      <c r="BC151" s="143" t="s">
        <v>14</v>
      </c>
      <c r="BD151" s="143" t="s">
        <v>15</v>
      </c>
      <c r="BE151" s="143" t="s">
        <v>29</v>
      </c>
      <c r="BF151" s="143" t="s">
        <v>16</v>
      </c>
      <c r="BG151" s="143" t="s">
        <v>59</v>
      </c>
      <c r="BH151" s="143" t="s">
        <v>17</v>
      </c>
      <c r="BI151" s="99" t="s">
        <v>21</v>
      </c>
      <c r="BJ151" s="144" t="s">
        <v>209</v>
      </c>
      <c r="BK151" s="145" t="s">
        <v>217</v>
      </c>
      <c r="BL151" s="51" t="s">
        <v>224</v>
      </c>
    </row>
    <row r="152" spans="35:64" x14ac:dyDescent="0.2">
      <c r="AI152" s="177"/>
      <c r="AJ152" s="39" t="s">
        <v>289</v>
      </c>
      <c r="AK152" s="15">
        <v>1</v>
      </c>
      <c r="AL152" s="15">
        <v>1</v>
      </c>
      <c r="AM152" s="128" t="s">
        <v>290</v>
      </c>
      <c r="AN152" s="15" t="s">
        <v>259</v>
      </c>
      <c r="AO152" s="15" t="s">
        <v>260</v>
      </c>
      <c r="AP152" s="15">
        <v>0</v>
      </c>
      <c r="AQ152" s="119">
        <v>0.95</v>
      </c>
      <c r="AR152" s="42">
        <v>48.7</v>
      </c>
      <c r="AS152" s="126" t="s">
        <v>291</v>
      </c>
      <c r="AT152" s="54" t="s">
        <v>292</v>
      </c>
      <c r="BA152" s="177"/>
      <c r="BB152" s="39" t="s">
        <v>289</v>
      </c>
      <c r="BC152" s="15">
        <v>1</v>
      </c>
      <c r="BD152" s="15">
        <v>1</v>
      </c>
      <c r="BE152" s="128" t="s">
        <v>290</v>
      </c>
      <c r="BF152" s="15" t="s">
        <v>259</v>
      </c>
      <c r="BG152" s="15" t="s">
        <v>260</v>
      </c>
      <c r="BH152" s="15">
        <v>0</v>
      </c>
      <c r="BI152" s="119">
        <v>0.95</v>
      </c>
      <c r="BJ152" s="42">
        <v>48.7</v>
      </c>
      <c r="BK152" s="126" t="s">
        <v>291</v>
      </c>
      <c r="BL152" s="54" t="s">
        <v>292</v>
      </c>
    </row>
    <row r="153" spans="35:64" x14ac:dyDescent="0.2">
      <c r="AI153" s="177"/>
      <c r="AT153" s="146"/>
      <c r="BA153" s="177"/>
      <c r="BL153" s="146"/>
    </row>
    <row r="154" spans="35:64" x14ac:dyDescent="0.2">
      <c r="AI154" s="177"/>
      <c r="AJ154" s="127" t="s">
        <v>219</v>
      </c>
      <c r="AK154" s="117" t="s">
        <v>14</v>
      </c>
      <c r="AL154" s="117" t="s">
        <v>15</v>
      </c>
      <c r="AM154" s="117" t="s">
        <v>29</v>
      </c>
      <c r="AN154" s="117" t="s">
        <v>16</v>
      </c>
      <c r="AO154" s="117" t="s">
        <v>59</v>
      </c>
      <c r="AP154" s="117" t="s">
        <v>17</v>
      </c>
      <c r="AQ154" s="15" t="s">
        <v>21</v>
      </c>
      <c r="AR154" s="118" t="s">
        <v>209</v>
      </c>
      <c r="AS154" s="123" t="s">
        <v>217</v>
      </c>
      <c r="AT154" s="54" t="s">
        <v>224</v>
      </c>
      <c r="BA154" s="177"/>
      <c r="BB154" s="127" t="s">
        <v>219</v>
      </c>
      <c r="BC154" s="117" t="s">
        <v>14</v>
      </c>
      <c r="BD154" s="117" t="s">
        <v>15</v>
      </c>
      <c r="BE154" s="117" t="s">
        <v>29</v>
      </c>
      <c r="BF154" s="117" t="s">
        <v>16</v>
      </c>
      <c r="BG154" s="117" t="s">
        <v>59</v>
      </c>
      <c r="BH154" s="117" t="s">
        <v>17</v>
      </c>
      <c r="BI154" s="15" t="s">
        <v>21</v>
      </c>
      <c r="BJ154" s="118" t="s">
        <v>209</v>
      </c>
      <c r="BK154" s="123" t="s">
        <v>217</v>
      </c>
      <c r="BL154" s="54" t="s">
        <v>224</v>
      </c>
    </row>
    <row r="155" spans="35:64" ht="16" thickBot="1" x14ac:dyDescent="0.25">
      <c r="AI155" s="178"/>
      <c r="AJ155" s="147" t="s">
        <v>293</v>
      </c>
      <c r="AK155" s="130">
        <v>1</v>
      </c>
      <c r="AL155" s="130">
        <v>1</v>
      </c>
      <c r="AM155" s="148" t="s">
        <v>290</v>
      </c>
      <c r="AN155" s="130" t="s">
        <v>259</v>
      </c>
      <c r="AO155" s="130" t="s">
        <v>65</v>
      </c>
      <c r="AP155" s="130">
        <v>0</v>
      </c>
      <c r="AQ155" s="149">
        <v>0.95</v>
      </c>
      <c r="AR155" s="56">
        <v>48.7</v>
      </c>
      <c r="AS155" s="150" t="s">
        <v>218</v>
      </c>
      <c r="AT155" s="43" t="s">
        <v>225</v>
      </c>
      <c r="BA155" s="178"/>
      <c r="BB155" s="147" t="s">
        <v>293</v>
      </c>
      <c r="BC155" s="130">
        <v>1</v>
      </c>
      <c r="BD155" s="130">
        <v>1</v>
      </c>
      <c r="BE155" s="148" t="s">
        <v>290</v>
      </c>
      <c r="BF155" s="130" t="s">
        <v>259</v>
      </c>
      <c r="BG155" s="130" t="s">
        <v>65</v>
      </c>
      <c r="BH155" s="130">
        <v>0</v>
      </c>
      <c r="BI155" s="149">
        <v>0.95</v>
      </c>
      <c r="BJ155" s="56">
        <v>48.7</v>
      </c>
      <c r="BK155" s="150" t="s">
        <v>218</v>
      </c>
      <c r="BL155" s="43" t="s">
        <v>225</v>
      </c>
    </row>
    <row r="157" spans="35:64" x14ac:dyDescent="0.2">
      <c r="AJ157" s="127" t="s">
        <v>221</v>
      </c>
      <c r="AK157" s="117" t="s">
        <v>14</v>
      </c>
      <c r="AL157" s="117" t="s">
        <v>15</v>
      </c>
      <c r="AM157" s="117" t="s">
        <v>29</v>
      </c>
      <c r="AN157" s="117" t="s">
        <v>16</v>
      </c>
      <c r="AO157" s="117" t="s">
        <v>59</v>
      </c>
      <c r="AP157" s="117" t="s">
        <v>17</v>
      </c>
      <c r="AQ157" s="15" t="s">
        <v>21</v>
      </c>
      <c r="AR157" s="118" t="s">
        <v>209</v>
      </c>
      <c r="AS157" s="123" t="s">
        <v>217</v>
      </c>
      <c r="AT157" s="42" t="s">
        <v>224</v>
      </c>
      <c r="BB157" s="127" t="s">
        <v>221</v>
      </c>
      <c r="BC157" s="117" t="s">
        <v>14</v>
      </c>
      <c r="BD157" s="117" t="s">
        <v>15</v>
      </c>
      <c r="BE157" s="117" t="s">
        <v>29</v>
      </c>
      <c r="BF157" s="117" t="s">
        <v>16</v>
      </c>
      <c r="BG157" s="117" t="s">
        <v>59</v>
      </c>
      <c r="BH157" s="117" t="s">
        <v>17</v>
      </c>
      <c r="BI157" s="15" t="s">
        <v>21</v>
      </c>
      <c r="BJ157" s="118" t="s">
        <v>209</v>
      </c>
      <c r="BK157" s="123" t="s">
        <v>217</v>
      </c>
      <c r="BL157" s="42" t="s">
        <v>224</v>
      </c>
    </row>
    <row r="158" spans="35:64" x14ac:dyDescent="0.2">
      <c r="AJ158" s="42" t="s">
        <v>297</v>
      </c>
      <c r="AK158" s="15">
        <v>4</v>
      </c>
      <c r="AL158" s="15">
        <v>1</v>
      </c>
      <c r="AM158" s="128" t="s">
        <v>30</v>
      </c>
      <c r="AN158" s="15" t="s">
        <v>259</v>
      </c>
      <c r="AO158" s="15" t="s">
        <v>290</v>
      </c>
      <c r="AP158" s="15">
        <v>0</v>
      </c>
      <c r="AQ158" s="119">
        <v>0.95</v>
      </c>
      <c r="AR158" s="42">
        <v>48.7</v>
      </c>
      <c r="AS158" s="126" t="s">
        <v>258</v>
      </c>
      <c r="AT158" s="42" t="s">
        <v>292</v>
      </c>
      <c r="BB158" s="42" t="s">
        <v>297</v>
      </c>
      <c r="BC158" s="15">
        <v>4</v>
      </c>
      <c r="BD158" s="15">
        <v>1</v>
      </c>
      <c r="BE158" s="128" t="s">
        <v>30</v>
      </c>
      <c r="BF158" s="15" t="s">
        <v>259</v>
      </c>
      <c r="BG158" s="15" t="s">
        <v>290</v>
      </c>
      <c r="BH158" s="15">
        <v>0</v>
      </c>
      <c r="BI158" s="119">
        <v>0.95</v>
      </c>
      <c r="BJ158" s="42">
        <v>48.7</v>
      </c>
      <c r="BK158" s="126" t="s">
        <v>258</v>
      </c>
      <c r="BL158" s="42" t="s">
        <v>292</v>
      </c>
    </row>
    <row r="160" spans="35:64" x14ac:dyDescent="0.2">
      <c r="AJ160" s="127" t="s">
        <v>298</v>
      </c>
      <c r="AK160" s="117" t="s">
        <v>14</v>
      </c>
      <c r="AL160" s="117" t="s">
        <v>15</v>
      </c>
      <c r="AM160" s="117" t="s">
        <v>29</v>
      </c>
      <c r="AN160" s="117" t="s">
        <v>16</v>
      </c>
      <c r="AO160" s="117" t="s">
        <v>59</v>
      </c>
      <c r="AP160" s="117" t="s">
        <v>17</v>
      </c>
      <c r="AQ160" s="15" t="s">
        <v>21</v>
      </c>
      <c r="AR160" s="118" t="s">
        <v>209</v>
      </c>
      <c r="AS160" s="123" t="s">
        <v>217</v>
      </c>
      <c r="AT160" s="42" t="s">
        <v>224</v>
      </c>
      <c r="BB160" s="127" t="s">
        <v>298</v>
      </c>
      <c r="BC160" s="117" t="s">
        <v>14</v>
      </c>
      <c r="BD160" s="117" t="s">
        <v>15</v>
      </c>
      <c r="BE160" s="117" t="s">
        <v>29</v>
      </c>
      <c r="BF160" s="117" t="s">
        <v>16</v>
      </c>
      <c r="BG160" s="117" t="s">
        <v>59</v>
      </c>
      <c r="BH160" s="117" t="s">
        <v>17</v>
      </c>
      <c r="BI160" s="15" t="s">
        <v>21</v>
      </c>
      <c r="BJ160" s="118" t="s">
        <v>209</v>
      </c>
      <c r="BK160" s="123" t="s">
        <v>217</v>
      </c>
      <c r="BL160" s="42" t="s">
        <v>224</v>
      </c>
    </row>
    <row r="161" spans="35:64" x14ac:dyDescent="0.2">
      <c r="AJ161" s="42" t="s">
        <v>299</v>
      </c>
      <c r="AK161" s="15">
        <v>1</v>
      </c>
      <c r="AL161" s="15">
        <v>1</v>
      </c>
      <c r="AM161" s="128" t="s">
        <v>257</v>
      </c>
      <c r="AN161" s="15" t="s">
        <v>259</v>
      </c>
      <c r="AO161" s="15" t="s">
        <v>260</v>
      </c>
      <c r="AP161" s="15">
        <v>0</v>
      </c>
      <c r="AQ161" s="119">
        <v>0.95</v>
      </c>
      <c r="AR161" s="42">
        <v>48.7</v>
      </c>
      <c r="AS161" s="126" t="s">
        <v>258</v>
      </c>
      <c r="AT161" s="42" t="s">
        <v>292</v>
      </c>
      <c r="BB161" s="42" t="s">
        <v>299</v>
      </c>
      <c r="BC161" s="15">
        <v>1</v>
      </c>
      <c r="BD161" s="15">
        <v>1</v>
      </c>
      <c r="BE161" s="128" t="s">
        <v>257</v>
      </c>
      <c r="BF161" s="15" t="s">
        <v>259</v>
      </c>
      <c r="BG161" s="15" t="s">
        <v>260</v>
      </c>
      <c r="BH161" s="15">
        <v>0</v>
      </c>
      <c r="BI161" s="119">
        <v>0.95</v>
      </c>
      <c r="BJ161" s="42">
        <v>48.7</v>
      </c>
      <c r="BK161" s="126" t="s">
        <v>258</v>
      </c>
      <c r="BL161" s="42" t="s">
        <v>292</v>
      </c>
    </row>
    <row r="163" spans="35:64" x14ac:dyDescent="0.2">
      <c r="AJ163" s="127" t="s">
        <v>298</v>
      </c>
      <c r="AK163" s="117" t="s">
        <v>14</v>
      </c>
      <c r="AL163" s="117" t="s">
        <v>15</v>
      </c>
      <c r="AM163" s="117" t="s">
        <v>29</v>
      </c>
      <c r="AN163" s="117" t="s">
        <v>16</v>
      </c>
      <c r="AO163" s="117" t="s">
        <v>59</v>
      </c>
      <c r="AP163" s="117" t="s">
        <v>17</v>
      </c>
      <c r="AQ163" s="15" t="s">
        <v>21</v>
      </c>
      <c r="AR163" s="118" t="s">
        <v>209</v>
      </c>
      <c r="AS163" s="123" t="s">
        <v>217</v>
      </c>
      <c r="AT163" s="42" t="s">
        <v>224</v>
      </c>
      <c r="BB163" s="127" t="s">
        <v>298</v>
      </c>
      <c r="BC163" s="117" t="s">
        <v>14</v>
      </c>
      <c r="BD163" s="117" t="s">
        <v>15</v>
      </c>
      <c r="BE163" s="117" t="s">
        <v>29</v>
      </c>
      <c r="BF163" s="117" t="s">
        <v>16</v>
      </c>
      <c r="BG163" s="117" t="s">
        <v>59</v>
      </c>
      <c r="BH163" s="117" t="s">
        <v>17</v>
      </c>
      <c r="BI163" s="15" t="s">
        <v>21</v>
      </c>
      <c r="BJ163" s="118" t="s">
        <v>209</v>
      </c>
      <c r="BK163" s="123" t="s">
        <v>217</v>
      </c>
      <c r="BL163" s="42" t="s">
        <v>224</v>
      </c>
    </row>
    <row r="164" spans="35:64" x14ac:dyDescent="0.2">
      <c r="AJ164" s="42" t="s">
        <v>300</v>
      </c>
      <c r="AK164" s="15">
        <v>1</v>
      </c>
      <c r="AL164" s="15">
        <v>1</v>
      </c>
      <c r="AM164" s="128" t="s">
        <v>257</v>
      </c>
      <c r="AN164" s="15" t="s">
        <v>259</v>
      </c>
      <c r="AO164" s="15" t="s">
        <v>65</v>
      </c>
      <c r="AP164" s="15">
        <v>0</v>
      </c>
      <c r="AQ164" s="119">
        <v>0.95</v>
      </c>
      <c r="AR164" s="42">
        <v>48.7</v>
      </c>
      <c r="AS164" s="126" t="s">
        <v>218</v>
      </c>
      <c r="AT164" s="42" t="s">
        <v>225</v>
      </c>
      <c r="BB164" s="42" t="s">
        <v>300</v>
      </c>
      <c r="BC164" s="15">
        <v>1</v>
      </c>
      <c r="BD164" s="15">
        <v>1</v>
      </c>
      <c r="BE164" s="128" t="s">
        <v>257</v>
      </c>
      <c r="BF164" s="15" t="s">
        <v>259</v>
      </c>
      <c r="BG164" s="15" t="s">
        <v>65</v>
      </c>
      <c r="BH164" s="15">
        <v>0</v>
      </c>
      <c r="BI164" s="119">
        <v>0.95</v>
      </c>
      <c r="BJ164" s="42">
        <v>48.7</v>
      </c>
      <c r="BK164" s="126" t="s">
        <v>218</v>
      </c>
      <c r="BL164" s="42" t="s">
        <v>225</v>
      </c>
    </row>
    <row r="166" spans="35:64" x14ac:dyDescent="0.2">
      <c r="AJ166" s="127" t="s">
        <v>298</v>
      </c>
      <c r="AK166" s="117" t="s">
        <v>14</v>
      </c>
      <c r="AL166" s="117" t="s">
        <v>15</v>
      </c>
      <c r="AM166" s="117" t="s">
        <v>29</v>
      </c>
      <c r="AN166" s="117" t="s">
        <v>16</v>
      </c>
      <c r="AO166" s="117" t="s">
        <v>59</v>
      </c>
      <c r="AP166" s="117" t="s">
        <v>17</v>
      </c>
      <c r="AQ166" s="15" t="s">
        <v>21</v>
      </c>
      <c r="AR166" s="118" t="s">
        <v>209</v>
      </c>
      <c r="AS166" s="123" t="s">
        <v>217</v>
      </c>
      <c r="AT166" s="42" t="s">
        <v>224</v>
      </c>
      <c r="BB166" s="127" t="s">
        <v>298</v>
      </c>
      <c r="BC166" s="117" t="s">
        <v>14</v>
      </c>
      <c r="BD166" s="117" t="s">
        <v>15</v>
      </c>
      <c r="BE166" s="117" t="s">
        <v>29</v>
      </c>
      <c r="BF166" s="117" t="s">
        <v>16</v>
      </c>
      <c r="BG166" s="117" t="s">
        <v>59</v>
      </c>
      <c r="BH166" s="117" t="s">
        <v>17</v>
      </c>
      <c r="BI166" s="15" t="s">
        <v>21</v>
      </c>
      <c r="BJ166" s="118" t="s">
        <v>209</v>
      </c>
      <c r="BK166" s="123" t="s">
        <v>217</v>
      </c>
      <c r="BL166" s="42" t="s">
        <v>224</v>
      </c>
    </row>
    <row r="167" spans="35:64" x14ac:dyDescent="0.2">
      <c r="AJ167" s="42" t="s">
        <v>328</v>
      </c>
      <c r="AK167" s="15">
        <v>3</v>
      </c>
      <c r="AL167" s="15">
        <v>3</v>
      </c>
      <c r="AM167" s="128" t="s">
        <v>18</v>
      </c>
      <c r="AN167" s="15" t="s">
        <v>60</v>
      </c>
      <c r="AO167" s="15" t="s">
        <v>65</v>
      </c>
      <c r="AP167" s="15">
        <v>0</v>
      </c>
      <c r="AQ167" s="119">
        <v>0.95</v>
      </c>
      <c r="AR167" s="42">
        <v>48.7</v>
      </c>
      <c r="AS167" s="126" t="s">
        <v>258</v>
      </c>
      <c r="AT167" s="42" t="s">
        <v>292</v>
      </c>
      <c r="BB167" s="42" t="s">
        <v>328</v>
      </c>
      <c r="BC167" s="15">
        <v>3</v>
      </c>
      <c r="BD167" s="15">
        <v>3</v>
      </c>
      <c r="BE167" s="128" t="s">
        <v>18</v>
      </c>
      <c r="BF167" s="15" t="s">
        <v>60</v>
      </c>
      <c r="BG167" s="15" t="s">
        <v>65</v>
      </c>
      <c r="BH167" s="15">
        <v>0</v>
      </c>
      <c r="BI167" s="119">
        <v>0.95</v>
      </c>
      <c r="BJ167" s="42">
        <v>48.7</v>
      </c>
      <c r="BK167" s="126" t="s">
        <v>258</v>
      </c>
      <c r="BL167" s="42" t="s">
        <v>292</v>
      </c>
    </row>
    <row r="169" spans="35:64" ht="14.5" customHeight="1" x14ac:dyDescent="0.2"/>
    <row r="172" spans="35:64" ht="16" thickBot="1" x14ac:dyDescent="0.25"/>
    <row r="173" spans="35:64" x14ac:dyDescent="0.2">
      <c r="AI173" s="331" t="s">
        <v>228</v>
      </c>
      <c r="AJ173" s="142" t="s">
        <v>221</v>
      </c>
      <c r="AK173" s="143" t="s">
        <v>14</v>
      </c>
      <c r="AL173" s="143" t="s">
        <v>15</v>
      </c>
      <c r="AM173" s="143" t="s">
        <v>29</v>
      </c>
      <c r="AN173" s="143" t="s">
        <v>16</v>
      </c>
      <c r="AO173" s="143" t="s">
        <v>59</v>
      </c>
      <c r="AP173" s="143" t="s">
        <v>17</v>
      </c>
      <c r="AQ173" s="99" t="s">
        <v>21</v>
      </c>
      <c r="AR173" s="144" t="s">
        <v>209</v>
      </c>
      <c r="AS173" s="145" t="s">
        <v>217</v>
      </c>
      <c r="AT173" s="51" t="s">
        <v>222</v>
      </c>
      <c r="BA173" s="331" t="s">
        <v>228</v>
      </c>
      <c r="BB173" s="142" t="s">
        <v>221</v>
      </c>
      <c r="BC173" s="143" t="s">
        <v>14</v>
      </c>
      <c r="BD173" s="143" t="s">
        <v>15</v>
      </c>
      <c r="BE173" s="143" t="s">
        <v>29</v>
      </c>
      <c r="BF173" s="143" t="s">
        <v>16</v>
      </c>
      <c r="BG173" s="143" t="s">
        <v>59</v>
      </c>
      <c r="BH173" s="143" t="s">
        <v>17</v>
      </c>
      <c r="BI173" s="99" t="s">
        <v>21</v>
      </c>
      <c r="BJ173" s="144" t="s">
        <v>209</v>
      </c>
      <c r="BK173" s="145" t="s">
        <v>217</v>
      </c>
      <c r="BL173" s="51" t="s">
        <v>222</v>
      </c>
    </row>
    <row r="174" spans="35:64" x14ac:dyDescent="0.2">
      <c r="AI174" s="332"/>
      <c r="AJ174" s="39" t="s">
        <v>227</v>
      </c>
      <c r="AK174" s="15">
        <v>3</v>
      </c>
      <c r="AL174" s="15">
        <v>1</v>
      </c>
      <c r="AM174" s="128" t="s">
        <v>30</v>
      </c>
      <c r="AN174" s="15" t="s">
        <v>208</v>
      </c>
      <c r="AO174" s="15" t="s">
        <v>60</v>
      </c>
      <c r="AP174" s="15">
        <v>0</v>
      </c>
      <c r="AQ174" s="119">
        <v>0.95</v>
      </c>
      <c r="AR174" s="42">
        <v>48.7</v>
      </c>
      <c r="AS174" s="126" t="s">
        <v>218</v>
      </c>
      <c r="AT174" s="54" t="s">
        <v>223</v>
      </c>
      <c r="BA174" s="332"/>
      <c r="BB174" s="39" t="s">
        <v>227</v>
      </c>
      <c r="BC174" s="15">
        <v>3</v>
      </c>
      <c r="BD174" s="15">
        <v>1</v>
      </c>
      <c r="BE174" s="128" t="s">
        <v>30</v>
      </c>
      <c r="BF174" s="15" t="s">
        <v>208</v>
      </c>
      <c r="BG174" s="15" t="s">
        <v>60</v>
      </c>
      <c r="BH174" s="15">
        <v>0</v>
      </c>
      <c r="BI174" s="119">
        <v>0.95</v>
      </c>
      <c r="BJ174" s="42">
        <v>48.7</v>
      </c>
      <c r="BK174" s="126" t="s">
        <v>218</v>
      </c>
      <c r="BL174" s="54" t="s">
        <v>223</v>
      </c>
    </row>
    <row r="175" spans="35:64" x14ac:dyDescent="0.2">
      <c r="AI175" s="332"/>
      <c r="AT175" s="146"/>
      <c r="BA175" s="332"/>
      <c r="BL175" s="146"/>
    </row>
    <row r="176" spans="35:64" x14ac:dyDescent="0.2">
      <c r="AI176" s="332"/>
      <c r="AJ176" s="127" t="s">
        <v>221</v>
      </c>
      <c r="AK176" s="117" t="s">
        <v>14</v>
      </c>
      <c r="AL176" s="117" t="s">
        <v>15</v>
      </c>
      <c r="AM176" s="117" t="s">
        <v>29</v>
      </c>
      <c r="AN176" s="117" t="s">
        <v>16</v>
      </c>
      <c r="AO176" s="117" t="s">
        <v>59</v>
      </c>
      <c r="AP176" s="117" t="s">
        <v>17</v>
      </c>
      <c r="AQ176" s="15" t="s">
        <v>21</v>
      </c>
      <c r="AR176" s="118" t="s">
        <v>209</v>
      </c>
      <c r="AS176" s="123" t="s">
        <v>217</v>
      </c>
      <c r="AT176" s="54" t="s">
        <v>222</v>
      </c>
      <c r="BA176" s="332"/>
      <c r="BB176" s="127" t="s">
        <v>221</v>
      </c>
      <c r="BC176" s="117" t="s">
        <v>14</v>
      </c>
      <c r="BD176" s="117" t="s">
        <v>15</v>
      </c>
      <c r="BE176" s="117" t="s">
        <v>29</v>
      </c>
      <c r="BF176" s="117" t="s">
        <v>16</v>
      </c>
      <c r="BG176" s="117" t="s">
        <v>59</v>
      </c>
      <c r="BH176" s="117" t="s">
        <v>17</v>
      </c>
      <c r="BI176" s="15" t="s">
        <v>21</v>
      </c>
      <c r="BJ176" s="118" t="s">
        <v>209</v>
      </c>
      <c r="BK176" s="123" t="s">
        <v>217</v>
      </c>
      <c r="BL176" s="54" t="s">
        <v>222</v>
      </c>
    </row>
    <row r="177" spans="35:64" ht="16" thickBot="1" x14ac:dyDescent="0.25">
      <c r="AI177" s="333"/>
      <c r="AJ177" s="147" t="s">
        <v>226</v>
      </c>
      <c r="AK177" s="130">
        <v>8</v>
      </c>
      <c r="AL177" s="130">
        <v>1</v>
      </c>
      <c r="AM177" s="148" t="s">
        <v>30</v>
      </c>
      <c r="AN177" s="130" t="s">
        <v>181</v>
      </c>
      <c r="AO177" s="130" t="s">
        <v>60</v>
      </c>
      <c r="AP177" s="130">
        <v>0</v>
      </c>
      <c r="AQ177" s="149">
        <v>0.95</v>
      </c>
      <c r="AR177" s="56">
        <v>48.7</v>
      </c>
      <c r="AS177" s="150" t="s">
        <v>218</v>
      </c>
      <c r="AT177" s="43" t="s">
        <v>229</v>
      </c>
      <c r="BA177" s="333"/>
      <c r="BB177" s="147" t="s">
        <v>226</v>
      </c>
      <c r="BC177" s="130">
        <v>8</v>
      </c>
      <c r="BD177" s="130">
        <v>1</v>
      </c>
      <c r="BE177" s="148" t="s">
        <v>30</v>
      </c>
      <c r="BF177" s="130" t="s">
        <v>181</v>
      </c>
      <c r="BG177" s="130" t="s">
        <v>60</v>
      </c>
      <c r="BH177" s="130">
        <v>0</v>
      </c>
      <c r="BI177" s="149">
        <v>0.95</v>
      </c>
      <c r="BJ177" s="56">
        <v>48.7</v>
      </c>
      <c r="BK177" s="150" t="s">
        <v>218</v>
      </c>
      <c r="BL177" s="43" t="s">
        <v>229</v>
      </c>
    </row>
    <row r="178" spans="35:64" x14ac:dyDescent="0.2">
      <c r="AJ178" s="152" t="s">
        <v>238</v>
      </c>
      <c r="AL178" s="59" t="s">
        <v>230</v>
      </c>
      <c r="AM178" s="59" t="s">
        <v>231</v>
      </c>
      <c r="AN178" s="59" t="s">
        <v>232</v>
      </c>
      <c r="AO178" s="59" t="s">
        <v>233</v>
      </c>
      <c r="AP178" s="153" t="s">
        <v>234</v>
      </c>
      <c r="AQ178" s="59" t="s">
        <v>235</v>
      </c>
      <c r="AR178" s="59" t="s">
        <v>236</v>
      </c>
      <c r="AS178" s="154" t="s">
        <v>237</v>
      </c>
      <c r="BB178" s="152" t="s">
        <v>238</v>
      </c>
      <c r="BD178" s="59" t="s">
        <v>230</v>
      </c>
      <c r="BE178" s="59" t="s">
        <v>231</v>
      </c>
      <c r="BF178" s="59" t="s">
        <v>232</v>
      </c>
      <c r="BG178" s="59" t="s">
        <v>233</v>
      </c>
      <c r="BH178" s="153" t="s">
        <v>234</v>
      </c>
      <c r="BI178" s="59" t="s">
        <v>235</v>
      </c>
      <c r="BJ178" s="59" t="s">
        <v>236</v>
      </c>
      <c r="BK178" s="154" t="s">
        <v>237</v>
      </c>
    </row>
    <row r="179" spans="35:64" ht="16" thickBot="1" x14ac:dyDescent="0.25">
      <c r="AJ179" s="129" t="s">
        <v>239</v>
      </c>
      <c r="AK179" s="92"/>
      <c r="AL179" s="130" t="s">
        <v>240</v>
      </c>
      <c r="AM179" s="130" t="s">
        <v>241</v>
      </c>
      <c r="AN179" s="130" t="s">
        <v>242</v>
      </c>
      <c r="AO179" s="130" t="s">
        <v>243</v>
      </c>
      <c r="AP179" s="132" t="s">
        <v>244</v>
      </c>
      <c r="AQ179" s="130" t="s">
        <v>245</v>
      </c>
      <c r="AR179" s="130" t="s">
        <v>246</v>
      </c>
      <c r="AS179" s="131" t="s">
        <v>247</v>
      </c>
      <c r="BB179" s="129" t="s">
        <v>239</v>
      </c>
      <c r="BC179" s="92"/>
      <c r="BD179" s="130" t="s">
        <v>240</v>
      </c>
      <c r="BE179" s="130" t="s">
        <v>241</v>
      </c>
      <c r="BF179" s="130" t="s">
        <v>242</v>
      </c>
      <c r="BG179" s="130" t="s">
        <v>243</v>
      </c>
      <c r="BH179" s="132" t="s">
        <v>244</v>
      </c>
      <c r="BI179" s="130" t="s">
        <v>245</v>
      </c>
      <c r="BJ179" s="130" t="s">
        <v>246</v>
      </c>
      <c r="BK179" s="131" t="s">
        <v>247</v>
      </c>
    </row>
    <row r="180" spans="35:64" ht="16" thickBot="1" x14ac:dyDescent="0.25">
      <c r="AL180" s="133" t="s">
        <v>249</v>
      </c>
      <c r="AM180" s="133" t="s">
        <v>251</v>
      </c>
      <c r="AN180" s="133" t="s">
        <v>250</v>
      </c>
      <c r="AO180" s="133" t="s">
        <v>249</v>
      </c>
      <c r="AP180" s="2" t="s">
        <v>252</v>
      </c>
      <c r="AQ180" s="133" t="s">
        <v>249</v>
      </c>
      <c r="AR180" s="2">
        <v>-2.5</v>
      </c>
      <c r="AS180" s="133" t="s">
        <v>253</v>
      </c>
      <c r="BD180" s="133" t="s">
        <v>249</v>
      </c>
      <c r="BE180" s="133" t="s">
        <v>251</v>
      </c>
      <c r="BF180" s="133" t="s">
        <v>250</v>
      </c>
      <c r="BG180" s="133" t="s">
        <v>249</v>
      </c>
      <c r="BH180" s="2" t="s">
        <v>252</v>
      </c>
      <c r="BI180" s="133" t="s">
        <v>249</v>
      </c>
      <c r="BJ180" s="2">
        <v>-2.5</v>
      </c>
      <c r="BK180" s="133" t="s">
        <v>253</v>
      </c>
    </row>
    <row r="181" spans="35:64" ht="16" thickBot="1" x14ac:dyDescent="0.25">
      <c r="AJ181" s="134" t="s">
        <v>248</v>
      </c>
      <c r="AL181" s="15" t="s">
        <v>255</v>
      </c>
      <c r="AM181" s="15" t="s">
        <v>254</v>
      </c>
      <c r="AN181" s="15" t="s">
        <v>240</v>
      </c>
      <c r="AO181" s="15" t="s">
        <v>241</v>
      </c>
      <c r="AP181" s="15" t="s">
        <v>246</v>
      </c>
      <c r="AQ181" s="15" t="s">
        <v>241</v>
      </c>
      <c r="AR181" s="15" t="s">
        <v>240</v>
      </c>
      <c r="AS181" s="15" t="s">
        <v>256</v>
      </c>
      <c r="BB181" s="134" t="s">
        <v>248</v>
      </c>
      <c r="BD181" s="15" t="s">
        <v>255</v>
      </c>
      <c r="BE181" s="15" t="s">
        <v>254</v>
      </c>
      <c r="BF181" s="15" t="s">
        <v>240</v>
      </c>
      <c r="BG181" s="15" t="s">
        <v>241</v>
      </c>
      <c r="BH181" s="15" t="s">
        <v>246</v>
      </c>
      <c r="BI181" s="15" t="s">
        <v>241</v>
      </c>
      <c r="BJ181" s="15" t="s">
        <v>240</v>
      </c>
      <c r="BK181" s="15" t="s">
        <v>256</v>
      </c>
    </row>
    <row r="183" spans="35:64" ht="16" thickBot="1" x14ac:dyDescent="0.25"/>
    <row r="184" spans="35:64" x14ac:dyDescent="0.2">
      <c r="AJ184" s="155" t="s">
        <v>320</v>
      </c>
      <c r="AK184" s="143" t="s">
        <v>14</v>
      </c>
      <c r="AL184" s="143" t="s">
        <v>15</v>
      </c>
      <c r="AM184" s="143" t="s">
        <v>29</v>
      </c>
      <c r="AN184" s="143" t="s">
        <v>16</v>
      </c>
      <c r="AO184" s="143" t="s">
        <v>59</v>
      </c>
      <c r="AP184" s="143" t="s">
        <v>17</v>
      </c>
      <c r="AQ184" s="99" t="s">
        <v>21</v>
      </c>
      <c r="AR184" s="144" t="s">
        <v>209</v>
      </c>
      <c r="AS184" s="145" t="s">
        <v>217</v>
      </c>
      <c r="AT184" s="51" t="s">
        <v>224</v>
      </c>
      <c r="BB184" s="155" t="s">
        <v>320</v>
      </c>
      <c r="BC184" s="143" t="s">
        <v>14</v>
      </c>
      <c r="BD184" s="143" t="s">
        <v>15</v>
      </c>
      <c r="BE184" s="143" t="s">
        <v>29</v>
      </c>
      <c r="BF184" s="143" t="s">
        <v>16</v>
      </c>
      <c r="BG184" s="143" t="s">
        <v>59</v>
      </c>
      <c r="BH184" s="143" t="s">
        <v>17</v>
      </c>
      <c r="BI184" s="99" t="s">
        <v>21</v>
      </c>
      <c r="BJ184" s="144" t="s">
        <v>209</v>
      </c>
      <c r="BK184" s="145" t="s">
        <v>217</v>
      </c>
      <c r="BL184" s="51" t="s">
        <v>224</v>
      </c>
    </row>
    <row r="185" spans="35:64" x14ac:dyDescent="0.2">
      <c r="AJ185" s="156" t="s">
        <v>321</v>
      </c>
      <c r="AK185" s="15">
        <v>1</v>
      </c>
      <c r="AL185" s="15">
        <v>3</v>
      </c>
      <c r="AM185" s="128" t="s">
        <v>30</v>
      </c>
      <c r="AN185" s="15" t="s">
        <v>322</v>
      </c>
      <c r="AO185" s="128" t="s">
        <v>30</v>
      </c>
      <c r="AP185" s="15">
        <v>0</v>
      </c>
      <c r="AQ185" s="119">
        <v>0.95</v>
      </c>
      <c r="AR185" s="42">
        <v>48.7</v>
      </c>
      <c r="AS185" s="126" t="s">
        <v>325</v>
      </c>
      <c r="AT185" s="54" t="s">
        <v>225</v>
      </c>
      <c r="BB185" s="156" t="s">
        <v>321</v>
      </c>
      <c r="BC185" s="15">
        <v>1</v>
      </c>
      <c r="BD185" s="15">
        <v>3</v>
      </c>
      <c r="BE185" s="128" t="s">
        <v>30</v>
      </c>
      <c r="BF185" s="15" t="s">
        <v>322</v>
      </c>
      <c r="BG185" s="128" t="s">
        <v>30</v>
      </c>
      <c r="BH185" s="15">
        <v>0</v>
      </c>
      <c r="BI185" s="119">
        <v>0.95</v>
      </c>
      <c r="BJ185" s="42">
        <v>48.7</v>
      </c>
      <c r="BK185" s="126" t="s">
        <v>325</v>
      </c>
      <c r="BL185" s="54" t="s">
        <v>225</v>
      </c>
    </row>
    <row r="186" spans="35:64" ht="16" thickBot="1" x14ac:dyDescent="0.25">
      <c r="AJ186" s="157" t="s">
        <v>323</v>
      </c>
      <c r="AK186" s="130">
        <v>1</v>
      </c>
      <c r="AL186" s="130">
        <v>1</v>
      </c>
      <c r="AM186" s="148" t="s">
        <v>260</v>
      </c>
      <c r="AN186" s="130" t="s">
        <v>181</v>
      </c>
      <c r="AO186" s="148" t="s">
        <v>30</v>
      </c>
      <c r="AP186" s="130">
        <v>0</v>
      </c>
      <c r="AQ186" s="149">
        <v>0.95</v>
      </c>
      <c r="AR186" s="56">
        <v>48.7</v>
      </c>
      <c r="AS186" s="150" t="s">
        <v>324</v>
      </c>
      <c r="AT186" s="43" t="s">
        <v>225</v>
      </c>
      <c r="BB186" s="157" t="s">
        <v>323</v>
      </c>
      <c r="BC186" s="130">
        <v>1</v>
      </c>
      <c r="BD186" s="130">
        <v>1</v>
      </c>
      <c r="BE186" s="148" t="s">
        <v>260</v>
      </c>
      <c r="BF186" s="130" t="s">
        <v>181</v>
      </c>
      <c r="BG186" s="148" t="s">
        <v>30</v>
      </c>
      <c r="BH186" s="130">
        <v>0</v>
      </c>
      <c r="BI186" s="149">
        <v>0.95</v>
      </c>
      <c r="BJ186" s="56">
        <v>48.7</v>
      </c>
      <c r="BK186" s="150" t="s">
        <v>324</v>
      </c>
      <c r="BL186" s="43" t="s">
        <v>225</v>
      </c>
    </row>
    <row r="188" spans="35:64" x14ac:dyDescent="0.2">
      <c r="AJ188" s="127" t="s">
        <v>326</v>
      </c>
      <c r="AK188" s="117" t="s">
        <v>14</v>
      </c>
      <c r="AL188" s="117" t="s">
        <v>15</v>
      </c>
      <c r="AM188" s="117" t="s">
        <v>29</v>
      </c>
      <c r="AN188" s="117" t="s">
        <v>16</v>
      </c>
      <c r="AO188" s="117" t="s">
        <v>59</v>
      </c>
      <c r="AP188" s="117" t="s">
        <v>17</v>
      </c>
      <c r="AQ188" s="15" t="s">
        <v>21</v>
      </c>
      <c r="AR188" s="118" t="s">
        <v>209</v>
      </c>
      <c r="AS188" s="123" t="s">
        <v>217</v>
      </c>
      <c r="AT188" s="42" t="s">
        <v>224</v>
      </c>
      <c r="BB188" s="127" t="s">
        <v>326</v>
      </c>
      <c r="BC188" s="117" t="s">
        <v>14</v>
      </c>
      <c r="BD188" s="117" t="s">
        <v>15</v>
      </c>
      <c r="BE188" s="117" t="s">
        <v>29</v>
      </c>
      <c r="BF188" s="117" t="s">
        <v>16</v>
      </c>
      <c r="BG188" s="117" t="s">
        <v>59</v>
      </c>
      <c r="BH188" s="117" t="s">
        <v>17</v>
      </c>
      <c r="BI188" s="15" t="s">
        <v>21</v>
      </c>
      <c r="BJ188" s="118" t="s">
        <v>209</v>
      </c>
      <c r="BK188" s="123" t="s">
        <v>217</v>
      </c>
      <c r="BL188" s="42" t="s">
        <v>224</v>
      </c>
    </row>
    <row r="189" spans="35:64" x14ac:dyDescent="0.2">
      <c r="AJ189" s="42" t="s">
        <v>327</v>
      </c>
      <c r="AK189" s="15">
        <v>3</v>
      </c>
      <c r="AL189" s="15">
        <v>4</v>
      </c>
      <c r="AM189" s="128" t="s">
        <v>30</v>
      </c>
      <c r="AN189" s="15" t="s">
        <v>282</v>
      </c>
      <c r="AO189" s="128" t="s">
        <v>181</v>
      </c>
      <c r="AP189" s="15">
        <v>0</v>
      </c>
      <c r="AQ189" s="119">
        <v>0.5</v>
      </c>
      <c r="AR189" s="42">
        <v>48.7</v>
      </c>
      <c r="AS189" s="126" t="s">
        <v>324</v>
      </c>
      <c r="AT189" s="42" t="s">
        <v>225</v>
      </c>
      <c r="BB189" s="42" t="s">
        <v>327</v>
      </c>
      <c r="BC189" s="15">
        <v>3</v>
      </c>
      <c r="BD189" s="15">
        <v>4</v>
      </c>
      <c r="BE189" s="128" t="s">
        <v>30</v>
      </c>
      <c r="BF189" s="15" t="s">
        <v>282</v>
      </c>
      <c r="BG189" s="128" t="s">
        <v>181</v>
      </c>
      <c r="BH189" s="15">
        <v>0</v>
      </c>
      <c r="BI189" s="119">
        <v>0.5</v>
      </c>
      <c r="BJ189" s="42">
        <v>48.7</v>
      </c>
      <c r="BK189" s="126" t="s">
        <v>324</v>
      </c>
      <c r="BL189" s="42" t="s">
        <v>225</v>
      </c>
    </row>
    <row r="191" spans="35:64" x14ac:dyDescent="0.2">
      <c r="AJ191" s="127" t="s">
        <v>221</v>
      </c>
      <c r="AK191" s="117" t="s">
        <v>14</v>
      </c>
      <c r="AL191" s="117" t="s">
        <v>15</v>
      </c>
      <c r="AM191" s="117" t="s">
        <v>29</v>
      </c>
      <c r="AN191" s="117" t="s">
        <v>16</v>
      </c>
      <c r="AO191" s="117" t="s">
        <v>59</v>
      </c>
      <c r="AP191" s="117" t="s">
        <v>17</v>
      </c>
      <c r="AQ191" s="15" t="s">
        <v>21</v>
      </c>
      <c r="AR191" s="118" t="s">
        <v>209</v>
      </c>
      <c r="AS191" s="123" t="s">
        <v>217</v>
      </c>
      <c r="AT191" s="42" t="s">
        <v>224</v>
      </c>
      <c r="BB191" s="127" t="s">
        <v>221</v>
      </c>
      <c r="BC191" s="117" t="s">
        <v>14</v>
      </c>
      <c r="BD191" s="117" t="s">
        <v>15</v>
      </c>
      <c r="BE191" s="117" t="s">
        <v>29</v>
      </c>
      <c r="BF191" s="117" t="s">
        <v>16</v>
      </c>
      <c r="BG191" s="117" t="s">
        <v>59</v>
      </c>
      <c r="BH191" s="117" t="s">
        <v>17</v>
      </c>
      <c r="BI191" s="15" t="s">
        <v>21</v>
      </c>
      <c r="BJ191" s="118" t="s">
        <v>209</v>
      </c>
      <c r="BK191" s="123" t="s">
        <v>217</v>
      </c>
      <c r="BL191" s="42" t="s">
        <v>224</v>
      </c>
    </row>
    <row r="192" spans="35:64" x14ac:dyDescent="0.2">
      <c r="AJ192" s="42" t="s">
        <v>329</v>
      </c>
      <c r="AK192" s="15">
        <v>5</v>
      </c>
      <c r="AL192" s="15">
        <v>2</v>
      </c>
      <c r="AM192" s="128" t="s">
        <v>30</v>
      </c>
      <c r="AN192" s="15" t="s">
        <v>282</v>
      </c>
      <c r="AO192" s="128" t="s">
        <v>181</v>
      </c>
      <c r="AP192" s="15">
        <v>0</v>
      </c>
      <c r="AQ192" s="119">
        <v>0.5</v>
      </c>
      <c r="AR192" s="42">
        <v>48.7</v>
      </c>
      <c r="AS192" s="126" t="s">
        <v>218</v>
      </c>
      <c r="AT192" s="42" t="s">
        <v>292</v>
      </c>
      <c r="BB192" s="42" t="s">
        <v>329</v>
      </c>
      <c r="BC192" s="15">
        <v>5</v>
      </c>
      <c r="BD192" s="15">
        <v>2</v>
      </c>
      <c r="BE192" s="128" t="s">
        <v>30</v>
      </c>
      <c r="BF192" s="15" t="s">
        <v>282</v>
      </c>
      <c r="BG192" s="128" t="s">
        <v>181</v>
      </c>
      <c r="BH192" s="15">
        <v>0</v>
      </c>
      <c r="BI192" s="119">
        <v>0.5</v>
      </c>
      <c r="BJ192" s="42">
        <v>48.7</v>
      </c>
      <c r="BK192" s="126" t="s">
        <v>218</v>
      </c>
      <c r="BL192" s="42" t="s">
        <v>292</v>
      </c>
    </row>
    <row r="220" ht="14.5" customHeight="1" x14ac:dyDescent="0.2"/>
  </sheetData>
  <mergeCells count="2">
    <mergeCell ref="AI173:AI177"/>
    <mergeCell ref="BA173:BA177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4B252-96EC-4189-81FC-267E9978E5D6}">
  <dimension ref="A3:AH52"/>
  <sheetViews>
    <sheetView topLeftCell="A5" zoomScale="75" workbookViewId="0">
      <selection activeCell="J57" sqref="J57"/>
    </sheetView>
  </sheetViews>
  <sheetFormatPr baseColWidth="10" defaultColWidth="8.83203125" defaultRowHeight="15" x14ac:dyDescent="0.2"/>
  <cols>
    <col min="1" max="1" width="15.1640625" bestFit="1" customWidth="1"/>
    <col min="2" max="2" width="10.6640625" bestFit="1" customWidth="1"/>
    <col min="3" max="3" width="10.1640625" customWidth="1"/>
    <col min="5" max="5" width="11.33203125" bestFit="1" customWidth="1"/>
    <col min="6" max="6" width="9.6640625" customWidth="1"/>
    <col min="7" max="7" width="9.6640625" bestFit="1" customWidth="1"/>
    <col min="12" max="12" width="2.83203125" bestFit="1" customWidth="1"/>
    <col min="16" max="16" width="7.1640625" bestFit="1" customWidth="1"/>
    <col min="17" max="17" width="7.33203125" bestFit="1" customWidth="1"/>
    <col min="18" max="18" width="8" customWidth="1"/>
    <col min="21" max="21" width="7.33203125" bestFit="1" customWidth="1"/>
    <col min="22" max="22" width="5.83203125" bestFit="1" customWidth="1"/>
    <col min="24" max="24" width="10.5" bestFit="1" customWidth="1"/>
    <col min="25" max="25" width="7.83203125" bestFit="1" customWidth="1"/>
  </cols>
  <sheetData>
    <row r="3" spans="1:32" x14ac:dyDescent="0.2">
      <c r="B3" s="18" t="s">
        <v>73</v>
      </c>
      <c r="C3" t="s">
        <v>74</v>
      </c>
    </row>
    <row r="4" spans="1:32" x14ac:dyDescent="0.2">
      <c r="B4" s="18" t="s">
        <v>75</v>
      </c>
      <c r="C4" t="s">
        <v>76</v>
      </c>
    </row>
    <row r="6" spans="1:32" x14ac:dyDescent="0.2">
      <c r="B6" s="19" t="s">
        <v>337</v>
      </c>
      <c r="C6" s="19" t="s">
        <v>338</v>
      </c>
      <c r="D6" s="19" t="s">
        <v>339</v>
      </c>
      <c r="E6" s="19" t="s">
        <v>340</v>
      </c>
      <c r="F6" s="19" t="s">
        <v>341</v>
      </c>
      <c r="G6" s="19" t="s">
        <v>342</v>
      </c>
      <c r="H6" s="19" t="s">
        <v>343</v>
      </c>
    </row>
    <row r="7" spans="1:32" ht="16" thickBot="1" x14ac:dyDescent="0.25">
      <c r="B7" s="20" t="s">
        <v>77</v>
      </c>
      <c r="C7" s="21" t="s">
        <v>78</v>
      </c>
      <c r="D7" s="21" t="s">
        <v>78</v>
      </c>
      <c r="E7" s="21" t="s">
        <v>78</v>
      </c>
      <c r="F7" s="22" t="s">
        <v>79</v>
      </c>
      <c r="G7" s="23" t="s">
        <v>80</v>
      </c>
      <c r="H7" s="24" t="s">
        <v>81</v>
      </c>
    </row>
    <row r="8" spans="1:32" ht="16" thickBot="1" x14ac:dyDescent="0.25">
      <c r="B8" s="25" t="s">
        <v>83</v>
      </c>
      <c r="C8" s="25"/>
      <c r="D8" s="25"/>
      <c r="E8" s="25"/>
      <c r="F8" s="25"/>
      <c r="G8" s="25" t="s">
        <v>84</v>
      </c>
      <c r="H8" s="25"/>
      <c r="Y8" s="183" t="s">
        <v>160</v>
      </c>
      <c r="Z8" s="311">
        <v>45962</v>
      </c>
    </row>
    <row r="9" spans="1:32" x14ac:dyDescent="0.2">
      <c r="Y9" s="187" t="s">
        <v>416</v>
      </c>
      <c r="Z9" s="203" t="s">
        <v>354</v>
      </c>
    </row>
    <row r="10" spans="1:32" x14ac:dyDescent="0.2">
      <c r="B10" s="18" t="s">
        <v>87</v>
      </c>
      <c r="Y10" t="s">
        <v>414</v>
      </c>
      <c r="Z10" t="s">
        <v>414</v>
      </c>
    </row>
    <row r="11" spans="1:32" ht="16" thickBot="1" x14ac:dyDescent="0.25">
      <c r="Y11" s="185"/>
      <c r="Z11" t="s">
        <v>413</v>
      </c>
      <c r="AC11" t="s">
        <v>418</v>
      </c>
    </row>
    <row r="12" spans="1:32" ht="17" thickBot="1" x14ac:dyDescent="0.25">
      <c r="A12" s="26" t="s">
        <v>90</v>
      </c>
      <c r="B12" s="26" t="s">
        <v>85</v>
      </c>
      <c r="C12" s="26" t="s">
        <v>78</v>
      </c>
      <c r="D12" s="26" t="s">
        <v>79</v>
      </c>
      <c r="E12" s="26" t="s">
        <v>91</v>
      </c>
      <c r="F12" s="26" t="s">
        <v>81</v>
      </c>
      <c r="G12" s="26" t="s">
        <v>92</v>
      </c>
      <c r="K12" s="183" t="s">
        <v>160</v>
      </c>
      <c r="Q12" s="337" t="s">
        <v>344</v>
      </c>
      <c r="R12" s="338"/>
      <c r="Y12" s="186"/>
      <c r="Z12" t="s">
        <v>417</v>
      </c>
      <c r="AC12" s="337" t="s">
        <v>344</v>
      </c>
      <c r="AD12" s="338"/>
      <c r="AE12" t="s">
        <v>243</v>
      </c>
    </row>
    <row r="13" spans="1:32" ht="16" thickBot="1" x14ac:dyDescent="0.25">
      <c r="A13" t="s">
        <v>94</v>
      </c>
      <c r="B13" s="27" t="s">
        <v>95</v>
      </c>
      <c r="C13" s="27" t="s">
        <v>96</v>
      </c>
      <c r="D13" s="27" t="s">
        <v>95</v>
      </c>
      <c r="E13" s="27" t="s">
        <v>97</v>
      </c>
      <c r="F13" s="27" t="s">
        <v>98</v>
      </c>
      <c r="G13" s="27" t="s">
        <v>95</v>
      </c>
      <c r="K13" s="187" t="s">
        <v>416</v>
      </c>
      <c r="L13" s="203" t="s">
        <v>354</v>
      </c>
    </row>
    <row r="14" spans="1:32" x14ac:dyDescent="0.2">
      <c r="B14" s="28" t="s">
        <v>101</v>
      </c>
      <c r="C14" s="28" t="s">
        <v>101</v>
      </c>
      <c r="D14" s="28" t="s">
        <v>101</v>
      </c>
      <c r="E14" s="28" t="s">
        <v>101</v>
      </c>
      <c r="F14" s="28" t="s">
        <v>101</v>
      </c>
      <c r="G14" s="28" t="s">
        <v>101</v>
      </c>
      <c r="K14" t="s">
        <v>414</v>
      </c>
      <c r="L14" t="s">
        <v>414</v>
      </c>
      <c r="P14" s="180" t="s">
        <v>349</v>
      </c>
      <c r="Q14" s="181"/>
      <c r="R14" s="51"/>
      <c r="S14" s="201">
        <v>717</v>
      </c>
      <c r="AA14" s="249" t="s">
        <v>243</v>
      </c>
      <c r="AB14" s="180" t="s">
        <v>349</v>
      </c>
      <c r="AC14" s="181"/>
      <c r="AD14" s="51"/>
      <c r="AE14" t="s">
        <v>67</v>
      </c>
    </row>
    <row r="15" spans="1:32" ht="16" thickBot="1" x14ac:dyDescent="0.25">
      <c r="K15" s="185"/>
      <c r="L15" t="s">
        <v>413</v>
      </c>
      <c r="P15" s="182" t="s">
        <v>348</v>
      </c>
      <c r="Q15" s="157"/>
      <c r="R15" s="43"/>
      <c r="S15" s="202">
        <v>700</v>
      </c>
      <c r="AA15" s="249" t="s">
        <v>245</v>
      </c>
      <c r="AB15" s="182" t="s">
        <v>348</v>
      </c>
      <c r="AC15" s="157"/>
      <c r="AD15" s="43"/>
      <c r="AE15" t="s">
        <v>67</v>
      </c>
    </row>
    <row r="16" spans="1:32" x14ac:dyDescent="0.2">
      <c r="A16" s="29" t="s">
        <v>104</v>
      </c>
      <c r="B16" s="30" t="s">
        <v>105</v>
      </c>
      <c r="C16" s="30" t="s">
        <v>106</v>
      </c>
      <c r="D16" s="30" t="s">
        <v>107</v>
      </c>
      <c r="E16" s="30"/>
      <c r="F16" s="30" t="s">
        <v>108</v>
      </c>
      <c r="G16" s="30" t="s">
        <v>109</v>
      </c>
      <c r="H16" s="31" t="s">
        <v>110</v>
      </c>
      <c r="K16" s="186"/>
      <c r="L16" t="s">
        <v>417</v>
      </c>
      <c r="O16" s="180" t="s">
        <v>347</v>
      </c>
      <c r="P16" s="181"/>
      <c r="Q16" s="50"/>
      <c r="R16" s="50"/>
      <c r="S16" s="51"/>
      <c r="T16" s="201">
        <v>667</v>
      </c>
      <c r="AA16" s="180" t="s">
        <v>347</v>
      </c>
      <c r="AB16" s="181"/>
      <c r="AC16" s="50"/>
      <c r="AD16" s="50"/>
      <c r="AE16" s="51"/>
      <c r="AF16" t="s">
        <v>63</v>
      </c>
    </row>
    <row r="17" spans="1:34" ht="16" thickBot="1" x14ac:dyDescent="0.25">
      <c r="A17" s="32"/>
      <c r="C17" t="s">
        <v>105</v>
      </c>
      <c r="D17" t="s">
        <v>105</v>
      </c>
      <c r="F17" t="s">
        <v>111</v>
      </c>
      <c r="G17" t="s">
        <v>108</v>
      </c>
      <c r="H17" s="33"/>
      <c r="P17" s="157"/>
      <c r="Q17" s="56"/>
      <c r="R17" s="56"/>
      <c r="S17" s="43"/>
      <c r="T17" s="202">
        <v>683</v>
      </c>
      <c r="AA17" s="249" t="s">
        <v>242</v>
      </c>
      <c r="AB17" s="317"/>
      <c r="AC17" s="105"/>
      <c r="AD17" s="105"/>
      <c r="AE17" s="44"/>
      <c r="AF17" t="s">
        <v>63</v>
      </c>
    </row>
    <row r="18" spans="1:34" x14ac:dyDescent="0.2">
      <c r="A18" s="34"/>
      <c r="B18" s="35" t="s">
        <v>112</v>
      </c>
      <c r="C18" s="35" t="s">
        <v>113</v>
      </c>
      <c r="D18" s="35" t="s">
        <v>114</v>
      </c>
      <c r="E18" s="35" t="s">
        <v>115</v>
      </c>
      <c r="F18" s="35" t="s">
        <v>116</v>
      </c>
      <c r="G18" s="35" t="s">
        <v>117</v>
      </c>
      <c r="H18" s="36"/>
      <c r="N18" s="180" t="s">
        <v>346</v>
      </c>
      <c r="O18" s="188">
        <v>45665</v>
      </c>
      <c r="P18" s="189">
        <v>45665</v>
      </c>
      <c r="Q18" s="215">
        <v>45718</v>
      </c>
      <c r="R18" s="189">
        <v>45721</v>
      </c>
      <c r="S18" s="189">
        <v>45721</v>
      </c>
      <c r="T18" s="248">
        <v>45771</v>
      </c>
      <c r="U18" s="201">
        <v>633</v>
      </c>
      <c r="Z18" s="180" t="s">
        <v>346</v>
      </c>
      <c r="AA18" s="320"/>
      <c r="AB18" s="318"/>
      <c r="AC18" s="251"/>
      <c r="AD18" s="250"/>
      <c r="AE18" s="250"/>
      <c r="AF18" s="252"/>
      <c r="AG18" t="s">
        <v>412</v>
      </c>
    </row>
    <row r="19" spans="1:34" ht="16" thickBot="1" x14ac:dyDescent="0.25">
      <c r="A19" s="37" t="s">
        <v>118</v>
      </c>
      <c r="B19" s="38" t="s">
        <v>119</v>
      </c>
      <c r="C19" s="38" t="s">
        <v>120</v>
      </c>
      <c r="D19" s="38" t="s">
        <v>119</v>
      </c>
      <c r="E19" s="38" t="s">
        <v>121</v>
      </c>
      <c r="F19" s="38" t="s">
        <v>121</v>
      </c>
      <c r="G19" s="39" t="s">
        <v>121</v>
      </c>
      <c r="O19" s="286">
        <v>45889</v>
      </c>
      <c r="P19" s="287">
        <v>45888</v>
      </c>
      <c r="Q19" s="286">
        <v>45888</v>
      </c>
      <c r="R19" s="286">
        <v>45888</v>
      </c>
      <c r="S19" s="288">
        <v>45885</v>
      </c>
      <c r="T19" s="44"/>
      <c r="U19" s="224">
        <v>650</v>
      </c>
      <c r="Z19" s="249" t="s">
        <v>247</v>
      </c>
      <c r="AA19" s="261"/>
      <c r="AB19" s="225"/>
      <c r="AC19" s="312"/>
      <c r="AD19" s="312"/>
      <c r="AE19" s="312"/>
      <c r="AF19" s="319"/>
      <c r="AG19" t="s">
        <v>412</v>
      </c>
    </row>
    <row r="20" spans="1:34" x14ac:dyDescent="0.2">
      <c r="A20" s="37" t="s">
        <v>122</v>
      </c>
      <c r="B20" s="38" t="s">
        <v>121</v>
      </c>
      <c r="C20" s="38" t="s">
        <v>123</v>
      </c>
      <c r="D20" s="38" t="s">
        <v>120</v>
      </c>
      <c r="E20" s="38" t="s">
        <v>120</v>
      </c>
      <c r="F20" s="38" t="s">
        <v>120</v>
      </c>
      <c r="G20" s="39" t="s">
        <v>124</v>
      </c>
      <c r="M20" s="180" t="s">
        <v>345</v>
      </c>
      <c r="N20" s="289">
        <v>45885</v>
      </c>
      <c r="O20" s="290">
        <v>45885</v>
      </c>
      <c r="P20" s="291">
        <v>45885</v>
      </c>
      <c r="Q20" s="290">
        <v>45885</v>
      </c>
      <c r="R20" s="290">
        <v>45889</v>
      </c>
      <c r="S20" s="291">
        <v>45889</v>
      </c>
      <c r="T20" s="291">
        <v>45889</v>
      </c>
      <c r="U20" s="292">
        <v>45889</v>
      </c>
      <c r="V20" s="223">
        <v>600</v>
      </c>
      <c r="Y20" s="180" t="s">
        <v>345</v>
      </c>
      <c r="Z20" s="313"/>
      <c r="AA20" s="290"/>
      <c r="AB20" s="291"/>
      <c r="AC20" s="290"/>
      <c r="AD20" s="290"/>
      <c r="AE20" s="291"/>
      <c r="AF20" s="291"/>
      <c r="AG20" s="315"/>
      <c r="AH20" t="s">
        <v>411</v>
      </c>
    </row>
    <row r="21" spans="1:34" ht="16" thickBot="1" x14ac:dyDescent="0.25">
      <c r="A21" s="37" t="s">
        <v>125</v>
      </c>
      <c r="B21" s="38" t="s">
        <v>119</v>
      </c>
      <c r="C21" s="38" t="s">
        <v>120</v>
      </c>
      <c r="D21" s="38" t="s">
        <v>119</v>
      </c>
      <c r="E21" s="38" t="s">
        <v>121</v>
      </c>
      <c r="F21" s="38" t="s">
        <v>126</v>
      </c>
      <c r="G21" s="39" t="s">
        <v>121</v>
      </c>
      <c r="N21" s="194">
        <v>45700</v>
      </c>
      <c r="O21" s="200">
        <v>45714</v>
      </c>
      <c r="P21" s="199">
        <v>45714</v>
      </c>
      <c r="Q21" s="199">
        <v>45718</v>
      </c>
      <c r="R21" s="225">
        <v>45721</v>
      </c>
      <c r="S21" s="225">
        <v>45721</v>
      </c>
      <c r="T21" s="260">
        <v>45761</v>
      </c>
      <c r="U21" s="260">
        <v>45761</v>
      </c>
      <c r="V21" s="167">
        <v>617</v>
      </c>
      <c r="Z21" s="314"/>
      <c r="AA21" s="200"/>
      <c r="AB21" s="199"/>
      <c r="AC21" s="199"/>
      <c r="AD21" s="225"/>
      <c r="AE21" s="225"/>
      <c r="AF21" s="200"/>
      <c r="AG21" s="316"/>
    </row>
    <row r="22" spans="1:34" ht="16" thickBot="1" x14ac:dyDescent="0.25"/>
    <row r="23" spans="1:34" ht="16" thickBot="1" x14ac:dyDescent="0.25">
      <c r="K23" s="184" t="s">
        <v>224</v>
      </c>
      <c r="Y23" s="184" t="s">
        <v>224</v>
      </c>
      <c r="Z23" s="311">
        <v>45962</v>
      </c>
    </row>
    <row r="24" spans="1:34" ht="16" thickBot="1" x14ac:dyDescent="0.25"/>
    <row r="25" spans="1:34" x14ac:dyDescent="0.2">
      <c r="P25" s="180" t="s">
        <v>243</v>
      </c>
      <c r="Q25" s="181"/>
      <c r="R25" s="51"/>
      <c r="S25" t="s">
        <v>67</v>
      </c>
      <c r="AA25" s="249" t="s">
        <v>243</v>
      </c>
      <c r="AB25" s="180" t="s">
        <v>349</v>
      </c>
      <c r="AC25" s="181"/>
      <c r="AD25" s="51"/>
      <c r="AE25" t="s">
        <v>67</v>
      </c>
    </row>
    <row r="26" spans="1:34" ht="16" thickBot="1" x14ac:dyDescent="0.25">
      <c r="P26" s="182" t="s">
        <v>245</v>
      </c>
      <c r="Q26" s="157"/>
      <c r="R26" s="43"/>
      <c r="S26" t="s">
        <v>67</v>
      </c>
      <c r="AA26" s="249" t="s">
        <v>245</v>
      </c>
      <c r="AB26" s="182" t="s">
        <v>348</v>
      </c>
      <c r="AC26" s="157"/>
      <c r="AD26" s="43"/>
      <c r="AE26" t="s">
        <v>67</v>
      </c>
    </row>
    <row r="27" spans="1:34" x14ac:dyDescent="0.2">
      <c r="B27" t="s">
        <v>82</v>
      </c>
      <c r="O27" s="180" t="s">
        <v>347</v>
      </c>
      <c r="P27" s="181"/>
      <c r="Q27" s="50"/>
      <c r="R27" s="50"/>
      <c r="S27" s="51"/>
      <c r="T27" t="s">
        <v>63</v>
      </c>
      <c r="AA27" s="180" t="s">
        <v>347</v>
      </c>
      <c r="AB27" s="181"/>
      <c r="AC27" s="50"/>
      <c r="AD27" s="50"/>
      <c r="AE27" s="51"/>
      <c r="AF27" t="s">
        <v>63</v>
      </c>
    </row>
    <row r="28" spans="1:34" ht="16" thickBot="1" x14ac:dyDescent="0.25">
      <c r="P28" s="157"/>
      <c r="Q28" s="56"/>
      <c r="R28" s="241"/>
      <c r="S28" s="43"/>
      <c r="T28" t="s">
        <v>63</v>
      </c>
      <c r="AA28" s="249" t="s">
        <v>242</v>
      </c>
      <c r="AB28" s="317"/>
      <c r="AC28" s="105"/>
      <c r="AD28" s="105"/>
      <c r="AE28" s="44"/>
      <c r="AF28" t="s">
        <v>63</v>
      </c>
    </row>
    <row r="29" spans="1:34" x14ac:dyDescent="0.2">
      <c r="B29" t="s">
        <v>85</v>
      </c>
      <c r="D29" t="s">
        <v>86</v>
      </c>
      <c r="N29" s="180" t="s">
        <v>346</v>
      </c>
      <c r="O29" s="188">
        <v>45659</v>
      </c>
      <c r="P29" s="189">
        <v>45659</v>
      </c>
      <c r="Q29" s="189">
        <v>45659</v>
      </c>
      <c r="R29" s="189">
        <v>45728</v>
      </c>
      <c r="S29" s="189">
        <v>45748</v>
      </c>
      <c r="T29" s="189">
        <v>45748</v>
      </c>
      <c r="U29" t="s">
        <v>412</v>
      </c>
      <c r="Z29" s="180" t="s">
        <v>346</v>
      </c>
      <c r="AA29" s="320"/>
      <c r="AB29" s="318"/>
      <c r="AC29" s="251"/>
      <c r="AD29" s="250"/>
      <c r="AE29" s="250"/>
      <c r="AF29" s="252"/>
      <c r="AG29" t="s">
        <v>412</v>
      </c>
    </row>
    <row r="30" spans="1:34" ht="16" thickBot="1" x14ac:dyDescent="0.25">
      <c r="B30" t="s">
        <v>78</v>
      </c>
      <c r="D30" t="s">
        <v>88</v>
      </c>
      <c r="N30" s="179"/>
      <c r="O30" s="261">
        <v>45755</v>
      </c>
      <c r="P30" s="56"/>
      <c r="Q30" s="56"/>
      <c r="R30" s="56"/>
      <c r="S30" s="56"/>
      <c r="T30" s="43"/>
      <c r="U30" s="179" t="s">
        <v>412</v>
      </c>
      <c r="Z30" s="249" t="s">
        <v>247</v>
      </c>
      <c r="AA30" s="261"/>
      <c r="AB30" s="225"/>
      <c r="AC30" s="312"/>
      <c r="AD30" s="312"/>
      <c r="AE30" s="312"/>
      <c r="AF30" s="319"/>
      <c r="AG30" t="s">
        <v>412</v>
      </c>
    </row>
    <row r="31" spans="1:34" x14ac:dyDescent="0.2">
      <c r="B31" t="s">
        <v>79</v>
      </c>
      <c r="D31" t="s">
        <v>89</v>
      </c>
      <c r="M31" s="180" t="s">
        <v>345</v>
      </c>
      <c r="N31" s="190">
        <v>45659</v>
      </c>
      <c r="O31" s="191">
        <v>45659</v>
      </c>
      <c r="P31" s="191">
        <v>45688</v>
      </c>
      <c r="Q31" s="191">
        <v>45688</v>
      </c>
      <c r="R31" s="191">
        <v>45728</v>
      </c>
      <c r="S31" s="191">
        <v>45728</v>
      </c>
      <c r="T31" s="192">
        <v>45729</v>
      </c>
      <c r="U31" s="193">
        <v>45729</v>
      </c>
      <c r="V31" t="s">
        <v>415</v>
      </c>
      <c r="Y31" s="180" t="s">
        <v>345</v>
      </c>
      <c r="Z31" s="313"/>
      <c r="AA31" s="290"/>
      <c r="AB31" s="291"/>
      <c r="AC31" s="290"/>
      <c r="AD31" s="290"/>
      <c r="AE31" s="291"/>
      <c r="AF31" s="291"/>
      <c r="AG31" s="315"/>
      <c r="AH31" t="s">
        <v>411</v>
      </c>
    </row>
    <row r="32" spans="1:34" ht="16" thickBot="1" x14ac:dyDescent="0.25">
      <c r="B32" t="s">
        <v>91</v>
      </c>
      <c r="D32" t="s">
        <v>93</v>
      </c>
      <c r="N32" s="194">
        <v>45729</v>
      </c>
      <c r="O32" s="199">
        <v>45729</v>
      </c>
      <c r="P32" s="200">
        <v>45736</v>
      </c>
      <c r="Q32" s="200">
        <v>45736</v>
      </c>
      <c r="R32" s="199">
        <v>45755</v>
      </c>
      <c r="S32" s="130"/>
      <c r="T32" s="130"/>
      <c r="U32" s="131"/>
      <c r="V32" t="s">
        <v>415</v>
      </c>
      <c r="Z32" s="314"/>
      <c r="AA32" s="200"/>
      <c r="AB32" s="199"/>
      <c r="AC32" s="199"/>
      <c r="AD32" s="225"/>
      <c r="AE32" s="225"/>
      <c r="AF32" s="200"/>
      <c r="AG32" s="316"/>
    </row>
    <row r="33" spans="1:29" x14ac:dyDescent="0.2">
      <c r="B33" t="s">
        <v>99</v>
      </c>
      <c r="D33" t="s">
        <v>100</v>
      </c>
    </row>
    <row r="34" spans="1:29" x14ac:dyDescent="0.2">
      <c r="B34" t="s">
        <v>102</v>
      </c>
      <c r="D34" t="s">
        <v>103</v>
      </c>
      <c r="N34" s="28">
        <v>45659</v>
      </c>
      <c r="O34" t="s">
        <v>350</v>
      </c>
    </row>
    <row r="37" spans="1:29" ht="16" x14ac:dyDescent="0.2">
      <c r="M37" s="247" t="s">
        <v>407</v>
      </c>
      <c r="X37" s="247" t="s">
        <v>407</v>
      </c>
    </row>
    <row r="38" spans="1:29" ht="16" thickBot="1" x14ac:dyDescent="0.25">
      <c r="A38" s="336" t="s">
        <v>397</v>
      </c>
      <c r="B38" s="336"/>
      <c r="C38" s="336"/>
      <c r="F38" s="336" t="s">
        <v>403</v>
      </c>
      <c r="G38" s="336"/>
      <c r="H38" s="336"/>
      <c r="I38" s="336"/>
      <c r="M38" t="s">
        <v>355</v>
      </c>
      <c r="N38" t="s">
        <v>358</v>
      </c>
      <c r="P38" t="s">
        <v>392</v>
      </c>
      <c r="X38" t="s">
        <v>355</v>
      </c>
      <c r="Y38" t="s">
        <v>358</v>
      </c>
      <c r="AA38" t="s">
        <v>474</v>
      </c>
    </row>
    <row r="39" spans="1:29" ht="16" thickBot="1" x14ac:dyDescent="0.25">
      <c r="C39" t="s">
        <v>470</v>
      </c>
      <c r="H39" t="s">
        <v>470</v>
      </c>
      <c r="M39" s="210" t="s">
        <v>357</v>
      </c>
      <c r="N39" s="339" t="s">
        <v>356</v>
      </c>
      <c r="O39" s="340"/>
      <c r="P39" s="341" t="s">
        <v>456</v>
      </c>
      <c r="Q39" s="342"/>
      <c r="R39" s="343"/>
      <c r="U39" s="344" t="s">
        <v>410</v>
      </c>
      <c r="V39" s="345"/>
      <c r="X39" s="210" t="s">
        <v>357</v>
      </c>
      <c r="Y39" s="339" t="s">
        <v>356</v>
      </c>
      <c r="Z39" s="340"/>
      <c r="AA39" s="341" t="s">
        <v>456</v>
      </c>
      <c r="AB39" s="342"/>
      <c r="AC39" s="343"/>
    </row>
    <row r="40" spans="1:29" ht="16" thickBot="1" x14ac:dyDescent="0.25">
      <c r="A40" s="58" t="s">
        <v>1</v>
      </c>
      <c r="B40" s="58" t="s">
        <v>159</v>
      </c>
      <c r="C40" s="58" t="s">
        <v>161</v>
      </c>
      <c r="D40" s="17" t="s">
        <v>424</v>
      </c>
      <c r="F40" s="58" t="s">
        <v>1</v>
      </c>
      <c r="G40" s="58" t="s">
        <v>159</v>
      </c>
      <c r="H40" s="58" t="s">
        <v>161</v>
      </c>
      <c r="I40" s="17" t="s">
        <v>424</v>
      </c>
      <c r="M40" s="211" t="s">
        <v>146</v>
      </c>
      <c r="N40" s="50">
        <v>733</v>
      </c>
      <c r="O40" s="195">
        <v>750</v>
      </c>
      <c r="P40" s="101"/>
      <c r="Q40" s="206"/>
      <c r="R40" s="207">
        <f>(P40*N40)+(Q40*O40)+0</f>
        <v>0</v>
      </c>
      <c r="U40" s="346"/>
      <c r="V40" s="347"/>
      <c r="X40" s="211" t="s">
        <v>146</v>
      </c>
      <c r="Y40" s="50">
        <v>733</v>
      </c>
      <c r="Z40" s="195">
        <v>750</v>
      </c>
      <c r="AA40" s="101"/>
      <c r="AB40" s="206"/>
      <c r="AC40" s="207">
        <f>(AA40*Y40)+(AB40*Z40)+0</f>
        <v>0</v>
      </c>
    </row>
    <row r="41" spans="1:29" x14ac:dyDescent="0.2">
      <c r="A41" s="42" t="s">
        <v>153</v>
      </c>
      <c r="B41" s="306" t="s">
        <v>224</v>
      </c>
      <c r="C41" s="304"/>
      <c r="D41" s="307" t="s">
        <v>424</v>
      </c>
      <c r="F41" s="42" t="s">
        <v>153</v>
      </c>
      <c r="G41" s="306" t="s">
        <v>224</v>
      </c>
      <c r="H41" s="304"/>
      <c r="I41" s="15"/>
      <c r="M41" s="212" t="s">
        <v>145</v>
      </c>
      <c r="N41" s="42">
        <v>700</v>
      </c>
      <c r="O41" s="37">
        <v>717</v>
      </c>
      <c r="P41" s="69"/>
      <c r="Q41" s="204"/>
      <c r="R41" s="208">
        <f t="shared" ref="R41:R42" si="0">(P41*N41)+(Q41*O41)+0</f>
        <v>0</v>
      </c>
      <c r="U41" s="181">
        <v>1</v>
      </c>
      <c r="V41" s="51">
        <v>3</v>
      </c>
      <c r="X41" s="212" t="s">
        <v>145</v>
      </c>
      <c r="Y41" s="42">
        <v>700</v>
      </c>
      <c r="Z41" s="37">
        <v>717</v>
      </c>
      <c r="AA41" s="69"/>
      <c r="AB41" s="204"/>
      <c r="AC41" s="208">
        <f t="shared" ref="AC41:AC42" si="1">(AA41*Y41)+(AB41*Z41)+0</f>
        <v>0</v>
      </c>
    </row>
    <row r="42" spans="1:29" x14ac:dyDescent="0.2">
      <c r="A42" s="42" t="s">
        <v>154</v>
      </c>
      <c r="B42" s="305" t="s">
        <v>468</v>
      </c>
      <c r="C42" s="306" t="s">
        <v>160</v>
      </c>
      <c r="D42" s="15"/>
      <c r="F42" s="42" t="s">
        <v>154</v>
      </c>
      <c r="G42" s="305" t="s">
        <v>468</v>
      </c>
      <c r="H42" s="306" t="s">
        <v>471</v>
      </c>
      <c r="I42" s="15"/>
      <c r="M42" s="212" t="s">
        <v>144</v>
      </c>
      <c r="N42" s="42">
        <v>667</v>
      </c>
      <c r="O42" s="37">
        <v>683</v>
      </c>
      <c r="P42" s="69"/>
      <c r="Q42" s="204"/>
      <c r="R42" s="208">
        <f t="shared" si="0"/>
        <v>0</v>
      </c>
      <c r="U42" s="156">
        <v>2</v>
      </c>
      <c r="V42" s="54"/>
      <c r="X42" s="212" t="s">
        <v>144</v>
      </c>
      <c r="Y42" s="42">
        <v>667</v>
      </c>
      <c r="Z42" s="37">
        <v>683</v>
      </c>
      <c r="AA42" s="69"/>
      <c r="AB42" s="204"/>
      <c r="AC42" s="208">
        <f t="shared" si="1"/>
        <v>0</v>
      </c>
    </row>
    <row r="43" spans="1:29" x14ac:dyDescent="0.2">
      <c r="A43" s="42" t="s">
        <v>155</v>
      </c>
      <c r="B43" s="305" t="s">
        <v>468</v>
      </c>
      <c r="C43" s="304"/>
      <c r="D43" s="15"/>
      <c r="F43" s="42" t="s">
        <v>155</v>
      </c>
      <c r="G43" s="305" t="s">
        <v>468</v>
      </c>
      <c r="H43" s="42"/>
      <c r="I43" s="303"/>
      <c r="M43" s="212" t="s">
        <v>143</v>
      </c>
      <c r="N43" s="42">
        <v>633</v>
      </c>
      <c r="O43" s="37">
        <v>650</v>
      </c>
      <c r="P43" s="69">
        <v>4</v>
      </c>
      <c r="Q43" s="204">
        <v>1</v>
      </c>
      <c r="R43" s="208">
        <f>(P43*N43)+(Q43*O43)+20</f>
        <v>3202</v>
      </c>
      <c r="U43" s="156">
        <v>3</v>
      </c>
      <c r="V43" s="54"/>
      <c r="X43" s="212" t="s">
        <v>143</v>
      </c>
      <c r="Y43" s="42">
        <v>633</v>
      </c>
      <c r="Z43" s="37">
        <v>650</v>
      </c>
      <c r="AA43" s="69">
        <v>4</v>
      </c>
      <c r="AB43" s="204">
        <v>1</v>
      </c>
      <c r="AC43" s="208">
        <f>(AA43*Y43)+(AB43*Z43)+20</f>
        <v>3202</v>
      </c>
    </row>
    <row r="44" spans="1:29" x14ac:dyDescent="0.2">
      <c r="A44" s="42" t="s">
        <v>156</v>
      </c>
      <c r="B44" s="307" t="s">
        <v>424</v>
      </c>
      <c r="C44" s="308" t="s">
        <v>469</v>
      </c>
      <c r="D44" s="15"/>
      <c r="F44" s="42" t="s">
        <v>156</v>
      </c>
      <c r="G44" s="307" t="s">
        <v>424</v>
      </c>
      <c r="H44" s="42"/>
      <c r="I44" s="15"/>
      <c r="M44" s="212" t="s">
        <v>142</v>
      </c>
      <c r="N44" s="42">
        <v>600</v>
      </c>
      <c r="O44" s="37">
        <v>617</v>
      </c>
      <c r="P44" s="69">
        <v>4</v>
      </c>
      <c r="Q44" s="204">
        <v>4</v>
      </c>
      <c r="R44" s="208">
        <f>(P44*N44)+(Q44*O44)+110</f>
        <v>4978</v>
      </c>
      <c r="U44" s="156">
        <v>4</v>
      </c>
      <c r="V44" s="54"/>
      <c r="X44" s="212" t="s">
        <v>142</v>
      </c>
      <c r="Y44" s="42">
        <v>600</v>
      </c>
      <c r="Z44" s="37">
        <v>617</v>
      </c>
      <c r="AA44" s="69">
        <v>4</v>
      </c>
      <c r="AB44" s="204">
        <v>4</v>
      </c>
      <c r="AC44" s="208">
        <f>(AA44*Y44)+(AB44*Z44)+110</f>
        <v>4978</v>
      </c>
    </row>
    <row r="45" spans="1:29" x14ac:dyDescent="0.2">
      <c r="A45" s="42" t="s">
        <v>157</v>
      </c>
      <c r="B45" s="305" t="s">
        <v>468</v>
      </c>
      <c r="C45" s="42"/>
      <c r="D45" s="15"/>
      <c r="F45" s="42" t="s">
        <v>157</v>
      </c>
      <c r="G45" s="306" t="s">
        <v>224</v>
      </c>
      <c r="H45" s="42"/>
      <c r="I45" s="15"/>
      <c r="M45" s="212" t="s">
        <v>149</v>
      </c>
      <c r="N45" s="42">
        <v>567</v>
      </c>
      <c r="O45" s="37">
        <v>583</v>
      </c>
      <c r="P45" s="69"/>
      <c r="Q45" s="204"/>
      <c r="R45" s="208">
        <f t="shared" ref="R45:R46" si="2">(P45*N45)+(Q45*O45)+0</f>
        <v>0</v>
      </c>
      <c r="U45" s="156">
        <v>5</v>
      </c>
      <c r="V45" s="54"/>
      <c r="X45" s="212" t="s">
        <v>149</v>
      </c>
      <c r="Y45" s="42">
        <v>567</v>
      </c>
      <c r="Z45" s="37">
        <v>583</v>
      </c>
      <c r="AA45" s="69"/>
      <c r="AB45" s="204"/>
      <c r="AC45" s="208">
        <f t="shared" ref="AC45:AC46" si="3">(AA45*Y45)+(AB45*Z45)+0</f>
        <v>0</v>
      </c>
    </row>
    <row r="46" spans="1:29" ht="16" thickBot="1" x14ac:dyDescent="0.25">
      <c r="A46" s="42" t="s">
        <v>158</v>
      </c>
      <c r="B46" s="58"/>
      <c r="C46" s="42"/>
      <c r="D46" s="15"/>
      <c r="F46" s="42" t="s">
        <v>158</v>
      </c>
      <c r="G46" s="305" t="s">
        <v>468</v>
      </c>
      <c r="H46" s="42"/>
      <c r="I46" s="42"/>
      <c r="M46" s="213" t="s">
        <v>148</v>
      </c>
      <c r="N46" s="56">
        <v>500</v>
      </c>
      <c r="O46" s="196">
        <v>550</v>
      </c>
      <c r="P46" s="70"/>
      <c r="Q46" s="205"/>
      <c r="R46" s="209">
        <f t="shared" si="2"/>
        <v>0</v>
      </c>
      <c r="U46" s="156">
        <v>6</v>
      </c>
      <c r="V46" s="54"/>
      <c r="X46" s="213" t="s">
        <v>148</v>
      </c>
      <c r="Y46" s="56">
        <v>500</v>
      </c>
      <c r="Z46" s="196">
        <v>550</v>
      </c>
      <c r="AA46" s="70"/>
      <c r="AB46" s="205"/>
      <c r="AC46" s="209">
        <f t="shared" si="3"/>
        <v>0</v>
      </c>
    </row>
    <row r="47" spans="1:29" ht="16" thickBot="1" x14ac:dyDescent="0.25">
      <c r="A47" s="42" t="s">
        <v>152</v>
      </c>
      <c r="B47" s="307" t="s">
        <v>424</v>
      </c>
      <c r="C47" s="306" t="s">
        <v>224</v>
      </c>
      <c r="D47" s="15"/>
      <c r="F47" s="42" t="s">
        <v>152</v>
      </c>
      <c r="G47" s="305" t="s">
        <v>468</v>
      </c>
      <c r="H47" s="42"/>
      <c r="I47" s="15"/>
      <c r="Q47" s="83" t="s">
        <v>150</v>
      </c>
      <c r="R47" s="82">
        <f>AVERAGE(R40:R46)</f>
        <v>1168.5714285714287</v>
      </c>
      <c r="U47" s="156">
        <v>7</v>
      </c>
      <c r="V47" s="54"/>
      <c r="AB47" s="83" t="s">
        <v>150</v>
      </c>
      <c r="AC47" s="82">
        <f>AVERAGE(AC40:AC46)</f>
        <v>1168.5714285714287</v>
      </c>
    </row>
    <row r="48" spans="1:29" x14ac:dyDescent="0.2">
      <c r="U48" s="156">
        <v>8</v>
      </c>
      <c r="V48" s="54"/>
    </row>
    <row r="49" spans="1:25" x14ac:dyDescent="0.2">
      <c r="A49" t="s">
        <v>398</v>
      </c>
      <c r="B49" t="s">
        <v>402</v>
      </c>
      <c r="F49" t="s">
        <v>398</v>
      </c>
      <c r="G49" t="s">
        <v>63</v>
      </c>
      <c r="U49" s="156">
        <v>9</v>
      </c>
      <c r="V49" s="54"/>
    </row>
    <row r="50" spans="1:25" ht="16" thickBot="1" x14ac:dyDescent="0.25">
      <c r="A50" t="s">
        <v>399</v>
      </c>
      <c r="B50" t="s">
        <v>63</v>
      </c>
      <c r="F50" t="s">
        <v>399</v>
      </c>
      <c r="G50" t="s">
        <v>402</v>
      </c>
      <c r="U50" s="157">
        <v>10</v>
      </c>
      <c r="V50" s="43"/>
    </row>
    <row r="51" spans="1:25" ht="16" thickBot="1" x14ac:dyDescent="0.25">
      <c r="A51" t="s">
        <v>400</v>
      </c>
      <c r="B51" t="s">
        <v>67</v>
      </c>
      <c r="F51" t="s">
        <v>400</v>
      </c>
      <c r="G51" t="s">
        <v>63</v>
      </c>
      <c r="U51" s="226" t="s">
        <v>147</v>
      </c>
      <c r="V51" s="227">
        <f>AVERAGE(V41:V50)</f>
        <v>3</v>
      </c>
      <c r="W51" s="214"/>
      <c r="X51" s="334" t="s">
        <v>165</v>
      </c>
      <c r="Y51" s="335"/>
    </row>
    <row r="52" spans="1:25" x14ac:dyDescent="0.2">
      <c r="A52" t="s">
        <v>401</v>
      </c>
      <c r="B52" t="s">
        <v>402</v>
      </c>
      <c r="F52" t="s">
        <v>401</v>
      </c>
      <c r="G52" t="s">
        <v>402</v>
      </c>
    </row>
  </sheetData>
  <mergeCells count="10">
    <mergeCell ref="X51:Y51"/>
    <mergeCell ref="A38:C38"/>
    <mergeCell ref="AC12:AD12"/>
    <mergeCell ref="Q12:R12"/>
    <mergeCell ref="N39:O39"/>
    <mergeCell ref="P39:R39"/>
    <mergeCell ref="U39:V40"/>
    <mergeCell ref="F38:I38"/>
    <mergeCell ref="Y39:Z39"/>
    <mergeCell ref="AA39:AC39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C86B8-3510-4FE1-8DA8-15269CA0B0E2}">
  <dimension ref="A2:AJ72"/>
  <sheetViews>
    <sheetView topLeftCell="A2" zoomScale="89" workbookViewId="0">
      <selection activeCell="AE71" sqref="AE71"/>
    </sheetView>
  </sheetViews>
  <sheetFormatPr baseColWidth="10" defaultColWidth="8.83203125" defaultRowHeight="15" x14ac:dyDescent="0.2"/>
  <cols>
    <col min="1" max="1" width="15.1640625" bestFit="1" customWidth="1"/>
    <col min="3" max="3" width="10" bestFit="1" customWidth="1"/>
    <col min="4" max="4" width="11.33203125" bestFit="1" customWidth="1"/>
    <col min="5" max="5" width="8.33203125" bestFit="1" customWidth="1"/>
    <col min="7" max="7" width="9.6640625" bestFit="1" customWidth="1"/>
    <col min="11" max="11" width="12.6640625" bestFit="1" customWidth="1"/>
    <col min="12" max="12" width="17.6640625" bestFit="1" customWidth="1"/>
    <col min="13" max="15" width="9" bestFit="1" customWidth="1"/>
    <col min="16" max="16" width="10.33203125" bestFit="1" customWidth="1"/>
    <col min="17" max="17" width="9.6640625" customWidth="1"/>
    <col min="18" max="20" width="9" bestFit="1" customWidth="1"/>
    <col min="21" max="21" width="11.1640625" bestFit="1" customWidth="1"/>
    <col min="22" max="22" width="12.1640625" bestFit="1" customWidth="1"/>
    <col min="23" max="25" width="9" bestFit="1" customWidth="1"/>
    <col min="26" max="26" width="11.1640625" bestFit="1" customWidth="1"/>
    <col min="27" max="27" width="12.1640625" bestFit="1" customWidth="1"/>
    <col min="28" max="30" width="9" bestFit="1" customWidth="1"/>
    <col min="31" max="31" width="11.1640625" bestFit="1" customWidth="1"/>
    <col min="32" max="32" width="12.1640625" bestFit="1" customWidth="1"/>
    <col min="33" max="35" width="9" bestFit="1" customWidth="1"/>
  </cols>
  <sheetData>
    <row r="2" spans="1:8" x14ac:dyDescent="0.2">
      <c r="A2" s="18" t="s">
        <v>73</v>
      </c>
      <c r="B2" t="s">
        <v>74</v>
      </c>
    </row>
    <row r="3" spans="1:8" x14ac:dyDescent="0.2">
      <c r="A3" s="18" t="s">
        <v>75</v>
      </c>
      <c r="B3" t="s">
        <v>76</v>
      </c>
    </row>
    <row r="5" spans="1:8" x14ac:dyDescent="0.2">
      <c r="A5" s="40">
        <v>45597</v>
      </c>
      <c r="B5" s="40">
        <v>45627</v>
      </c>
      <c r="C5" s="40">
        <v>45658</v>
      </c>
      <c r="D5" s="40">
        <v>45689</v>
      </c>
      <c r="E5" s="40">
        <v>45717</v>
      </c>
      <c r="F5" s="40">
        <v>45748</v>
      </c>
      <c r="G5" s="40">
        <v>45778</v>
      </c>
    </row>
    <row r="6" spans="1:8" x14ac:dyDescent="0.2">
      <c r="A6" s="20" t="s">
        <v>77</v>
      </c>
      <c r="B6" s="21" t="s">
        <v>78</v>
      </c>
      <c r="C6" s="21" t="s">
        <v>78</v>
      </c>
      <c r="D6" s="21" t="s">
        <v>78</v>
      </c>
      <c r="E6" s="22" t="s">
        <v>79</v>
      </c>
      <c r="F6" s="23" t="s">
        <v>80</v>
      </c>
      <c r="G6" s="24" t="s">
        <v>81</v>
      </c>
    </row>
    <row r="7" spans="1:8" x14ac:dyDescent="0.2">
      <c r="A7" s="25" t="s">
        <v>83</v>
      </c>
      <c r="B7" s="25"/>
      <c r="C7" s="25"/>
      <c r="D7" s="25"/>
      <c r="E7" s="25"/>
      <c r="F7" s="25" t="s">
        <v>84</v>
      </c>
      <c r="G7" s="25"/>
    </row>
    <row r="9" spans="1:8" x14ac:dyDescent="0.2">
      <c r="A9" s="18" t="s">
        <v>87</v>
      </c>
    </row>
    <row r="11" spans="1:8" x14ac:dyDescent="0.2">
      <c r="A11" s="26" t="s">
        <v>90</v>
      </c>
      <c r="B11" s="26" t="s">
        <v>85</v>
      </c>
      <c r="C11" s="26" t="s">
        <v>78</v>
      </c>
      <c r="D11" s="26" t="s">
        <v>79</v>
      </c>
      <c r="E11" s="26" t="s">
        <v>91</v>
      </c>
      <c r="F11" s="26" t="s">
        <v>81</v>
      </c>
      <c r="G11" s="26" t="s">
        <v>92</v>
      </c>
    </row>
    <row r="12" spans="1:8" x14ac:dyDescent="0.2">
      <c r="A12" t="s">
        <v>94</v>
      </c>
      <c r="B12" s="27" t="s">
        <v>95</v>
      </c>
      <c r="C12" s="27" t="s">
        <v>96</v>
      </c>
      <c r="D12" s="27" t="s">
        <v>95</v>
      </c>
      <c r="E12" s="27" t="s">
        <v>97</v>
      </c>
      <c r="F12" s="27" t="s">
        <v>98</v>
      </c>
      <c r="G12" s="27" t="s">
        <v>95</v>
      </c>
    </row>
    <row r="13" spans="1:8" x14ac:dyDescent="0.2">
      <c r="B13" s="28" t="s">
        <v>101</v>
      </c>
      <c r="C13" s="28" t="s">
        <v>101</v>
      </c>
      <c r="D13" s="28" t="s">
        <v>101</v>
      </c>
      <c r="E13" s="28" t="s">
        <v>101</v>
      </c>
      <c r="F13" s="28" t="s">
        <v>101</v>
      </c>
      <c r="G13" s="28" t="s">
        <v>101</v>
      </c>
    </row>
    <row r="15" spans="1:8" x14ac:dyDescent="0.2">
      <c r="A15" s="29" t="s">
        <v>104</v>
      </c>
      <c r="B15" s="30" t="s">
        <v>105</v>
      </c>
      <c r="C15" s="30" t="s">
        <v>106</v>
      </c>
      <c r="D15" s="30" t="s">
        <v>107</v>
      </c>
      <c r="E15" s="30"/>
      <c r="F15" s="30" t="s">
        <v>108</v>
      </c>
      <c r="G15" s="30" t="s">
        <v>109</v>
      </c>
      <c r="H15" s="31" t="s">
        <v>110</v>
      </c>
    </row>
    <row r="16" spans="1:8" x14ac:dyDescent="0.2">
      <c r="A16" s="32"/>
      <c r="C16" t="s">
        <v>105</v>
      </c>
      <c r="D16" t="s">
        <v>105</v>
      </c>
      <c r="F16" t="s">
        <v>111</v>
      </c>
      <c r="G16" t="s">
        <v>108</v>
      </c>
      <c r="H16" s="33"/>
    </row>
    <row r="17" spans="1:30" x14ac:dyDescent="0.2">
      <c r="A17" s="34"/>
      <c r="B17" s="35" t="s">
        <v>112</v>
      </c>
      <c r="C17" s="35" t="s">
        <v>113</v>
      </c>
      <c r="D17" s="35" t="s">
        <v>114</v>
      </c>
      <c r="E17" s="35" t="s">
        <v>115</v>
      </c>
      <c r="F17" s="35" t="s">
        <v>116</v>
      </c>
      <c r="G17" s="35" t="s">
        <v>117</v>
      </c>
      <c r="H17" s="36"/>
    </row>
    <row r="18" spans="1:30" x14ac:dyDescent="0.2">
      <c r="A18" s="37" t="s">
        <v>118</v>
      </c>
      <c r="B18" s="38" t="s">
        <v>119</v>
      </c>
      <c r="C18" s="38" t="s">
        <v>120</v>
      </c>
      <c r="D18" s="38" t="s">
        <v>119</v>
      </c>
      <c r="E18" s="38" t="s">
        <v>121</v>
      </c>
      <c r="F18" s="38" t="s">
        <v>121</v>
      </c>
      <c r="G18" s="39" t="s">
        <v>121</v>
      </c>
    </row>
    <row r="19" spans="1:30" x14ac:dyDescent="0.2">
      <c r="A19" s="37" t="s">
        <v>122</v>
      </c>
      <c r="B19" s="38" t="s">
        <v>121</v>
      </c>
      <c r="C19" s="38" t="s">
        <v>123</v>
      </c>
      <c r="D19" s="38" t="s">
        <v>120</v>
      </c>
      <c r="E19" s="38" t="s">
        <v>120</v>
      </c>
      <c r="F19" s="38" t="s">
        <v>120</v>
      </c>
      <c r="G19" s="39" t="s">
        <v>124</v>
      </c>
    </row>
    <row r="20" spans="1:30" x14ac:dyDescent="0.2">
      <c r="A20" s="37" t="s">
        <v>125</v>
      </c>
      <c r="B20" s="38" t="s">
        <v>119</v>
      </c>
      <c r="C20" s="38" t="s">
        <v>120</v>
      </c>
      <c r="D20" s="38" t="s">
        <v>119</v>
      </c>
      <c r="E20" s="38" t="s">
        <v>121</v>
      </c>
      <c r="F20" s="38" t="s">
        <v>126</v>
      </c>
      <c r="G20" s="39" t="s">
        <v>121</v>
      </c>
    </row>
    <row r="24" spans="1:30" ht="16" thickBot="1" x14ac:dyDescent="0.25"/>
    <row r="25" spans="1:30" ht="16" thickBot="1" x14ac:dyDescent="0.25">
      <c r="B25" s="284"/>
      <c r="C25" s="282"/>
      <c r="D25" s="282"/>
      <c r="E25" s="282"/>
      <c r="F25" s="282"/>
      <c r="G25" s="282"/>
      <c r="H25" s="282"/>
      <c r="I25" s="282"/>
      <c r="J25" s="282"/>
      <c r="K25" s="282"/>
      <c r="L25" s="282"/>
      <c r="M25" s="282"/>
      <c r="N25" s="282"/>
      <c r="O25" s="282"/>
      <c r="P25" s="282"/>
      <c r="Q25" s="282"/>
      <c r="R25" s="282"/>
      <c r="S25" s="282"/>
      <c r="T25" s="282"/>
      <c r="U25" s="282"/>
      <c r="V25" s="282"/>
      <c r="W25" s="282"/>
      <c r="X25" s="282"/>
      <c r="Y25" s="282"/>
      <c r="Z25" s="282"/>
      <c r="AA25" s="282"/>
      <c r="AB25" s="282"/>
      <c r="AC25" s="282"/>
      <c r="AD25" s="283"/>
    </row>
    <row r="28" spans="1:30" ht="16" thickBot="1" x14ac:dyDescent="0.25">
      <c r="K28" s="18" t="s">
        <v>127</v>
      </c>
      <c r="L28" s="285" t="s">
        <v>76</v>
      </c>
    </row>
    <row r="29" spans="1:30" ht="16" thickBot="1" x14ac:dyDescent="0.25">
      <c r="K29" t="s">
        <v>128</v>
      </c>
      <c r="L29" s="75" t="s">
        <v>78</v>
      </c>
      <c r="M29" s="76" t="s">
        <v>151</v>
      </c>
      <c r="N29" s="79" t="s">
        <v>475</v>
      </c>
      <c r="P29" s="41" t="s">
        <v>191</v>
      </c>
      <c r="Q29" t="s">
        <v>477</v>
      </c>
    </row>
    <row r="30" spans="1:30" ht="16" thickBot="1" x14ac:dyDescent="0.25">
      <c r="K30" t="s">
        <v>94</v>
      </c>
      <c r="L30" t="s">
        <v>197</v>
      </c>
      <c r="M30" t="s">
        <v>201</v>
      </c>
      <c r="N30" s="79" t="s">
        <v>476</v>
      </c>
      <c r="Q30" t="s">
        <v>478</v>
      </c>
    </row>
    <row r="31" spans="1:30" x14ac:dyDescent="0.2">
      <c r="K31" t="s">
        <v>129</v>
      </c>
      <c r="L31" t="s">
        <v>134</v>
      </c>
    </row>
    <row r="32" spans="1:30" x14ac:dyDescent="0.2">
      <c r="K32" t="s">
        <v>130</v>
      </c>
      <c r="L32" t="s">
        <v>119</v>
      </c>
    </row>
    <row r="33" spans="2:36" x14ac:dyDescent="0.2">
      <c r="K33" t="s">
        <v>131</v>
      </c>
      <c r="L33" t="s">
        <v>121</v>
      </c>
    </row>
    <row r="34" spans="2:36" ht="16" thickBot="1" x14ac:dyDescent="0.25">
      <c r="K34" t="s">
        <v>132</v>
      </c>
      <c r="L34" t="s">
        <v>119</v>
      </c>
    </row>
    <row r="35" spans="2:36" ht="16" thickBot="1" x14ac:dyDescent="0.25">
      <c r="M35" s="341" t="s">
        <v>135</v>
      </c>
      <c r="N35" s="342"/>
      <c r="O35" s="342"/>
      <c r="P35" s="343"/>
      <c r="R35" s="341" t="s">
        <v>135</v>
      </c>
      <c r="S35" s="342"/>
      <c r="T35" s="342"/>
      <c r="U35" s="343"/>
      <c r="W35" s="341" t="s">
        <v>135</v>
      </c>
      <c r="X35" s="342"/>
      <c r="Y35" s="342"/>
      <c r="Z35" s="343"/>
      <c r="AB35" s="341" t="s">
        <v>135</v>
      </c>
      <c r="AC35" s="342"/>
      <c r="AD35" s="342"/>
      <c r="AE35" s="343"/>
      <c r="AG35" s="341" t="s">
        <v>135</v>
      </c>
      <c r="AH35" s="342"/>
      <c r="AI35" s="342"/>
      <c r="AJ35" s="343"/>
    </row>
    <row r="36" spans="2:36" ht="16" thickBot="1" x14ac:dyDescent="0.25">
      <c r="M36" s="341">
        <v>42</v>
      </c>
      <c r="N36" s="342"/>
      <c r="O36" s="342"/>
      <c r="P36" s="326" t="s">
        <v>147</v>
      </c>
      <c r="R36" s="341">
        <f>M36+1</f>
        <v>43</v>
      </c>
      <c r="S36" s="342"/>
      <c r="T36" s="342"/>
      <c r="U36" s="326" t="s">
        <v>147</v>
      </c>
      <c r="W36" s="341">
        <f>R36+1</f>
        <v>44</v>
      </c>
      <c r="X36" s="342"/>
      <c r="Y36" s="342"/>
      <c r="Z36" s="326" t="s">
        <v>147</v>
      </c>
      <c r="AB36" s="341">
        <f>W36+1</f>
        <v>45</v>
      </c>
      <c r="AC36" s="342"/>
      <c r="AD36" s="342"/>
      <c r="AE36" s="326" t="s">
        <v>147</v>
      </c>
      <c r="AG36" s="341">
        <f>AB36+1</f>
        <v>46</v>
      </c>
      <c r="AH36" s="342"/>
      <c r="AI36" s="342"/>
      <c r="AJ36" s="326" t="s">
        <v>147</v>
      </c>
    </row>
    <row r="37" spans="2:36" x14ac:dyDescent="0.2">
      <c r="B37" s="217" t="s">
        <v>370</v>
      </c>
      <c r="C37" s="218" t="s">
        <v>368</v>
      </c>
      <c r="D37" s="30"/>
      <c r="E37" s="31"/>
      <c r="G37" s="217" t="s">
        <v>360</v>
      </c>
      <c r="H37" s="218" t="s">
        <v>368</v>
      </c>
      <c r="I37" s="30"/>
      <c r="J37" s="31"/>
      <c r="L37" s="49" t="s">
        <v>136</v>
      </c>
      <c r="M37" s="50">
        <v>1</v>
      </c>
      <c r="N37" s="50"/>
      <c r="O37" s="195"/>
      <c r="P37" s="321">
        <f>SUM(M37:O37)+0</f>
        <v>1</v>
      </c>
      <c r="Q37" s="49" t="s">
        <v>136</v>
      </c>
      <c r="R37" s="50"/>
      <c r="S37" s="50"/>
      <c r="T37" s="195"/>
      <c r="U37" s="321">
        <f>SUM(R37:T37)+0</f>
        <v>0</v>
      </c>
      <c r="V37" s="49" t="s">
        <v>136</v>
      </c>
      <c r="W37" s="50"/>
      <c r="X37" s="50"/>
      <c r="Y37" s="195"/>
      <c r="Z37" s="321">
        <f>SUM(W37:Y37)+0</f>
        <v>0</v>
      </c>
      <c r="AA37" s="49" t="s">
        <v>136</v>
      </c>
      <c r="AB37" s="50"/>
      <c r="AC37" s="50"/>
      <c r="AD37" s="195">
        <v>0</v>
      </c>
      <c r="AE37" s="321">
        <f>SUM(AB37:AD37)+0</f>
        <v>0</v>
      </c>
      <c r="AF37" s="49" t="s">
        <v>136</v>
      </c>
      <c r="AG37" s="50"/>
      <c r="AH37" s="50"/>
      <c r="AI37" s="195">
        <v>0</v>
      </c>
      <c r="AJ37" s="321">
        <f>SUM(AG37:AI37)+0</f>
        <v>0</v>
      </c>
    </row>
    <row r="38" spans="2:36" x14ac:dyDescent="0.2">
      <c r="B38" s="32" t="s">
        <v>361</v>
      </c>
      <c r="C38" s="219" t="s">
        <v>255</v>
      </c>
      <c r="D38" s="219" t="s">
        <v>256</v>
      </c>
      <c r="E38" s="220"/>
      <c r="G38" s="32" t="s">
        <v>361</v>
      </c>
      <c r="H38" s="219" t="s">
        <v>256</v>
      </c>
      <c r="I38" s="219" t="s">
        <v>240</v>
      </c>
      <c r="J38" s="220"/>
      <c r="L38" s="52" t="s">
        <v>94</v>
      </c>
      <c r="M38" s="46">
        <v>6.25E-2</v>
      </c>
      <c r="N38" s="47"/>
      <c r="O38" s="324"/>
      <c r="P38" s="327">
        <f>SUM(M38:O38)</f>
        <v>6.25E-2</v>
      </c>
      <c r="Q38" s="52" t="s">
        <v>94</v>
      </c>
      <c r="R38" s="240"/>
      <c r="S38" s="47"/>
      <c r="T38" s="324"/>
      <c r="U38" s="327">
        <f>SUM(R38:T38)</f>
        <v>0</v>
      </c>
      <c r="V38" s="52" t="s">
        <v>94</v>
      </c>
      <c r="W38" s="46"/>
      <c r="X38" s="47"/>
      <c r="Y38" s="324"/>
      <c r="Z38" s="327">
        <f>SUM(W38:Y38)</f>
        <v>0</v>
      </c>
      <c r="AA38" s="52" t="s">
        <v>94</v>
      </c>
      <c r="AB38" s="46"/>
      <c r="AC38" s="47"/>
      <c r="AD38" s="324"/>
      <c r="AE38" s="327">
        <f>SUM(AB38:AD38)</f>
        <v>0</v>
      </c>
      <c r="AF38" s="52" t="s">
        <v>94</v>
      </c>
      <c r="AG38" s="46"/>
      <c r="AH38" s="47"/>
      <c r="AI38" s="324"/>
      <c r="AJ38" s="327">
        <f>SUM(AG38:AI38)</f>
        <v>0</v>
      </c>
    </row>
    <row r="39" spans="2:36" x14ac:dyDescent="0.2">
      <c r="B39" s="32" t="s">
        <v>362</v>
      </c>
      <c r="C39" t="s">
        <v>247</v>
      </c>
      <c r="D39" t="s">
        <v>372</v>
      </c>
      <c r="E39" s="33" t="s">
        <v>256</v>
      </c>
      <c r="G39" s="32" t="s">
        <v>362</v>
      </c>
      <c r="H39" t="s">
        <v>367</v>
      </c>
      <c r="I39" t="s">
        <v>241</v>
      </c>
      <c r="J39" s="33" t="s">
        <v>240</v>
      </c>
      <c r="L39" s="52" t="s">
        <v>137</v>
      </c>
      <c r="M39" s="48">
        <v>208</v>
      </c>
      <c r="N39" s="48"/>
      <c r="O39" s="325"/>
      <c r="P39" s="322">
        <f t="shared" ref="P39:P41" si="0">SUM(M39:O39)</f>
        <v>208</v>
      </c>
      <c r="Q39" s="52" t="s">
        <v>137</v>
      </c>
      <c r="R39" s="48"/>
      <c r="S39" s="48"/>
      <c r="T39" s="325"/>
      <c r="U39" s="322">
        <f t="shared" ref="U39:U41" si="1">SUM(R39:T39)</f>
        <v>0</v>
      </c>
      <c r="V39" s="52" t="s">
        <v>137</v>
      </c>
      <c r="W39" s="48"/>
      <c r="X39" s="48"/>
      <c r="Y39" s="325"/>
      <c r="Z39" s="322">
        <f t="shared" ref="Z39:Z41" si="2">SUM(W39:Y39)</f>
        <v>0</v>
      </c>
      <c r="AA39" s="52" t="s">
        <v>137</v>
      </c>
      <c r="AB39" s="48"/>
      <c r="AC39" s="48"/>
      <c r="AD39" s="325"/>
      <c r="AE39" s="322">
        <f t="shared" ref="AE39:AE41" si="3">SUM(AB39:AD39)</f>
        <v>0</v>
      </c>
      <c r="AF39" s="52" t="s">
        <v>137</v>
      </c>
      <c r="AG39" s="48"/>
      <c r="AH39" s="48"/>
      <c r="AI39" s="325"/>
      <c r="AJ39" s="322">
        <f t="shared" ref="AJ39:AJ41" si="4">SUM(AG39:AI39)</f>
        <v>0</v>
      </c>
    </row>
    <row r="40" spans="2:36" x14ac:dyDescent="0.2">
      <c r="B40" s="32" t="s">
        <v>363</v>
      </c>
      <c r="C40" t="s">
        <v>247</v>
      </c>
      <c r="D40" t="s">
        <v>372</v>
      </c>
      <c r="E40" s="33" t="s">
        <v>256</v>
      </c>
      <c r="G40" s="32" t="s">
        <v>363</v>
      </c>
      <c r="H40" t="s">
        <v>367</v>
      </c>
      <c r="I40" t="s">
        <v>241</v>
      </c>
      <c r="J40" s="33" t="s">
        <v>256</v>
      </c>
      <c r="L40" s="52" t="s">
        <v>138</v>
      </c>
      <c r="M40" s="42">
        <v>16</v>
      </c>
      <c r="N40" s="42"/>
      <c r="O40" s="37"/>
      <c r="P40" s="322">
        <f t="shared" si="0"/>
        <v>16</v>
      </c>
      <c r="Q40" s="52" t="s">
        <v>138</v>
      </c>
      <c r="R40" s="42"/>
      <c r="S40" s="42"/>
      <c r="T40" s="37"/>
      <c r="U40" s="322">
        <f t="shared" si="1"/>
        <v>0</v>
      </c>
      <c r="V40" s="52" t="s">
        <v>138</v>
      </c>
      <c r="W40" s="42"/>
      <c r="X40" s="42"/>
      <c r="Y40" s="37"/>
      <c r="Z40" s="322">
        <f t="shared" si="2"/>
        <v>0</v>
      </c>
      <c r="AA40" s="52" t="s">
        <v>138</v>
      </c>
      <c r="AB40" s="42"/>
      <c r="AC40" s="42"/>
      <c r="AD40" s="37"/>
      <c r="AE40" s="322">
        <f t="shared" si="3"/>
        <v>0</v>
      </c>
      <c r="AF40" s="52" t="s">
        <v>138</v>
      </c>
      <c r="AG40" s="42"/>
      <c r="AH40" s="42"/>
      <c r="AI40" s="37"/>
      <c r="AJ40" s="322">
        <f t="shared" si="4"/>
        <v>0</v>
      </c>
    </row>
    <row r="41" spans="2:36" x14ac:dyDescent="0.2">
      <c r="B41" s="32" t="s">
        <v>364</v>
      </c>
      <c r="C41" t="s">
        <v>247</v>
      </c>
      <c r="D41" t="s">
        <v>372</v>
      </c>
      <c r="E41" s="33" t="s">
        <v>255</v>
      </c>
      <c r="G41" s="32" t="s">
        <v>364</v>
      </c>
      <c r="H41" t="s">
        <v>241</v>
      </c>
      <c r="I41" t="s">
        <v>241</v>
      </c>
      <c r="J41" s="33" t="s">
        <v>240</v>
      </c>
      <c r="L41" s="52" t="s">
        <v>466</v>
      </c>
      <c r="M41" s="42">
        <f>16*15</f>
        <v>240</v>
      </c>
      <c r="N41" s="42"/>
      <c r="O41" s="37"/>
      <c r="P41" s="322">
        <f t="shared" si="0"/>
        <v>240</v>
      </c>
      <c r="Q41" s="52" t="s">
        <v>466</v>
      </c>
      <c r="R41" s="42"/>
      <c r="S41" s="42"/>
      <c r="T41" s="37"/>
      <c r="U41" s="322">
        <f t="shared" si="1"/>
        <v>0</v>
      </c>
      <c r="V41" s="52" t="s">
        <v>466</v>
      </c>
      <c r="W41" s="42"/>
      <c r="X41" s="42"/>
      <c r="Y41" s="37"/>
      <c r="Z41" s="322">
        <f t="shared" si="2"/>
        <v>0</v>
      </c>
      <c r="AA41" s="52" t="s">
        <v>466</v>
      </c>
      <c r="AB41" s="42"/>
      <c r="AC41" s="42"/>
      <c r="AD41" s="37"/>
      <c r="AE41" s="322">
        <f t="shared" si="3"/>
        <v>0</v>
      </c>
      <c r="AF41" s="52" t="s">
        <v>466</v>
      </c>
      <c r="AG41" s="42"/>
      <c r="AH41" s="42"/>
      <c r="AI41" s="37"/>
      <c r="AJ41" s="322">
        <f t="shared" si="4"/>
        <v>0</v>
      </c>
    </row>
    <row r="42" spans="2:36" ht="16" thickBot="1" x14ac:dyDescent="0.25">
      <c r="B42" s="32" t="s">
        <v>365</v>
      </c>
      <c r="C42" t="s">
        <v>367</v>
      </c>
      <c r="D42" t="s">
        <v>367</v>
      </c>
      <c r="E42" s="33"/>
      <c r="G42" s="32" t="s">
        <v>365</v>
      </c>
      <c r="H42" t="s">
        <v>367</v>
      </c>
      <c r="I42" t="s">
        <v>240</v>
      </c>
      <c r="J42" s="33"/>
      <c r="L42" s="55" t="s">
        <v>139</v>
      </c>
      <c r="M42" s="56">
        <v>13</v>
      </c>
      <c r="N42" s="56"/>
      <c r="O42" s="196"/>
      <c r="P42" s="323">
        <f>SUM(M42:O42)</f>
        <v>13</v>
      </c>
      <c r="Q42" s="55" t="s">
        <v>139</v>
      </c>
      <c r="R42" s="56"/>
      <c r="S42" s="56"/>
      <c r="T42" s="196"/>
      <c r="U42" s="323">
        <f>SUM(R42:T42)</f>
        <v>0</v>
      </c>
      <c r="V42" s="55" t="s">
        <v>139</v>
      </c>
      <c r="W42" s="56"/>
      <c r="X42" s="56"/>
      <c r="Y42" s="196"/>
      <c r="Z42" s="323">
        <f>SUM(W42:Y42)</f>
        <v>0</v>
      </c>
      <c r="AA42" s="55" t="s">
        <v>139</v>
      </c>
      <c r="AB42" s="56"/>
      <c r="AC42" s="56"/>
      <c r="AD42" s="196"/>
      <c r="AE42" s="323">
        <f>SUM(AB42:AD42)</f>
        <v>0</v>
      </c>
      <c r="AF42" s="55" t="s">
        <v>139</v>
      </c>
      <c r="AG42" s="56"/>
      <c r="AH42" s="56"/>
      <c r="AI42" s="196"/>
      <c r="AJ42" s="323">
        <f>SUM(AG42:AI42)</f>
        <v>0</v>
      </c>
    </row>
    <row r="43" spans="2:36" ht="16" thickBot="1" x14ac:dyDescent="0.25">
      <c r="B43" s="34" t="s">
        <v>366</v>
      </c>
      <c r="C43" s="35" t="s">
        <v>255</v>
      </c>
      <c r="D43" s="35" t="s">
        <v>255</v>
      </c>
      <c r="E43" s="36"/>
      <c r="G43" s="34" t="s">
        <v>366</v>
      </c>
      <c r="H43" s="35" t="s">
        <v>367</v>
      </c>
      <c r="I43" s="35" t="s">
        <v>256</v>
      </c>
      <c r="J43" s="36"/>
      <c r="L43" s="41" t="s">
        <v>140</v>
      </c>
      <c r="Q43" s="41" t="s">
        <v>140</v>
      </c>
      <c r="V43" s="41" t="s">
        <v>140</v>
      </c>
      <c r="AA43" s="41" t="s">
        <v>140</v>
      </c>
      <c r="AF43" s="41" t="s">
        <v>140</v>
      </c>
    </row>
    <row r="44" spans="2:36" x14ac:dyDescent="0.2">
      <c r="L44" s="49" t="s">
        <v>141</v>
      </c>
      <c r="M44" s="50">
        <v>4</v>
      </c>
      <c r="N44" s="50"/>
      <c r="O44" s="195"/>
      <c r="P44" s="321">
        <f>SUM(M44:O44)</f>
        <v>4</v>
      </c>
      <c r="Q44" s="164" t="s">
        <v>141</v>
      </c>
      <c r="R44" s="50"/>
      <c r="S44" s="50"/>
      <c r="T44" s="195"/>
      <c r="U44" s="321">
        <f t="shared" ref="U44:U51" si="5">SUM(R44:T44)</f>
        <v>0</v>
      </c>
      <c r="V44" s="49" t="s">
        <v>141</v>
      </c>
      <c r="W44" s="50"/>
      <c r="X44" s="50"/>
      <c r="Y44" s="195"/>
      <c r="Z44" s="321">
        <f t="shared" ref="Z44:Z51" si="6">SUM(W44:Y44)</f>
        <v>0</v>
      </c>
      <c r="AA44" s="49" t="s">
        <v>141</v>
      </c>
      <c r="AB44" s="50"/>
      <c r="AC44" s="50"/>
      <c r="AD44" s="195"/>
      <c r="AE44" s="321">
        <f t="shared" ref="AE44:AE51" si="7">SUM(AB44:AD44)</f>
        <v>0</v>
      </c>
      <c r="AF44" s="49" t="s">
        <v>141</v>
      </c>
      <c r="AG44" s="50"/>
      <c r="AH44" s="50"/>
      <c r="AI44" s="195"/>
      <c r="AJ44" s="321">
        <f t="shared" ref="AJ44:AJ51" si="8">SUM(AG44:AI44)</f>
        <v>0</v>
      </c>
    </row>
    <row r="45" spans="2:36" x14ac:dyDescent="0.2">
      <c r="B45" s="217" t="s">
        <v>371</v>
      </c>
      <c r="C45" s="218" t="s">
        <v>368</v>
      </c>
      <c r="D45" s="30"/>
      <c r="E45" s="31"/>
      <c r="G45" s="217" t="s">
        <v>369</v>
      </c>
      <c r="H45" s="218" t="s">
        <v>368</v>
      </c>
      <c r="I45" s="30"/>
      <c r="J45" s="31"/>
      <c r="L45" s="52" t="s">
        <v>148</v>
      </c>
      <c r="M45" s="42">
        <v>8</v>
      </c>
      <c r="N45" s="42"/>
      <c r="O45" s="37"/>
      <c r="P45" s="322">
        <f t="shared" ref="P45:P51" si="9">SUM(M45:O45)</f>
        <v>8</v>
      </c>
      <c r="Q45" s="165" t="s">
        <v>148</v>
      </c>
      <c r="R45" s="42"/>
      <c r="S45" s="42"/>
      <c r="T45" s="37"/>
      <c r="U45" s="322">
        <f t="shared" si="5"/>
        <v>0</v>
      </c>
      <c r="V45" s="52" t="s">
        <v>148</v>
      </c>
      <c r="W45" s="42"/>
      <c r="X45" s="42"/>
      <c r="Y45" s="37"/>
      <c r="Z45" s="322">
        <f t="shared" si="6"/>
        <v>0</v>
      </c>
      <c r="AA45" s="52" t="s">
        <v>148</v>
      </c>
      <c r="AB45" s="42"/>
      <c r="AC45" s="42"/>
      <c r="AD45" s="37"/>
      <c r="AE45" s="322">
        <f t="shared" si="7"/>
        <v>0</v>
      </c>
      <c r="AF45" s="52" t="s">
        <v>148</v>
      </c>
      <c r="AG45" s="42"/>
      <c r="AH45" s="42"/>
      <c r="AI45" s="37"/>
      <c r="AJ45" s="322">
        <f t="shared" si="8"/>
        <v>0</v>
      </c>
    </row>
    <row r="46" spans="2:36" x14ac:dyDescent="0.2">
      <c r="B46" s="32" t="s">
        <v>361</v>
      </c>
      <c r="C46" s="219" t="s">
        <v>255</v>
      </c>
      <c r="D46" s="219" t="s">
        <v>255</v>
      </c>
      <c r="E46" s="220"/>
      <c r="G46" s="32" t="s">
        <v>361</v>
      </c>
      <c r="H46" s="219" t="s">
        <v>256</v>
      </c>
      <c r="I46" s="219" t="s">
        <v>240</v>
      </c>
      <c r="J46" s="220"/>
      <c r="L46" s="52" t="s">
        <v>149</v>
      </c>
      <c r="M46" s="42">
        <v>4</v>
      </c>
      <c r="N46" s="42"/>
      <c r="O46" s="37"/>
      <c r="P46" s="322">
        <f t="shared" si="9"/>
        <v>4</v>
      </c>
      <c r="Q46" s="165" t="s">
        <v>149</v>
      </c>
      <c r="R46" s="42"/>
      <c r="S46" s="42"/>
      <c r="T46" s="37"/>
      <c r="U46" s="322">
        <f t="shared" si="5"/>
        <v>0</v>
      </c>
      <c r="V46" s="52" t="s">
        <v>149</v>
      </c>
      <c r="W46" s="42"/>
      <c r="X46" s="42"/>
      <c r="Y46" s="37"/>
      <c r="Z46" s="322">
        <f t="shared" si="6"/>
        <v>0</v>
      </c>
      <c r="AA46" s="52" t="s">
        <v>149</v>
      </c>
      <c r="AB46" s="42"/>
      <c r="AC46" s="42"/>
      <c r="AD46" s="37"/>
      <c r="AE46" s="322">
        <f t="shared" si="7"/>
        <v>0</v>
      </c>
      <c r="AF46" s="52" t="s">
        <v>149</v>
      </c>
      <c r="AG46" s="42"/>
      <c r="AH46" s="42"/>
      <c r="AI46" s="37"/>
      <c r="AJ46" s="322">
        <f t="shared" si="8"/>
        <v>0</v>
      </c>
    </row>
    <row r="47" spans="2:36" x14ac:dyDescent="0.2">
      <c r="B47" s="32" t="s">
        <v>362</v>
      </c>
      <c r="C47" t="s">
        <v>247</v>
      </c>
      <c r="D47" t="s">
        <v>373</v>
      </c>
      <c r="E47" s="33" t="s">
        <v>367</v>
      </c>
      <c r="G47" s="32" t="s">
        <v>362</v>
      </c>
      <c r="H47" t="s">
        <v>256</v>
      </c>
      <c r="I47" t="s">
        <v>254</v>
      </c>
      <c r="J47" s="33" t="s">
        <v>367</v>
      </c>
      <c r="L47" s="52" t="s">
        <v>142</v>
      </c>
      <c r="M47" s="42"/>
      <c r="N47" s="42"/>
      <c r="O47" s="37"/>
      <c r="P47" s="322">
        <f t="shared" si="9"/>
        <v>0</v>
      </c>
      <c r="Q47" s="165" t="s">
        <v>142</v>
      </c>
      <c r="R47" s="42"/>
      <c r="S47" s="42"/>
      <c r="T47" s="37"/>
      <c r="U47" s="322">
        <f t="shared" si="5"/>
        <v>0</v>
      </c>
      <c r="V47" s="52" t="s">
        <v>142</v>
      </c>
      <c r="W47" s="42"/>
      <c r="X47" s="42"/>
      <c r="Y47" s="37"/>
      <c r="Z47" s="322">
        <f t="shared" si="6"/>
        <v>0</v>
      </c>
      <c r="AA47" s="52" t="s">
        <v>142</v>
      </c>
      <c r="AB47" s="42"/>
      <c r="AC47" s="42"/>
      <c r="AD47" s="37"/>
      <c r="AE47" s="322">
        <f t="shared" si="7"/>
        <v>0</v>
      </c>
      <c r="AF47" s="52" t="s">
        <v>142</v>
      </c>
      <c r="AG47" s="42"/>
      <c r="AH47" s="42"/>
      <c r="AI47" s="37"/>
      <c r="AJ47" s="322">
        <f t="shared" si="8"/>
        <v>0</v>
      </c>
    </row>
    <row r="48" spans="2:36" x14ac:dyDescent="0.2">
      <c r="B48" s="32" t="s">
        <v>363</v>
      </c>
      <c r="C48" t="s">
        <v>256</v>
      </c>
      <c r="D48" t="s">
        <v>255</v>
      </c>
      <c r="E48" s="33" t="s">
        <v>367</v>
      </c>
      <c r="G48" s="32" t="s">
        <v>363</v>
      </c>
      <c r="H48" t="s">
        <v>240</v>
      </c>
      <c r="I48" t="s">
        <v>256</v>
      </c>
      <c r="J48" s="33" t="s">
        <v>367</v>
      </c>
      <c r="L48" s="52" t="s">
        <v>143</v>
      </c>
      <c r="M48" s="42"/>
      <c r="N48" s="42"/>
      <c r="O48" s="37"/>
      <c r="P48" s="322">
        <f t="shared" si="9"/>
        <v>0</v>
      </c>
      <c r="Q48" s="165" t="s">
        <v>143</v>
      </c>
      <c r="R48" s="42"/>
      <c r="S48" s="42"/>
      <c r="T48" s="37"/>
      <c r="U48" s="322">
        <f t="shared" si="5"/>
        <v>0</v>
      </c>
      <c r="V48" s="52" t="s">
        <v>143</v>
      </c>
      <c r="W48" s="42"/>
      <c r="X48" s="42"/>
      <c r="Y48" s="37"/>
      <c r="Z48" s="322">
        <f t="shared" si="6"/>
        <v>0</v>
      </c>
      <c r="AA48" s="52" t="s">
        <v>143</v>
      </c>
      <c r="AB48" s="42"/>
      <c r="AC48" s="42"/>
      <c r="AD48" s="37"/>
      <c r="AE48" s="322">
        <f t="shared" si="7"/>
        <v>0</v>
      </c>
      <c r="AF48" s="52" t="s">
        <v>143</v>
      </c>
      <c r="AG48" s="42"/>
      <c r="AH48" s="42"/>
      <c r="AI48" s="37"/>
      <c r="AJ48" s="322">
        <f t="shared" si="8"/>
        <v>0</v>
      </c>
    </row>
    <row r="49" spans="2:36" x14ac:dyDescent="0.2">
      <c r="B49" s="32" t="s">
        <v>364</v>
      </c>
      <c r="C49" t="s">
        <v>367</v>
      </c>
      <c r="D49" t="s">
        <v>256</v>
      </c>
      <c r="E49" s="33" t="s">
        <v>256</v>
      </c>
      <c r="G49" s="32" t="s">
        <v>364</v>
      </c>
      <c r="H49" t="s">
        <v>367</v>
      </c>
      <c r="I49" t="s">
        <v>240</v>
      </c>
      <c r="J49" s="33" t="s">
        <v>240</v>
      </c>
      <c r="L49" s="52" t="s">
        <v>144</v>
      </c>
      <c r="M49" s="42"/>
      <c r="N49" s="42"/>
      <c r="O49" s="37"/>
      <c r="P49" s="322">
        <f t="shared" si="9"/>
        <v>0</v>
      </c>
      <c r="Q49" s="165" t="s">
        <v>144</v>
      </c>
      <c r="R49" s="42"/>
      <c r="S49" s="42"/>
      <c r="T49" s="37"/>
      <c r="U49" s="322">
        <f t="shared" si="5"/>
        <v>0</v>
      </c>
      <c r="V49" s="52" t="s">
        <v>144</v>
      </c>
      <c r="W49" s="42"/>
      <c r="X49" s="42"/>
      <c r="Y49" s="37"/>
      <c r="Z49" s="322">
        <f t="shared" si="6"/>
        <v>0</v>
      </c>
      <c r="AA49" s="52" t="s">
        <v>144</v>
      </c>
      <c r="AB49" s="42"/>
      <c r="AC49" s="42"/>
      <c r="AD49" s="37"/>
      <c r="AE49" s="322">
        <f t="shared" si="7"/>
        <v>0</v>
      </c>
      <c r="AF49" s="52" t="s">
        <v>144</v>
      </c>
      <c r="AG49" s="42"/>
      <c r="AH49" s="42"/>
      <c r="AI49" s="37"/>
      <c r="AJ49" s="322">
        <f t="shared" si="8"/>
        <v>0</v>
      </c>
    </row>
    <row r="50" spans="2:36" x14ac:dyDescent="0.2">
      <c r="B50" s="32" t="s">
        <v>365</v>
      </c>
      <c r="C50" t="s">
        <v>367</v>
      </c>
      <c r="D50" t="s">
        <v>255</v>
      </c>
      <c r="E50" s="33"/>
      <c r="G50" s="32" t="s">
        <v>365</v>
      </c>
      <c r="H50" t="s">
        <v>367</v>
      </c>
      <c r="I50" t="s">
        <v>256</v>
      </c>
      <c r="J50" s="33"/>
      <c r="L50" s="52" t="s">
        <v>145</v>
      </c>
      <c r="M50" s="42"/>
      <c r="N50" s="42"/>
      <c r="O50" s="37"/>
      <c r="P50" s="322">
        <f t="shared" si="9"/>
        <v>0</v>
      </c>
      <c r="Q50" s="165" t="s">
        <v>145</v>
      </c>
      <c r="R50" s="42"/>
      <c r="S50" s="42"/>
      <c r="T50" s="37"/>
      <c r="U50" s="322">
        <f t="shared" si="5"/>
        <v>0</v>
      </c>
      <c r="V50" s="52" t="s">
        <v>145</v>
      </c>
      <c r="W50" s="42"/>
      <c r="X50" s="42"/>
      <c r="Y50" s="309"/>
      <c r="Z50" s="322">
        <f t="shared" si="6"/>
        <v>0</v>
      </c>
      <c r="AA50" s="52" t="s">
        <v>145</v>
      </c>
      <c r="AB50" s="42"/>
      <c r="AC50" s="42"/>
      <c r="AD50" s="37"/>
      <c r="AE50" s="322">
        <f t="shared" si="7"/>
        <v>0</v>
      </c>
      <c r="AF50" s="52" t="s">
        <v>145</v>
      </c>
      <c r="AG50" s="42"/>
      <c r="AH50" s="42"/>
      <c r="AI50" s="37"/>
      <c r="AJ50" s="322">
        <f t="shared" si="8"/>
        <v>0</v>
      </c>
    </row>
    <row r="51" spans="2:36" ht="16" thickBot="1" x14ac:dyDescent="0.25">
      <c r="B51" s="34" t="s">
        <v>366</v>
      </c>
      <c r="C51" s="221" t="s">
        <v>256</v>
      </c>
      <c r="D51" s="221" t="s">
        <v>373</v>
      </c>
      <c r="E51" s="222"/>
      <c r="G51" s="34" t="s">
        <v>366</v>
      </c>
      <c r="H51" s="221" t="s">
        <v>240</v>
      </c>
      <c r="I51" s="221" t="s">
        <v>254</v>
      </c>
      <c r="J51" s="222"/>
      <c r="L51" s="55" t="s">
        <v>146</v>
      </c>
      <c r="M51" s="56"/>
      <c r="N51" s="56"/>
      <c r="O51" s="196"/>
      <c r="P51" s="323">
        <f t="shared" si="9"/>
        <v>0</v>
      </c>
      <c r="Q51" s="166" t="s">
        <v>146</v>
      </c>
      <c r="R51" s="56"/>
      <c r="S51" s="56"/>
      <c r="T51" s="196"/>
      <c r="U51" s="323">
        <f t="shared" si="5"/>
        <v>0</v>
      </c>
      <c r="V51" s="55" t="s">
        <v>146</v>
      </c>
      <c r="W51" s="56"/>
      <c r="X51" s="56"/>
      <c r="Y51" s="196"/>
      <c r="Z51" s="323">
        <f t="shared" si="6"/>
        <v>0</v>
      </c>
      <c r="AA51" s="55" t="s">
        <v>146</v>
      </c>
      <c r="AB51" s="56"/>
      <c r="AC51" s="56"/>
      <c r="AD51" s="196"/>
      <c r="AE51" s="323">
        <f t="shared" si="7"/>
        <v>0</v>
      </c>
      <c r="AF51" s="55" t="s">
        <v>146</v>
      </c>
      <c r="AG51" s="56"/>
      <c r="AH51" s="56"/>
      <c r="AI51" s="196"/>
      <c r="AJ51" s="323">
        <f t="shared" si="8"/>
        <v>0</v>
      </c>
    </row>
    <row r="52" spans="2:36" ht="16" thickBot="1" x14ac:dyDescent="0.25">
      <c r="L52" s="168" t="s">
        <v>174</v>
      </c>
      <c r="M52" s="91"/>
      <c r="N52" s="169"/>
      <c r="O52" s="81"/>
      <c r="P52" s="82"/>
      <c r="Q52" s="80" t="s">
        <v>174</v>
      </c>
      <c r="R52" s="83"/>
      <c r="S52" s="81"/>
      <c r="T52" s="81"/>
      <c r="U52" s="82"/>
      <c r="V52" s="80" t="s">
        <v>174</v>
      </c>
      <c r="W52" s="83"/>
      <c r="X52" s="81"/>
      <c r="Y52" s="81"/>
      <c r="Z52" s="82"/>
      <c r="AA52" s="80" t="s">
        <v>174</v>
      </c>
      <c r="AB52" s="83"/>
      <c r="AC52" s="81"/>
      <c r="AD52" s="81"/>
      <c r="AE52" s="82"/>
      <c r="AF52" s="80" t="s">
        <v>174</v>
      </c>
      <c r="AG52" s="83"/>
      <c r="AH52" s="81"/>
      <c r="AI52" s="81"/>
      <c r="AJ52" s="82"/>
    </row>
    <row r="53" spans="2:36" ht="16" thickBot="1" x14ac:dyDescent="0.25">
      <c r="L53" s="71" t="s">
        <v>150</v>
      </c>
      <c r="M53">
        <f>SUM(M44:M51)</f>
        <v>16</v>
      </c>
      <c r="N53" s="33">
        <f>SUM(N44:N51)</f>
        <v>0</v>
      </c>
      <c r="O53" s="33">
        <f>SUM(O44:O51)</f>
        <v>0</v>
      </c>
      <c r="Q53" s="57" t="s">
        <v>150</v>
      </c>
      <c r="R53">
        <f>SUM(R44:R51)</f>
        <v>0</v>
      </c>
      <c r="S53" s="33">
        <f>SUM(S44:S51)</f>
        <v>0</v>
      </c>
      <c r="T53" s="33">
        <f>SUM(T44:T51)</f>
        <v>0</v>
      </c>
      <c r="V53" s="57" t="s">
        <v>150</v>
      </c>
      <c r="W53">
        <f>SUM(W44:W51)</f>
        <v>0</v>
      </c>
      <c r="X53" s="33">
        <f>SUM(X44:X51)</f>
        <v>0</v>
      </c>
      <c r="Y53" s="33">
        <f>SUM(Y44:Y51)</f>
        <v>0</v>
      </c>
      <c r="AA53" s="71" t="s">
        <v>150</v>
      </c>
      <c r="AB53">
        <f>SUM(AB44:AB51)</f>
        <v>0</v>
      </c>
      <c r="AC53" s="33">
        <f>SUM(AC44:AC51)</f>
        <v>0</v>
      </c>
      <c r="AD53" s="33">
        <f>SUM(AD44:AD51)</f>
        <v>0</v>
      </c>
      <c r="AF53" s="71" t="s">
        <v>150</v>
      </c>
      <c r="AG53">
        <f>SUM(AG44:AG51)</f>
        <v>0</v>
      </c>
      <c r="AH53" s="33">
        <f>SUM(AH44:AH51)</f>
        <v>0</v>
      </c>
      <c r="AI53" s="33">
        <f>SUM(AI44:AI51)</f>
        <v>0</v>
      </c>
    </row>
    <row r="54" spans="2:36" ht="16" thickBot="1" x14ac:dyDescent="0.25">
      <c r="L54" s="74" t="s">
        <v>172</v>
      </c>
      <c r="M54" s="96">
        <v>8.3333333333333329E-2</v>
      </c>
      <c r="N54" s="96"/>
      <c r="O54" s="216"/>
      <c r="P54" s="328">
        <f>M54+N54</f>
        <v>8.3333333333333329E-2</v>
      </c>
      <c r="Q54" s="74" t="s">
        <v>172</v>
      </c>
      <c r="R54" s="96">
        <v>8.3333333333333329E-2</v>
      </c>
      <c r="S54" s="96">
        <v>2.7777777777777776E-2</v>
      </c>
      <c r="T54" s="329">
        <v>0</v>
      </c>
      <c r="U54" s="328">
        <f>R54+S54</f>
        <v>0.1111111111111111</v>
      </c>
      <c r="V54" s="74" t="s">
        <v>172</v>
      </c>
      <c r="W54" s="96">
        <v>4.1666666666666664E-2</v>
      </c>
      <c r="X54" s="96">
        <v>8.9583333333333334E-2</v>
      </c>
      <c r="Y54" s="329">
        <v>0</v>
      </c>
      <c r="Z54" s="328">
        <f>W54+X54</f>
        <v>0.13125000000000001</v>
      </c>
      <c r="AA54" s="74" t="s">
        <v>172</v>
      </c>
      <c r="AB54" s="96"/>
      <c r="AC54" s="72"/>
      <c r="AD54" s="102"/>
      <c r="AE54" s="328">
        <f>AB54+AC54</f>
        <v>0</v>
      </c>
      <c r="AF54" s="74" t="s">
        <v>172</v>
      </c>
      <c r="AG54" s="72">
        <v>0</v>
      </c>
      <c r="AH54" s="72"/>
      <c r="AI54" s="102"/>
      <c r="AJ54" s="328">
        <f>AG54+AH54</f>
        <v>0</v>
      </c>
    </row>
    <row r="55" spans="2:36" ht="16" thickBot="1" x14ac:dyDescent="0.25">
      <c r="L55" s="98" t="s">
        <v>191</v>
      </c>
      <c r="M55" s="161"/>
      <c r="N55" s="162"/>
      <c r="O55" s="163"/>
      <c r="Q55" s="98" t="s">
        <v>191</v>
      </c>
      <c r="R55" s="161"/>
      <c r="S55" s="162"/>
      <c r="T55" s="163"/>
      <c r="V55" s="98" t="s">
        <v>191</v>
      </c>
      <c r="W55" s="161"/>
      <c r="X55" s="162"/>
      <c r="Y55" s="163"/>
      <c r="AA55" s="98" t="s">
        <v>191</v>
      </c>
      <c r="AB55" s="161"/>
      <c r="AC55" s="162"/>
      <c r="AD55" s="163"/>
      <c r="AF55" s="98" t="s">
        <v>191</v>
      </c>
      <c r="AG55" s="161"/>
      <c r="AH55" s="162"/>
      <c r="AI55" s="163"/>
    </row>
    <row r="56" spans="2:36" ht="16" thickBot="1" x14ac:dyDescent="0.25"/>
    <row r="57" spans="2:36" ht="16" thickBot="1" x14ac:dyDescent="0.25">
      <c r="K57" s="61" t="s">
        <v>177</v>
      </c>
      <c r="L57" s="295">
        <v>45931</v>
      </c>
      <c r="M57" s="102" t="s">
        <v>166</v>
      </c>
      <c r="N57" s="103" t="s">
        <v>171</v>
      </c>
    </row>
    <row r="58" spans="2:36" x14ac:dyDescent="0.2">
      <c r="L58" s="65" t="s">
        <v>146</v>
      </c>
      <c r="M58" s="34">
        <f>P51+T51+Y51+AD51+AJ51</f>
        <v>0</v>
      </c>
      <c r="N58" s="101">
        <f>M58*13</f>
        <v>0</v>
      </c>
    </row>
    <row r="59" spans="2:36" x14ac:dyDescent="0.2">
      <c r="L59" s="45" t="s">
        <v>145</v>
      </c>
      <c r="M59" s="37">
        <f>P50+T50+Y50+AD50+AJ50</f>
        <v>0</v>
      </c>
      <c r="N59" s="69">
        <f t="shared" ref="N59:N61" si="10">M59*13</f>
        <v>0</v>
      </c>
    </row>
    <row r="60" spans="2:36" x14ac:dyDescent="0.2">
      <c r="L60" s="45" t="s">
        <v>144</v>
      </c>
      <c r="M60" s="37">
        <f>P49+T49+Y49+AD49+AJ49</f>
        <v>0</v>
      </c>
      <c r="N60" s="69">
        <f t="shared" si="10"/>
        <v>0</v>
      </c>
    </row>
    <row r="61" spans="2:36" x14ac:dyDescent="0.2">
      <c r="L61" s="45" t="s">
        <v>143</v>
      </c>
      <c r="M61" s="37">
        <f>P48+T48+Y48+AD48+AJ48</f>
        <v>0</v>
      </c>
      <c r="N61" s="69">
        <f t="shared" si="10"/>
        <v>0</v>
      </c>
    </row>
    <row r="62" spans="2:36" x14ac:dyDescent="0.2">
      <c r="L62" s="45" t="s">
        <v>142</v>
      </c>
      <c r="M62" s="37">
        <f>P47+T47+Y47+AD47+AJ47</f>
        <v>0</v>
      </c>
      <c r="N62" s="69">
        <f>M62*13</f>
        <v>0</v>
      </c>
    </row>
    <row r="63" spans="2:36" x14ac:dyDescent="0.2">
      <c r="L63" s="45" t="s">
        <v>149</v>
      </c>
      <c r="M63" s="37">
        <f>P46+T46+Y46+AD46+AJ46</f>
        <v>4</v>
      </c>
      <c r="N63" s="69">
        <f t="shared" ref="N63:N65" si="11">M63*13</f>
        <v>52</v>
      </c>
    </row>
    <row r="64" spans="2:36" x14ac:dyDescent="0.2">
      <c r="L64" s="45" t="s">
        <v>148</v>
      </c>
      <c r="M64" s="37">
        <f>P45+T45+Y45+AD45+AJ45</f>
        <v>8</v>
      </c>
      <c r="N64" s="69">
        <f t="shared" si="11"/>
        <v>104</v>
      </c>
    </row>
    <row r="65" spans="11:14" ht="16" thickBot="1" x14ac:dyDescent="0.25">
      <c r="L65" s="45" t="s">
        <v>141</v>
      </c>
      <c r="M65" s="37">
        <f>P44+T44+Y44+AD44+AJ44</f>
        <v>4</v>
      </c>
      <c r="N65" s="70">
        <f t="shared" si="11"/>
        <v>52</v>
      </c>
    </row>
    <row r="68" spans="11:14" ht="16" thickBot="1" x14ac:dyDescent="0.25"/>
    <row r="69" spans="11:14" ht="16" thickBot="1" x14ac:dyDescent="0.25">
      <c r="K69" s="299" t="s">
        <v>178</v>
      </c>
      <c r="L69" s="300" t="s">
        <v>127</v>
      </c>
      <c r="M69" s="301" t="s">
        <v>170</v>
      </c>
      <c r="N69" s="296" t="s">
        <v>422</v>
      </c>
    </row>
    <row r="70" spans="11:14" x14ac:dyDescent="0.2">
      <c r="K70" s="348" t="s">
        <v>467</v>
      </c>
      <c r="L70" s="349"/>
      <c r="M70" s="108">
        <f>P39+U39+Z39+AE39+AJ39</f>
        <v>208</v>
      </c>
      <c r="N70" s="297">
        <f>P38+U38+Z38+AE38+AJ38</f>
        <v>6.25E-2</v>
      </c>
    </row>
    <row r="71" spans="11:14" x14ac:dyDescent="0.2">
      <c r="K71" s="350" t="s">
        <v>207</v>
      </c>
      <c r="L71" s="351"/>
      <c r="M71" s="302"/>
      <c r="N71" s="298">
        <f t="shared" ref="N71:N72" si="12">P39+U39+Z39+AE39+AJ39</f>
        <v>208</v>
      </c>
    </row>
    <row r="72" spans="11:14" x14ac:dyDescent="0.2">
      <c r="K72" s="350" t="s">
        <v>196</v>
      </c>
      <c r="L72" s="351"/>
      <c r="M72" s="302"/>
      <c r="N72" s="298">
        <f t="shared" si="12"/>
        <v>16</v>
      </c>
    </row>
  </sheetData>
  <mergeCells count="13">
    <mergeCell ref="W36:Y36"/>
    <mergeCell ref="AB36:AD36"/>
    <mergeCell ref="AG36:AI36"/>
    <mergeCell ref="M35:P35"/>
    <mergeCell ref="R35:U35"/>
    <mergeCell ref="W35:Z35"/>
    <mergeCell ref="AB35:AE35"/>
    <mergeCell ref="AG35:AJ35"/>
    <mergeCell ref="K70:L70"/>
    <mergeCell ref="K71:L71"/>
    <mergeCell ref="K72:L72"/>
    <mergeCell ref="M36:O36"/>
    <mergeCell ref="R36:T36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BF344-DF27-4F79-8316-38BD7155F642}">
  <dimension ref="A1:AJ404"/>
  <sheetViews>
    <sheetView zoomScale="74" workbookViewId="0">
      <selection activeCell="G42" sqref="G42"/>
    </sheetView>
  </sheetViews>
  <sheetFormatPr baseColWidth="10" defaultColWidth="8.83203125" defaultRowHeight="15" x14ac:dyDescent="0.2"/>
  <cols>
    <col min="1" max="1" width="15.1640625" customWidth="1"/>
    <col min="2" max="2" width="10.6640625" customWidth="1"/>
    <col min="4" max="4" width="11.33203125" bestFit="1" customWidth="1"/>
    <col min="5" max="5" width="8.33203125" bestFit="1" customWidth="1"/>
    <col min="7" max="7" width="9.6640625" bestFit="1" customWidth="1"/>
    <col min="8" max="8" width="7.6640625" bestFit="1" customWidth="1"/>
    <col min="9" max="10" width="3.83203125" bestFit="1" customWidth="1"/>
    <col min="11" max="11" width="16.33203125" customWidth="1"/>
    <col min="12" max="12" width="17.5" bestFit="1" customWidth="1"/>
    <col min="14" max="14" width="8.6640625" customWidth="1"/>
    <col min="15" max="15" width="7.83203125" bestFit="1" customWidth="1"/>
    <col min="16" max="16" width="10.6640625" customWidth="1"/>
    <col min="17" max="17" width="10.33203125" bestFit="1" customWidth="1"/>
    <col min="19" max="19" width="7.83203125" bestFit="1" customWidth="1"/>
    <col min="20" max="20" width="10.33203125" bestFit="1" customWidth="1"/>
    <col min="22" max="22" width="10.33203125" bestFit="1" customWidth="1"/>
    <col min="24" max="24" width="10.33203125" bestFit="1" customWidth="1"/>
    <col min="27" max="28" width="10.33203125" bestFit="1" customWidth="1"/>
    <col min="31" max="31" width="10.33203125" bestFit="1" customWidth="1"/>
  </cols>
  <sheetData>
    <row r="1" spans="1:27" x14ac:dyDescent="0.2">
      <c r="A1" s="18" t="s">
        <v>73</v>
      </c>
      <c r="B1" t="s">
        <v>74</v>
      </c>
    </row>
    <row r="2" spans="1:27" x14ac:dyDescent="0.2">
      <c r="A2" s="18" t="s">
        <v>75</v>
      </c>
      <c r="B2" t="s">
        <v>76</v>
      </c>
    </row>
    <row r="4" spans="1:27" ht="16" thickBot="1" x14ac:dyDescent="0.25">
      <c r="A4" s="40">
        <v>45597</v>
      </c>
      <c r="B4" s="40">
        <v>45627</v>
      </c>
      <c r="C4" s="40">
        <v>45658</v>
      </c>
      <c r="D4" s="40">
        <v>45689</v>
      </c>
      <c r="E4" s="40">
        <v>45717</v>
      </c>
      <c r="F4" s="40">
        <v>45748</v>
      </c>
      <c r="G4" s="40">
        <v>45778</v>
      </c>
      <c r="K4" s="18" t="s">
        <v>127</v>
      </c>
      <c r="L4" s="40">
        <v>45597</v>
      </c>
    </row>
    <row r="5" spans="1:27" ht="16" thickBot="1" x14ac:dyDescent="0.25">
      <c r="A5" s="20" t="s">
        <v>77</v>
      </c>
      <c r="B5" s="21" t="s">
        <v>78</v>
      </c>
      <c r="C5" s="21" t="s">
        <v>78</v>
      </c>
      <c r="D5" s="21" t="s">
        <v>78</v>
      </c>
      <c r="E5" s="22" t="s">
        <v>79</v>
      </c>
      <c r="F5" s="23" t="s">
        <v>80</v>
      </c>
      <c r="G5" s="24" t="s">
        <v>81</v>
      </c>
      <c r="K5" t="s">
        <v>128</v>
      </c>
      <c r="L5" s="20" t="s">
        <v>83</v>
      </c>
      <c r="M5" s="76" t="s">
        <v>151</v>
      </c>
      <c r="N5" s="78" t="s">
        <v>167</v>
      </c>
    </row>
    <row r="6" spans="1:27" x14ac:dyDescent="0.2">
      <c r="A6" s="25" t="s">
        <v>83</v>
      </c>
      <c r="B6" s="25"/>
      <c r="C6" s="25"/>
      <c r="D6" s="25"/>
      <c r="E6" s="25"/>
      <c r="F6" s="25" t="s">
        <v>84</v>
      </c>
      <c r="G6" s="25"/>
      <c r="K6" t="s">
        <v>94</v>
      </c>
      <c r="L6" t="s">
        <v>133</v>
      </c>
    </row>
    <row r="7" spans="1:27" x14ac:dyDescent="0.2">
      <c r="K7" t="s">
        <v>129</v>
      </c>
      <c r="L7" t="s">
        <v>134</v>
      </c>
    </row>
    <row r="8" spans="1:27" x14ac:dyDescent="0.2">
      <c r="A8" s="18" t="s">
        <v>87</v>
      </c>
      <c r="K8" t="s">
        <v>130</v>
      </c>
      <c r="L8" t="s">
        <v>119</v>
      </c>
    </row>
    <row r="9" spans="1:27" x14ac:dyDescent="0.2">
      <c r="K9" t="s">
        <v>131</v>
      </c>
      <c r="L9" t="s">
        <v>121</v>
      </c>
    </row>
    <row r="10" spans="1:27" ht="16" thickBot="1" x14ac:dyDescent="0.25">
      <c r="A10" s="26" t="s">
        <v>90</v>
      </c>
      <c r="B10" s="26" t="s">
        <v>85</v>
      </c>
      <c r="C10" s="26" t="s">
        <v>78</v>
      </c>
      <c r="D10" s="26" t="s">
        <v>79</v>
      </c>
      <c r="E10" s="26" t="s">
        <v>91</v>
      </c>
      <c r="F10" s="26" t="s">
        <v>81</v>
      </c>
      <c r="G10" s="26" t="s">
        <v>92</v>
      </c>
      <c r="K10" t="s">
        <v>132</v>
      </c>
      <c r="L10" t="s">
        <v>119</v>
      </c>
    </row>
    <row r="11" spans="1:27" x14ac:dyDescent="0.2">
      <c r="A11" t="s">
        <v>94</v>
      </c>
      <c r="B11" s="27" t="s">
        <v>95</v>
      </c>
      <c r="C11" s="27" t="s">
        <v>96</v>
      </c>
      <c r="D11" s="27" t="s">
        <v>95</v>
      </c>
      <c r="E11" s="27" t="s">
        <v>97</v>
      </c>
      <c r="F11" s="27" t="s">
        <v>98</v>
      </c>
      <c r="G11" s="27" t="s">
        <v>95</v>
      </c>
      <c r="M11" s="368" t="s">
        <v>135</v>
      </c>
      <c r="N11" s="369"/>
      <c r="O11" s="370"/>
      <c r="Q11" s="368" t="s">
        <v>135</v>
      </c>
      <c r="R11" s="369"/>
      <c r="S11" s="370"/>
      <c r="U11" s="368" t="s">
        <v>135</v>
      </c>
      <c r="V11" s="369"/>
      <c r="W11" s="370"/>
      <c r="Y11" s="368" t="s">
        <v>135</v>
      </c>
      <c r="Z11" s="369"/>
      <c r="AA11" s="370"/>
    </row>
    <row r="12" spans="1:27" ht="16" thickBot="1" x14ac:dyDescent="0.25">
      <c r="B12" s="28" t="s">
        <v>101</v>
      </c>
      <c r="C12" s="28" t="s">
        <v>101</v>
      </c>
      <c r="D12" s="28" t="s">
        <v>101</v>
      </c>
      <c r="E12" s="28" t="s">
        <v>101</v>
      </c>
      <c r="F12" s="28" t="s">
        <v>101</v>
      </c>
      <c r="G12" s="28" t="s">
        <v>101</v>
      </c>
      <c r="M12" s="371">
        <v>46</v>
      </c>
      <c r="N12" s="372"/>
      <c r="O12" s="44" t="s">
        <v>147</v>
      </c>
      <c r="Q12" s="371">
        <v>47</v>
      </c>
      <c r="R12" s="372"/>
      <c r="S12" s="44" t="s">
        <v>147</v>
      </c>
      <c r="U12" s="371">
        <v>48</v>
      </c>
      <c r="V12" s="372"/>
      <c r="W12" s="44" t="s">
        <v>147</v>
      </c>
      <c r="Y12" s="371">
        <v>49</v>
      </c>
      <c r="Z12" s="372"/>
      <c r="AA12" s="44" t="s">
        <v>147</v>
      </c>
    </row>
    <row r="13" spans="1:27" x14ac:dyDescent="0.2">
      <c r="L13" s="49" t="s">
        <v>136</v>
      </c>
      <c r="M13" s="50">
        <v>1</v>
      </c>
      <c r="N13" s="50">
        <v>1</v>
      </c>
      <c r="O13" s="51">
        <f>SUM(M13:N13)+O28</f>
        <v>2</v>
      </c>
      <c r="P13" s="49" t="s">
        <v>136</v>
      </c>
      <c r="Q13" s="50">
        <v>1</v>
      </c>
      <c r="R13" s="50"/>
      <c r="S13" s="51">
        <f>SUM(Q13:R13)+S28</f>
        <v>1</v>
      </c>
      <c r="T13" s="49" t="s">
        <v>136</v>
      </c>
      <c r="U13" s="50">
        <v>1</v>
      </c>
      <c r="V13" s="50"/>
      <c r="W13" s="51">
        <f>SUM(U13:V13)+W28</f>
        <v>1</v>
      </c>
      <c r="X13" s="49" t="s">
        <v>136</v>
      </c>
      <c r="Y13" s="50">
        <v>1</v>
      </c>
      <c r="Z13" s="50"/>
      <c r="AA13" s="51">
        <f>SUM(Y13:Z13)+AA28</f>
        <v>2</v>
      </c>
    </row>
    <row r="14" spans="1:27" x14ac:dyDescent="0.2">
      <c r="A14" s="29" t="s">
        <v>104</v>
      </c>
      <c r="B14" s="30" t="s">
        <v>105</v>
      </c>
      <c r="C14" s="30" t="s">
        <v>106</v>
      </c>
      <c r="D14" s="30" t="s">
        <v>107</v>
      </c>
      <c r="E14" s="30"/>
      <c r="F14" s="30" t="s">
        <v>108</v>
      </c>
      <c r="G14" s="30" t="s">
        <v>109</v>
      </c>
      <c r="H14" s="31" t="s">
        <v>110</v>
      </c>
      <c r="L14" s="52" t="s">
        <v>94</v>
      </c>
      <c r="M14" s="46">
        <v>6.25E-2</v>
      </c>
      <c r="N14" s="47">
        <v>4.1666666666666664E-2</v>
      </c>
      <c r="O14" s="53">
        <f>SUM(M14:N14)</f>
        <v>0.10416666666666666</v>
      </c>
      <c r="P14" s="52" t="s">
        <v>94</v>
      </c>
      <c r="Q14" s="46">
        <v>6.9444444444444448E-2</v>
      </c>
      <c r="R14" s="47"/>
      <c r="S14" s="53">
        <f t="shared" ref="S14:S16" si="0">SUM(Q14:R14)</f>
        <v>6.9444444444444448E-2</v>
      </c>
      <c r="T14" s="52" t="s">
        <v>94</v>
      </c>
      <c r="U14" s="46">
        <v>8.3333333333333329E-2</v>
      </c>
      <c r="V14" s="47"/>
      <c r="W14" s="53">
        <f t="shared" ref="W14:W16" si="1">SUM(U14:V14)</f>
        <v>8.3333333333333329E-2</v>
      </c>
      <c r="X14" s="52" t="s">
        <v>94</v>
      </c>
      <c r="Y14" s="46">
        <v>8.3333333333333329E-2</v>
      </c>
      <c r="Z14" s="47"/>
      <c r="AA14" s="53">
        <f>SUM(Y14:Z14)</f>
        <v>8.3333333333333329E-2</v>
      </c>
    </row>
    <row r="15" spans="1:27" x14ac:dyDescent="0.2">
      <c r="A15" s="32"/>
      <c r="C15" t="s">
        <v>105</v>
      </c>
      <c r="D15" t="s">
        <v>105</v>
      </c>
      <c r="F15" t="s">
        <v>111</v>
      </c>
      <c r="G15" t="s">
        <v>108</v>
      </c>
      <c r="H15" s="33"/>
      <c r="L15" s="52" t="s">
        <v>137</v>
      </c>
      <c r="M15" s="48">
        <v>234</v>
      </c>
      <c r="N15" s="48">
        <v>260</v>
      </c>
      <c r="O15" s="54">
        <f>SUM(M15:N15)</f>
        <v>494</v>
      </c>
      <c r="P15" s="52" t="s">
        <v>137</v>
      </c>
      <c r="Q15" s="48">
        <f>22*13</f>
        <v>286</v>
      </c>
      <c r="R15" s="48"/>
      <c r="S15" s="54">
        <f t="shared" si="0"/>
        <v>286</v>
      </c>
      <c r="T15" s="52" t="s">
        <v>137</v>
      </c>
      <c r="U15" s="48">
        <v>125</v>
      </c>
      <c r="V15" s="48"/>
      <c r="W15" s="54">
        <f t="shared" si="1"/>
        <v>125</v>
      </c>
      <c r="X15" s="52" t="s">
        <v>137</v>
      </c>
      <c r="Y15" s="48">
        <v>260</v>
      </c>
      <c r="Z15" s="48"/>
      <c r="AA15" s="54">
        <f t="shared" ref="AA15:AA16" si="2">SUM(Y15:Z15)</f>
        <v>260</v>
      </c>
    </row>
    <row r="16" spans="1:27" x14ac:dyDescent="0.2">
      <c r="A16" s="34"/>
      <c r="B16" s="35" t="s">
        <v>112</v>
      </c>
      <c r="C16" s="35" t="s">
        <v>113</v>
      </c>
      <c r="D16" s="35" t="s">
        <v>114</v>
      </c>
      <c r="E16" s="35" t="s">
        <v>115</v>
      </c>
      <c r="F16" s="35" t="s">
        <v>116</v>
      </c>
      <c r="G16" s="35" t="s">
        <v>117</v>
      </c>
      <c r="H16" s="36"/>
      <c r="L16" s="52" t="s">
        <v>138</v>
      </c>
      <c r="M16" s="42">
        <v>18</v>
      </c>
      <c r="N16" s="42">
        <v>20</v>
      </c>
      <c r="O16" s="54">
        <f>SUM(M16:N16)</f>
        <v>38</v>
      </c>
      <c r="P16" s="52" t="s">
        <v>138</v>
      </c>
      <c r="Q16" s="42">
        <v>22</v>
      </c>
      <c r="R16" s="42"/>
      <c r="S16" s="54">
        <f t="shared" si="0"/>
        <v>22</v>
      </c>
      <c r="T16" s="52" t="s">
        <v>138</v>
      </c>
      <c r="U16" s="42">
        <v>15</v>
      </c>
      <c r="V16" s="42"/>
      <c r="W16" s="54">
        <f t="shared" si="1"/>
        <v>15</v>
      </c>
      <c r="X16" s="52" t="s">
        <v>138</v>
      </c>
      <c r="Y16" s="42">
        <v>20</v>
      </c>
      <c r="Z16" s="42"/>
      <c r="AA16" s="54">
        <f t="shared" si="2"/>
        <v>20</v>
      </c>
    </row>
    <row r="17" spans="1:27" ht="16" thickBot="1" x14ac:dyDescent="0.25">
      <c r="A17" s="37" t="s">
        <v>118</v>
      </c>
      <c r="B17" s="38" t="s">
        <v>119</v>
      </c>
      <c r="C17" s="38" t="s">
        <v>120</v>
      </c>
      <c r="D17" s="38" t="s">
        <v>119</v>
      </c>
      <c r="E17" s="38" t="s">
        <v>121</v>
      </c>
      <c r="F17" s="38" t="s">
        <v>121</v>
      </c>
      <c r="G17" s="39" t="s">
        <v>121</v>
      </c>
      <c r="L17" s="55" t="s">
        <v>139</v>
      </c>
      <c r="M17" s="56">
        <v>13</v>
      </c>
      <c r="N17" s="56">
        <v>13</v>
      </c>
      <c r="O17" s="43">
        <f>AVERAGE(M17:N17)</f>
        <v>13</v>
      </c>
      <c r="P17" s="55" t="s">
        <v>139</v>
      </c>
      <c r="Q17" s="56">
        <v>13</v>
      </c>
      <c r="R17" s="56"/>
      <c r="S17" s="43">
        <f>AVERAGE(Q17:R17)</f>
        <v>13</v>
      </c>
      <c r="T17" s="55" t="s">
        <v>139</v>
      </c>
      <c r="U17" s="56">
        <v>10</v>
      </c>
      <c r="V17" s="56"/>
      <c r="W17" s="43">
        <f>AVERAGE(U17:V17)</f>
        <v>10</v>
      </c>
      <c r="X17" s="55" t="s">
        <v>139</v>
      </c>
      <c r="Y17" s="56">
        <v>13</v>
      </c>
      <c r="Z17" s="56"/>
      <c r="AA17" s="43">
        <f>AVERAGE(Y17:Z17)</f>
        <v>13</v>
      </c>
    </row>
    <row r="18" spans="1:27" ht="16" thickBot="1" x14ac:dyDescent="0.25">
      <c r="A18" s="37" t="s">
        <v>122</v>
      </c>
      <c r="B18" s="38" t="s">
        <v>121</v>
      </c>
      <c r="C18" s="38" t="s">
        <v>123</v>
      </c>
      <c r="D18" s="38" t="s">
        <v>120</v>
      </c>
      <c r="E18" s="38" t="s">
        <v>120</v>
      </c>
      <c r="F18" s="38" t="s">
        <v>120</v>
      </c>
      <c r="G18" s="39" t="s">
        <v>124</v>
      </c>
      <c r="L18" s="41" t="s">
        <v>140</v>
      </c>
      <c r="P18" s="41" t="s">
        <v>140</v>
      </c>
      <c r="T18" s="41" t="s">
        <v>140</v>
      </c>
      <c r="X18" s="41" t="s">
        <v>140</v>
      </c>
    </row>
    <row r="19" spans="1:27" x14ac:dyDescent="0.2">
      <c r="A19" s="37" t="s">
        <v>125</v>
      </c>
      <c r="B19" s="38" t="s">
        <v>119</v>
      </c>
      <c r="C19" s="38" t="s">
        <v>120</v>
      </c>
      <c r="D19" s="38" t="s">
        <v>119</v>
      </c>
      <c r="E19" s="38" t="s">
        <v>121</v>
      </c>
      <c r="F19" s="38" t="s">
        <v>126</v>
      </c>
      <c r="G19" s="39" t="s">
        <v>121</v>
      </c>
      <c r="L19" s="49" t="s">
        <v>141</v>
      </c>
      <c r="M19" s="50">
        <v>4</v>
      </c>
      <c r="N19" s="50">
        <f>4+4</f>
        <v>8</v>
      </c>
      <c r="O19" s="51">
        <f>SUM(M19:N19)</f>
        <v>12</v>
      </c>
      <c r="P19" s="49" t="s">
        <v>141</v>
      </c>
      <c r="Q19" s="50">
        <v>3</v>
      </c>
      <c r="R19" s="50"/>
      <c r="S19" s="51">
        <f>SUM(Q19:R19)</f>
        <v>3</v>
      </c>
      <c r="T19" s="49" t="s">
        <v>141</v>
      </c>
      <c r="U19" s="50">
        <v>3</v>
      </c>
      <c r="V19" s="50"/>
      <c r="W19" s="51">
        <f>SUM(U19:V19)</f>
        <v>3</v>
      </c>
      <c r="X19" s="49" t="s">
        <v>141</v>
      </c>
      <c r="Y19" s="50">
        <v>1</v>
      </c>
      <c r="Z19" s="50"/>
      <c r="AA19" s="51">
        <f>SUM(Y19:Z19)</f>
        <v>1</v>
      </c>
    </row>
    <row r="20" spans="1:27" x14ac:dyDescent="0.2">
      <c r="L20" s="52" t="s">
        <v>148</v>
      </c>
      <c r="M20" s="42">
        <f>6</f>
        <v>6</v>
      </c>
      <c r="N20" s="42">
        <f>4+6</f>
        <v>10</v>
      </c>
      <c r="O20" s="54">
        <f t="shared" ref="O20:O26" si="3">SUM(M20:N20)</f>
        <v>16</v>
      </c>
      <c r="P20" s="52" t="s">
        <v>148</v>
      </c>
      <c r="Q20" s="42">
        <v>10</v>
      </c>
      <c r="R20" s="42"/>
      <c r="S20" s="54">
        <f t="shared" ref="S20:S26" si="4">SUM(Q20:R20)</f>
        <v>10</v>
      </c>
      <c r="T20" s="52" t="s">
        <v>148</v>
      </c>
      <c r="U20" s="42">
        <v>5</v>
      </c>
      <c r="V20" s="42"/>
      <c r="W20" s="54">
        <f t="shared" ref="W20:W26" si="5">SUM(U20:V20)</f>
        <v>5</v>
      </c>
      <c r="X20" s="52" t="s">
        <v>148</v>
      </c>
      <c r="Y20" s="42">
        <v>14</v>
      </c>
      <c r="Z20" s="42"/>
      <c r="AA20" s="54">
        <f t="shared" ref="AA20:AA26" si="6">SUM(Y20:Z20)</f>
        <v>14</v>
      </c>
    </row>
    <row r="21" spans="1:27" x14ac:dyDescent="0.2">
      <c r="L21" s="52" t="s">
        <v>149</v>
      </c>
      <c r="M21" s="42">
        <v>8</v>
      </c>
      <c r="N21" s="42">
        <v>0</v>
      </c>
      <c r="O21" s="54">
        <f t="shared" si="3"/>
        <v>8</v>
      </c>
      <c r="P21" s="52" t="s">
        <v>149</v>
      </c>
      <c r="Q21" s="42">
        <v>7</v>
      </c>
      <c r="R21" s="42"/>
      <c r="S21" s="54">
        <f t="shared" si="4"/>
        <v>7</v>
      </c>
      <c r="T21" s="52" t="s">
        <v>149</v>
      </c>
      <c r="U21" s="42">
        <v>3</v>
      </c>
      <c r="V21" s="42"/>
      <c r="W21" s="54">
        <f t="shared" si="5"/>
        <v>3</v>
      </c>
      <c r="X21" s="52" t="s">
        <v>149</v>
      </c>
      <c r="Y21" s="42">
        <v>3</v>
      </c>
      <c r="Z21" s="42"/>
      <c r="AA21" s="54">
        <f t="shared" si="6"/>
        <v>3</v>
      </c>
    </row>
    <row r="22" spans="1:27" x14ac:dyDescent="0.2">
      <c r="L22" s="52" t="s">
        <v>142</v>
      </c>
      <c r="M22" s="42">
        <v>0</v>
      </c>
      <c r="N22" s="42">
        <v>2</v>
      </c>
      <c r="O22" s="54">
        <f t="shared" si="3"/>
        <v>2</v>
      </c>
      <c r="P22" s="52" t="s">
        <v>142</v>
      </c>
      <c r="Q22" s="42">
        <v>2</v>
      </c>
      <c r="R22" s="42"/>
      <c r="S22" s="54">
        <f t="shared" si="4"/>
        <v>2</v>
      </c>
      <c r="T22" s="52" t="s">
        <v>142</v>
      </c>
      <c r="U22" s="42">
        <v>3</v>
      </c>
      <c r="V22" s="42"/>
      <c r="W22" s="54">
        <f t="shared" si="5"/>
        <v>3</v>
      </c>
      <c r="X22" s="52" t="s">
        <v>142</v>
      </c>
      <c r="Y22" s="42">
        <v>2</v>
      </c>
      <c r="Z22" s="42"/>
      <c r="AA22" s="54">
        <f t="shared" si="6"/>
        <v>2</v>
      </c>
    </row>
    <row r="23" spans="1:27" x14ac:dyDescent="0.2">
      <c r="G23">
        <v>47</v>
      </c>
      <c r="H23">
        <v>48</v>
      </c>
      <c r="I23">
        <v>49</v>
      </c>
      <c r="L23" s="52" t="s">
        <v>143</v>
      </c>
      <c r="M23" s="42">
        <v>0</v>
      </c>
      <c r="N23" s="42"/>
      <c r="O23" s="54">
        <f t="shared" si="3"/>
        <v>0</v>
      </c>
      <c r="P23" s="52" t="s">
        <v>143</v>
      </c>
      <c r="Q23" s="42">
        <v>0</v>
      </c>
      <c r="R23" s="42"/>
      <c r="S23" s="54">
        <f t="shared" si="4"/>
        <v>0</v>
      </c>
      <c r="T23" s="52" t="s">
        <v>143</v>
      </c>
      <c r="U23" s="42">
        <v>4</v>
      </c>
      <c r="V23" s="42"/>
      <c r="W23" s="54">
        <f t="shared" si="5"/>
        <v>4</v>
      </c>
      <c r="X23" s="52" t="s">
        <v>143</v>
      </c>
      <c r="Y23" s="42">
        <v>0</v>
      </c>
      <c r="Z23" s="42"/>
      <c r="AA23" s="54">
        <f t="shared" si="6"/>
        <v>0</v>
      </c>
    </row>
    <row r="24" spans="1:27" x14ac:dyDescent="0.2">
      <c r="L24" s="52" t="s">
        <v>144</v>
      </c>
      <c r="M24" s="42">
        <v>0</v>
      </c>
      <c r="N24" s="42"/>
      <c r="O24" s="54">
        <f t="shared" si="3"/>
        <v>0</v>
      </c>
      <c r="P24" s="52" t="s">
        <v>144</v>
      </c>
      <c r="Q24" s="42">
        <v>0</v>
      </c>
      <c r="R24" s="42"/>
      <c r="S24" s="54">
        <f t="shared" si="4"/>
        <v>0</v>
      </c>
      <c r="T24" s="52" t="s">
        <v>144</v>
      </c>
      <c r="U24" s="42">
        <v>0</v>
      </c>
      <c r="V24" s="42"/>
      <c r="W24" s="54">
        <f t="shared" si="5"/>
        <v>0</v>
      </c>
      <c r="X24" s="52" t="s">
        <v>144</v>
      </c>
      <c r="Y24" s="42">
        <v>0</v>
      </c>
      <c r="Z24" s="42"/>
      <c r="AA24" s="54">
        <f t="shared" si="6"/>
        <v>0</v>
      </c>
    </row>
    <row r="25" spans="1:27" x14ac:dyDescent="0.2">
      <c r="L25" s="52" t="s">
        <v>145</v>
      </c>
      <c r="M25" s="42">
        <v>0</v>
      </c>
      <c r="N25" s="42"/>
      <c r="O25" s="54">
        <f t="shared" si="3"/>
        <v>0</v>
      </c>
      <c r="P25" s="52" t="s">
        <v>145</v>
      </c>
      <c r="Q25" s="42">
        <v>0</v>
      </c>
      <c r="R25" s="42"/>
      <c r="S25" s="54">
        <f t="shared" si="4"/>
        <v>0</v>
      </c>
      <c r="T25" s="52" t="s">
        <v>145</v>
      </c>
      <c r="U25" s="42">
        <v>0</v>
      </c>
      <c r="V25" s="42"/>
      <c r="W25" s="54">
        <f t="shared" si="5"/>
        <v>0</v>
      </c>
      <c r="X25" s="52" t="s">
        <v>145</v>
      </c>
      <c r="Y25" s="42">
        <v>0</v>
      </c>
      <c r="Z25" s="42"/>
      <c r="AA25" s="54">
        <f t="shared" si="6"/>
        <v>0</v>
      </c>
    </row>
    <row r="26" spans="1:27" ht="16" thickBot="1" x14ac:dyDescent="0.25">
      <c r="L26" s="55" t="s">
        <v>146</v>
      </c>
      <c r="M26" s="56">
        <v>0</v>
      </c>
      <c r="N26" s="56"/>
      <c r="O26" s="43">
        <f t="shared" si="3"/>
        <v>0</v>
      </c>
      <c r="P26" s="55" t="s">
        <v>146</v>
      </c>
      <c r="Q26" s="56">
        <v>0</v>
      </c>
      <c r="R26" s="56"/>
      <c r="S26" s="43">
        <f t="shared" si="4"/>
        <v>0</v>
      </c>
      <c r="T26" s="55" t="s">
        <v>146</v>
      </c>
      <c r="U26" s="56">
        <v>0</v>
      </c>
      <c r="V26" s="56"/>
      <c r="W26" s="43">
        <f t="shared" si="5"/>
        <v>0</v>
      </c>
      <c r="X26" s="55" t="s">
        <v>146</v>
      </c>
      <c r="Y26" s="56">
        <v>0</v>
      </c>
      <c r="Z26" s="56"/>
      <c r="AA26" s="43">
        <f t="shared" si="6"/>
        <v>0</v>
      </c>
    </row>
    <row r="27" spans="1:27" ht="16" thickBot="1" x14ac:dyDescent="0.25">
      <c r="L27" s="57" t="s">
        <v>150</v>
      </c>
      <c r="M27" s="35">
        <f>SUM(M19:M26)</f>
        <v>18</v>
      </c>
      <c r="N27" s="36">
        <f>SUM(N19:N26)</f>
        <v>20</v>
      </c>
      <c r="P27" s="57" t="s">
        <v>150</v>
      </c>
      <c r="Q27" s="35">
        <f>SUM(Q19:Q26)</f>
        <v>22</v>
      </c>
      <c r="R27" s="36">
        <f>SUM(R19:R26)</f>
        <v>0</v>
      </c>
      <c r="T27" s="57" t="s">
        <v>150</v>
      </c>
      <c r="U27" s="35">
        <f>SUM(U19:U26)</f>
        <v>18</v>
      </c>
      <c r="V27" s="36">
        <f>SUM(V19:V26)</f>
        <v>0</v>
      </c>
      <c r="X27" s="71" t="s">
        <v>150</v>
      </c>
      <c r="Y27">
        <f>SUM(Y19:Y26)</f>
        <v>20</v>
      </c>
      <c r="Z27" s="33">
        <f>SUM(Z19:Z26)</f>
        <v>0</v>
      </c>
    </row>
    <row r="28" spans="1:27" ht="16" thickBot="1" x14ac:dyDescent="0.25">
      <c r="L28" s="74" t="s">
        <v>172</v>
      </c>
      <c r="M28" s="72">
        <v>0</v>
      </c>
      <c r="N28" s="72"/>
      <c r="O28" s="73">
        <f>M28+N28</f>
        <v>0</v>
      </c>
      <c r="P28" s="74" t="s">
        <v>172</v>
      </c>
      <c r="Q28" s="72">
        <v>0</v>
      </c>
      <c r="R28" s="72"/>
      <c r="S28" s="73">
        <f>Q28+R28</f>
        <v>0</v>
      </c>
      <c r="T28" s="74" t="s">
        <v>172</v>
      </c>
      <c r="U28" s="72">
        <v>0</v>
      </c>
      <c r="V28" s="72"/>
      <c r="W28" s="73">
        <f>U28+V28</f>
        <v>0</v>
      </c>
      <c r="X28" s="74" t="s">
        <v>172</v>
      </c>
      <c r="Y28" s="72">
        <v>1</v>
      </c>
      <c r="Z28" s="72"/>
      <c r="AA28" s="73">
        <f>Y28+Z28</f>
        <v>1</v>
      </c>
    </row>
    <row r="30" spans="1:27" ht="16" thickBot="1" x14ac:dyDescent="0.25"/>
    <row r="31" spans="1:27" ht="16" thickBot="1" x14ac:dyDescent="0.25">
      <c r="K31" s="61" t="s">
        <v>164</v>
      </c>
      <c r="L31" s="66" t="s">
        <v>165</v>
      </c>
      <c r="M31" s="102" t="s">
        <v>166</v>
      </c>
      <c r="N31" s="103" t="s">
        <v>171</v>
      </c>
    </row>
    <row r="32" spans="1:27" x14ac:dyDescent="0.2">
      <c r="L32" s="65" t="s">
        <v>146</v>
      </c>
      <c r="M32" s="34">
        <f>SUM(M26:O26)+SUM(Q26:S26)+SUM(U26:W26)+SUM(Y26:AA26)</f>
        <v>0</v>
      </c>
      <c r="N32" s="101">
        <f>M32*13</f>
        <v>0</v>
      </c>
    </row>
    <row r="33" spans="11:14" x14ac:dyDescent="0.2">
      <c r="L33" s="45" t="s">
        <v>145</v>
      </c>
      <c r="M33" s="37">
        <f>SUM(M25:O25)+SUM(Q25:S25)+SUM(U25:W25)+SUM(Y25:AA25)</f>
        <v>0</v>
      </c>
      <c r="N33" s="69">
        <f t="shared" ref="N33:N39" si="7">M33*13</f>
        <v>0</v>
      </c>
    </row>
    <row r="34" spans="11:14" x14ac:dyDescent="0.2">
      <c r="L34" s="45" t="s">
        <v>144</v>
      </c>
      <c r="M34" s="37">
        <f>SUM(M24:O24)+SUM(Q24:S24)+SUM(U24:W24)+SUM(Y24:AA24)</f>
        <v>0</v>
      </c>
      <c r="N34" s="69">
        <f t="shared" si="7"/>
        <v>0</v>
      </c>
    </row>
    <row r="35" spans="11:14" x14ac:dyDescent="0.2">
      <c r="L35" s="45" t="s">
        <v>143</v>
      </c>
      <c r="M35" s="37">
        <f>SUM(M23:O23)+SUM(Q23:S23)+SUM(U23:W23)+SUM(Y23:AA23)</f>
        <v>8</v>
      </c>
      <c r="N35" s="69">
        <f>M35*13</f>
        <v>104</v>
      </c>
    </row>
    <row r="36" spans="11:14" x14ac:dyDescent="0.2">
      <c r="L36" s="45" t="s">
        <v>142</v>
      </c>
      <c r="M36" s="37">
        <f>SUM(M22:O22)+SUM(Q22:S22)+SUM(U22:W22)+SUM(Y22:AA22)</f>
        <v>18</v>
      </c>
      <c r="N36" s="69">
        <f t="shared" si="7"/>
        <v>234</v>
      </c>
    </row>
    <row r="37" spans="11:14" x14ac:dyDescent="0.2">
      <c r="L37" s="45" t="s">
        <v>149</v>
      </c>
      <c r="M37" s="37">
        <f>SUM(M21:O21)+SUM(Q21:S21)+SUM(U21:W21)+SUM(Y21:AA21)</f>
        <v>42</v>
      </c>
      <c r="N37" s="69">
        <f t="shared" si="7"/>
        <v>546</v>
      </c>
    </row>
    <row r="38" spans="11:14" x14ac:dyDescent="0.2">
      <c r="L38" s="45" t="s">
        <v>148</v>
      </c>
      <c r="M38" s="37">
        <f>SUM(M20:O20)+SUM(Q20:S20)+SUM(U20:W20)+SUM(Y20:AA20)</f>
        <v>90</v>
      </c>
      <c r="N38" s="69">
        <f t="shared" si="7"/>
        <v>1170</v>
      </c>
    </row>
    <row r="39" spans="11:14" ht="16" thickBot="1" x14ac:dyDescent="0.25">
      <c r="L39" s="45" t="s">
        <v>141</v>
      </c>
      <c r="M39" s="37">
        <f>SUM(M19:O19)+SUM(Q19:S19)+SUM(U19:W19)+SUM(Y19:AA19)</f>
        <v>38</v>
      </c>
      <c r="N39" s="70">
        <f t="shared" si="7"/>
        <v>494</v>
      </c>
    </row>
    <row r="42" spans="11:14" ht="16" thickBot="1" x14ac:dyDescent="0.25"/>
    <row r="43" spans="11:14" ht="16" thickBot="1" x14ac:dyDescent="0.25">
      <c r="K43" s="61" t="s">
        <v>168</v>
      </c>
      <c r="L43" s="66" t="s">
        <v>165</v>
      </c>
      <c r="M43" s="67" t="s">
        <v>170</v>
      </c>
    </row>
    <row r="44" spans="11:14" x14ac:dyDescent="0.2">
      <c r="L44" s="65">
        <f>M12</f>
        <v>46</v>
      </c>
      <c r="M44" s="63">
        <f>O15</f>
        <v>494</v>
      </c>
    </row>
    <row r="45" spans="11:14" x14ac:dyDescent="0.2">
      <c r="L45" s="45">
        <f>Q12</f>
        <v>47</v>
      </c>
      <c r="M45" s="42">
        <f>S15</f>
        <v>286</v>
      </c>
    </row>
    <row r="46" spans="11:14" x14ac:dyDescent="0.2">
      <c r="L46" s="45">
        <f>U12</f>
        <v>48</v>
      </c>
      <c r="M46" s="42">
        <f>W15</f>
        <v>125</v>
      </c>
    </row>
    <row r="47" spans="11:14" ht="16" thickBot="1" x14ac:dyDescent="0.25">
      <c r="L47" s="64">
        <f>Y12</f>
        <v>49</v>
      </c>
      <c r="M47" s="56">
        <f>AA15</f>
        <v>260</v>
      </c>
    </row>
    <row r="48" spans="11:14" x14ac:dyDescent="0.2">
      <c r="K48" s="37"/>
      <c r="L48" s="62" t="s">
        <v>169</v>
      </c>
      <c r="M48" s="68">
        <f>O15+S15+W15+AA15</f>
        <v>1165</v>
      </c>
    </row>
    <row r="55" spans="1:30" ht="16" thickBot="1" x14ac:dyDescent="0.25"/>
    <row r="56" spans="1:30" ht="16" thickBot="1" x14ac:dyDescent="0.25">
      <c r="I56" s="76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8"/>
    </row>
    <row r="57" spans="1:30" x14ac:dyDescent="0.2">
      <c r="A57" s="18" t="s">
        <v>75</v>
      </c>
      <c r="B57" t="s">
        <v>76</v>
      </c>
    </row>
    <row r="59" spans="1:30" ht="16" thickBot="1" x14ac:dyDescent="0.25">
      <c r="A59" s="40">
        <v>45597</v>
      </c>
      <c r="B59" s="40">
        <v>45627</v>
      </c>
      <c r="C59" s="40">
        <v>45658</v>
      </c>
      <c r="D59" s="40">
        <v>45689</v>
      </c>
      <c r="E59" s="40">
        <v>45717</v>
      </c>
      <c r="F59" s="40">
        <v>45748</v>
      </c>
      <c r="G59" s="40">
        <v>45778</v>
      </c>
      <c r="K59" s="18" t="s">
        <v>127</v>
      </c>
      <c r="L59" s="40">
        <v>45658</v>
      </c>
    </row>
    <row r="60" spans="1:30" ht="16" thickBot="1" x14ac:dyDescent="0.25">
      <c r="A60" s="20" t="s">
        <v>77</v>
      </c>
      <c r="B60" s="21" t="s">
        <v>78</v>
      </c>
      <c r="C60" s="21" t="s">
        <v>78</v>
      </c>
      <c r="D60" s="21" t="s">
        <v>78</v>
      </c>
      <c r="E60" s="22" t="s">
        <v>79</v>
      </c>
      <c r="F60" s="23" t="s">
        <v>80</v>
      </c>
      <c r="G60" s="24" t="s">
        <v>81</v>
      </c>
      <c r="K60" t="s">
        <v>128</v>
      </c>
      <c r="L60" s="75" t="s">
        <v>78</v>
      </c>
      <c r="M60" s="76" t="s">
        <v>151</v>
      </c>
      <c r="N60" s="79" t="s">
        <v>173</v>
      </c>
    </row>
    <row r="61" spans="1:30" x14ac:dyDescent="0.2">
      <c r="A61" s="25" t="s">
        <v>83</v>
      </c>
      <c r="B61" s="25"/>
      <c r="C61" s="25"/>
      <c r="D61" s="25"/>
      <c r="E61" s="25"/>
      <c r="F61" s="25" t="s">
        <v>84</v>
      </c>
      <c r="G61" s="25"/>
      <c r="K61" t="s">
        <v>94</v>
      </c>
      <c r="L61" t="s">
        <v>133</v>
      </c>
    </row>
    <row r="62" spans="1:30" x14ac:dyDescent="0.2">
      <c r="K62" t="s">
        <v>129</v>
      </c>
      <c r="L62" t="s">
        <v>134</v>
      </c>
    </row>
    <row r="63" spans="1:30" x14ac:dyDescent="0.2">
      <c r="A63" s="18" t="s">
        <v>87</v>
      </c>
      <c r="K63" t="s">
        <v>130</v>
      </c>
      <c r="L63" t="s">
        <v>119</v>
      </c>
    </row>
    <row r="64" spans="1:30" x14ac:dyDescent="0.2">
      <c r="K64" t="s">
        <v>131</v>
      </c>
      <c r="L64" t="s">
        <v>121</v>
      </c>
    </row>
    <row r="65" spans="1:31" ht="16" thickBot="1" x14ac:dyDescent="0.25">
      <c r="A65" s="26" t="s">
        <v>90</v>
      </c>
      <c r="B65" s="26" t="s">
        <v>85</v>
      </c>
      <c r="C65" s="26" t="s">
        <v>78</v>
      </c>
      <c r="D65" s="26" t="s">
        <v>79</v>
      </c>
      <c r="E65" s="26" t="s">
        <v>91</v>
      </c>
      <c r="F65" s="26" t="s">
        <v>81</v>
      </c>
      <c r="G65" s="26" t="s">
        <v>92</v>
      </c>
      <c r="K65" t="s">
        <v>132</v>
      </c>
      <c r="L65" t="s">
        <v>119</v>
      </c>
    </row>
    <row r="66" spans="1:31" x14ac:dyDescent="0.2">
      <c r="A66" t="s">
        <v>94</v>
      </c>
      <c r="B66" s="27" t="s">
        <v>95</v>
      </c>
      <c r="C66" s="27" t="s">
        <v>96</v>
      </c>
      <c r="D66" s="27" t="s">
        <v>95</v>
      </c>
      <c r="E66" s="27" t="s">
        <v>97</v>
      </c>
      <c r="F66" s="27" t="s">
        <v>98</v>
      </c>
      <c r="G66" s="27" t="s">
        <v>95</v>
      </c>
      <c r="M66" s="368" t="s">
        <v>135</v>
      </c>
      <c r="N66" s="369"/>
      <c r="O66" s="370"/>
      <c r="Q66" s="368" t="s">
        <v>135</v>
      </c>
      <c r="R66" s="369"/>
      <c r="S66" s="370"/>
      <c r="U66" s="368" t="s">
        <v>135</v>
      </c>
      <c r="V66" s="369"/>
      <c r="W66" s="370"/>
      <c r="Y66" s="368" t="s">
        <v>135</v>
      </c>
      <c r="Z66" s="369"/>
      <c r="AA66" s="370"/>
      <c r="AC66" s="368" t="s">
        <v>135</v>
      </c>
      <c r="AD66" s="369"/>
      <c r="AE66" s="370"/>
    </row>
    <row r="67" spans="1:31" ht="16" thickBot="1" x14ac:dyDescent="0.25">
      <c r="B67" s="28" t="s">
        <v>101</v>
      </c>
      <c r="C67" s="28" t="s">
        <v>101</v>
      </c>
      <c r="D67" s="28" t="s">
        <v>101</v>
      </c>
      <c r="E67" s="28" t="s">
        <v>101</v>
      </c>
      <c r="F67" s="28" t="s">
        <v>101</v>
      </c>
      <c r="G67" s="28" t="s">
        <v>101</v>
      </c>
      <c r="M67" s="371">
        <v>1</v>
      </c>
      <c r="N67" s="372"/>
      <c r="O67" s="44" t="s">
        <v>147</v>
      </c>
      <c r="Q67" s="371">
        <v>2</v>
      </c>
      <c r="R67" s="372"/>
      <c r="S67" s="44" t="s">
        <v>147</v>
      </c>
      <c r="U67" s="371">
        <v>3</v>
      </c>
      <c r="V67" s="372"/>
      <c r="W67" s="44" t="s">
        <v>147</v>
      </c>
      <c r="Y67" s="371">
        <v>4</v>
      </c>
      <c r="Z67" s="372"/>
      <c r="AA67" s="44" t="s">
        <v>147</v>
      </c>
      <c r="AC67" s="371">
        <v>5</v>
      </c>
      <c r="AD67" s="372"/>
      <c r="AE67" s="44" t="s">
        <v>147</v>
      </c>
    </row>
    <row r="68" spans="1:31" x14ac:dyDescent="0.2">
      <c r="L68" s="49" t="s">
        <v>136</v>
      </c>
      <c r="M68" s="50">
        <v>1</v>
      </c>
      <c r="N68" s="50"/>
      <c r="O68" s="51">
        <f>SUM(M68:N68)+O84</f>
        <v>1</v>
      </c>
      <c r="P68" s="49" t="s">
        <v>136</v>
      </c>
      <c r="Q68" s="50">
        <v>1</v>
      </c>
      <c r="R68" s="50"/>
      <c r="S68" s="51">
        <f>SUM(Q68:R68)+S84</f>
        <v>1</v>
      </c>
      <c r="T68" s="49" t="s">
        <v>136</v>
      </c>
      <c r="U68" s="50">
        <v>1</v>
      </c>
      <c r="V68" s="50"/>
      <c r="W68" s="51">
        <f>SUM(U68:V68)+W84</f>
        <v>1.0833333333333333</v>
      </c>
      <c r="X68" s="49" t="s">
        <v>136</v>
      </c>
      <c r="Y68" s="50">
        <v>1</v>
      </c>
      <c r="Z68" s="50"/>
      <c r="AA68" s="51">
        <f>SUM(Y68:Z68)+AA84</f>
        <v>1</v>
      </c>
      <c r="AB68" s="49" t="s">
        <v>136</v>
      </c>
      <c r="AC68" s="50">
        <v>1</v>
      </c>
      <c r="AD68" s="50">
        <v>1</v>
      </c>
      <c r="AE68" s="51">
        <f>SUM(AC68:AD68)+1</f>
        <v>3</v>
      </c>
    </row>
    <row r="69" spans="1:31" x14ac:dyDescent="0.2">
      <c r="A69" s="29" t="s">
        <v>104</v>
      </c>
      <c r="B69" s="30" t="s">
        <v>105</v>
      </c>
      <c r="C69" s="30" t="s">
        <v>106</v>
      </c>
      <c r="D69" s="30" t="s">
        <v>107</v>
      </c>
      <c r="E69" s="30"/>
      <c r="F69" s="30" t="s">
        <v>108</v>
      </c>
      <c r="G69" s="30" t="s">
        <v>109</v>
      </c>
      <c r="H69" s="31" t="s">
        <v>110</v>
      </c>
      <c r="L69" s="52" t="s">
        <v>94</v>
      </c>
      <c r="M69" s="46">
        <v>6.25E-2</v>
      </c>
      <c r="N69" s="47"/>
      <c r="O69" s="53">
        <f>SUM(M69:N69)</f>
        <v>6.25E-2</v>
      </c>
      <c r="P69" s="52" t="s">
        <v>94</v>
      </c>
      <c r="Q69" s="46">
        <v>8.3333333333333329E-2</v>
      </c>
      <c r="R69" s="47"/>
      <c r="S69" s="53">
        <f t="shared" ref="S69:S71" si="8">SUM(Q69:R69)</f>
        <v>8.3333333333333329E-2</v>
      </c>
      <c r="T69" s="52" t="s">
        <v>94</v>
      </c>
      <c r="U69" s="46">
        <v>8.3333333333333329E-2</v>
      </c>
      <c r="V69" s="47"/>
      <c r="W69" s="53">
        <f t="shared" ref="W69:W71" si="9">SUM(U69:V69)</f>
        <v>8.3333333333333329E-2</v>
      </c>
      <c r="X69" s="52" t="s">
        <v>94</v>
      </c>
      <c r="Y69" s="46">
        <v>8.3333333333333329E-2</v>
      </c>
      <c r="Z69" s="47"/>
      <c r="AA69" s="53">
        <f>SUM(Y69:Z69)</f>
        <v>8.3333333333333329E-2</v>
      </c>
      <c r="AB69" s="52" t="s">
        <v>94</v>
      </c>
      <c r="AC69" s="46">
        <v>8.3333333333333329E-2</v>
      </c>
      <c r="AD69" s="47">
        <v>8.3333333333333329E-2</v>
      </c>
      <c r="AE69" s="53">
        <f>SUM(AC69:AD69)</f>
        <v>0.16666666666666666</v>
      </c>
    </row>
    <row r="70" spans="1:31" x14ac:dyDescent="0.2">
      <c r="A70" s="32"/>
      <c r="C70" t="s">
        <v>105</v>
      </c>
      <c r="D70" t="s">
        <v>105</v>
      </c>
      <c r="F70" t="s">
        <v>111</v>
      </c>
      <c r="G70" t="s">
        <v>108</v>
      </c>
      <c r="H70" s="33"/>
      <c r="L70" s="52" t="s">
        <v>137</v>
      </c>
      <c r="M70" s="48">
        <v>126</v>
      </c>
      <c r="N70" s="48"/>
      <c r="O70" s="54">
        <f>SUM(M70:N70)</f>
        <v>126</v>
      </c>
      <c r="P70" s="52" t="s">
        <v>137</v>
      </c>
      <c r="Q70" s="48">
        <v>240</v>
      </c>
      <c r="R70" s="48"/>
      <c r="S70" s="54">
        <f t="shared" si="8"/>
        <v>240</v>
      </c>
      <c r="T70" s="52" t="s">
        <v>137</v>
      </c>
      <c r="U70" s="48">
        <v>260</v>
      </c>
      <c r="V70" s="48"/>
      <c r="W70" s="54">
        <f t="shared" si="9"/>
        <v>260</v>
      </c>
      <c r="X70" s="52" t="s">
        <v>137</v>
      </c>
      <c r="Y70" s="48">
        <v>247</v>
      </c>
      <c r="Z70" s="48"/>
      <c r="AA70" s="54">
        <f t="shared" ref="AA70:AA71" si="10">SUM(Y70:Z70)</f>
        <v>247</v>
      </c>
      <c r="AB70" s="52" t="s">
        <v>137</v>
      </c>
      <c r="AC70" s="48">
        <v>325</v>
      </c>
      <c r="AD70" s="48">
        <v>123</v>
      </c>
      <c r="AE70" s="54">
        <f t="shared" ref="AE70:AE71" si="11">SUM(AC70:AD70)</f>
        <v>448</v>
      </c>
    </row>
    <row r="71" spans="1:31" x14ac:dyDescent="0.2">
      <c r="A71" s="34"/>
      <c r="B71" s="35" t="s">
        <v>112</v>
      </c>
      <c r="C71" s="35" t="s">
        <v>113</v>
      </c>
      <c r="D71" s="35" t="s">
        <v>114</v>
      </c>
      <c r="E71" s="35" t="s">
        <v>115</v>
      </c>
      <c r="F71" s="35" t="s">
        <v>116</v>
      </c>
      <c r="G71" s="35" t="s">
        <v>117</v>
      </c>
      <c r="H71" s="36"/>
      <c r="L71" s="52" t="s">
        <v>138</v>
      </c>
      <c r="M71" s="42">
        <v>18</v>
      </c>
      <c r="N71" s="42"/>
      <c r="O71" s="54">
        <f>SUM(M71:N71)</f>
        <v>18</v>
      </c>
      <c r="P71" s="52" t="s">
        <v>138</v>
      </c>
      <c r="Q71" s="42">
        <v>12</v>
      </c>
      <c r="R71" s="42"/>
      <c r="S71" s="54">
        <f t="shared" si="8"/>
        <v>12</v>
      </c>
      <c r="T71" s="52" t="s">
        <v>138</v>
      </c>
      <c r="U71" s="42">
        <v>20</v>
      </c>
      <c r="V71" s="42"/>
      <c r="W71" s="54">
        <f t="shared" si="9"/>
        <v>20</v>
      </c>
      <c r="X71" s="52" t="s">
        <v>138</v>
      </c>
      <c r="Y71" s="42">
        <v>19</v>
      </c>
      <c r="Z71" s="42"/>
      <c r="AA71" s="54">
        <f t="shared" si="10"/>
        <v>19</v>
      </c>
      <c r="AB71" s="52" t="s">
        <v>138</v>
      </c>
      <c r="AC71" s="42">
        <v>25</v>
      </c>
      <c r="AD71" s="42">
        <v>35</v>
      </c>
      <c r="AE71" s="54">
        <f t="shared" si="11"/>
        <v>60</v>
      </c>
    </row>
    <row r="72" spans="1:31" ht="16" thickBot="1" x14ac:dyDescent="0.25">
      <c r="A72" s="37" t="s">
        <v>118</v>
      </c>
      <c r="B72" s="38" t="s">
        <v>119</v>
      </c>
      <c r="C72" s="38" t="s">
        <v>120</v>
      </c>
      <c r="D72" s="38" t="s">
        <v>119</v>
      </c>
      <c r="E72" s="38" t="s">
        <v>121</v>
      </c>
      <c r="F72" s="38" t="s">
        <v>121</v>
      </c>
      <c r="G72" s="39" t="s">
        <v>121</v>
      </c>
      <c r="L72" s="55" t="s">
        <v>139</v>
      </c>
      <c r="M72" s="56">
        <v>3.5</v>
      </c>
      <c r="N72" s="56"/>
      <c r="O72" s="43">
        <f>AVERAGE(M72:N72)</f>
        <v>3.5</v>
      </c>
      <c r="P72" s="55" t="s">
        <v>139</v>
      </c>
      <c r="Q72" s="56">
        <v>10</v>
      </c>
      <c r="R72" s="56"/>
      <c r="S72" s="43">
        <f>AVERAGE(Q72:R72)</f>
        <v>10</v>
      </c>
      <c r="T72" s="55" t="s">
        <v>139</v>
      </c>
      <c r="U72" s="56">
        <v>13</v>
      </c>
      <c r="V72" s="56"/>
      <c r="W72" s="43">
        <f>AVERAGE(U72:V72)</f>
        <v>13</v>
      </c>
      <c r="X72" s="55" t="s">
        <v>139</v>
      </c>
      <c r="Y72" s="56">
        <v>13</v>
      </c>
      <c r="Z72" s="56"/>
      <c r="AA72" s="43">
        <f>AVERAGE(Y72:Z72)</f>
        <v>13</v>
      </c>
      <c r="AB72" s="55" t="s">
        <v>139</v>
      </c>
      <c r="AC72" s="56">
        <v>13</v>
      </c>
      <c r="AD72" s="56">
        <v>3.5</v>
      </c>
      <c r="AE72" s="43">
        <f>AVERAGE(AC72:AD72)</f>
        <v>8.25</v>
      </c>
    </row>
    <row r="73" spans="1:31" ht="16" thickBot="1" x14ac:dyDescent="0.25">
      <c r="A73" s="37" t="s">
        <v>122</v>
      </c>
      <c r="B73" s="38" t="s">
        <v>121</v>
      </c>
      <c r="C73" s="38" t="s">
        <v>123</v>
      </c>
      <c r="D73" s="38" t="s">
        <v>120</v>
      </c>
      <c r="E73" s="38" t="s">
        <v>120</v>
      </c>
      <c r="F73" s="38" t="s">
        <v>120</v>
      </c>
      <c r="G73" s="39" t="s">
        <v>124</v>
      </c>
      <c r="L73" s="41" t="s">
        <v>140</v>
      </c>
      <c r="P73" s="41" t="s">
        <v>140</v>
      </c>
      <c r="T73" s="41" t="s">
        <v>140</v>
      </c>
      <c r="X73" s="41" t="s">
        <v>140</v>
      </c>
      <c r="AB73" s="41" t="s">
        <v>140</v>
      </c>
    </row>
    <row r="74" spans="1:31" x14ac:dyDescent="0.2">
      <c r="A74" s="37" t="s">
        <v>125</v>
      </c>
      <c r="B74" s="38" t="s">
        <v>119</v>
      </c>
      <c r="C74" s="38" t="s">
        <v>120</v>
      </c>
      <c r="D74" s="38" t="s">
        <v>119</v>
      </c>
      <c r="E74" s="38" t="s">
        <v>121</v>
      </c>
      <c r="F74" s="38" t="s">
        <v>126</v>
      </c>
      <c r="G74" s="39" t="s">
        <v>121</v>
      </c>
      <c r="L74" s="49" t="s">
        <v>141</v>
      </c>
      <c r="M74" s="50">
        <v>4</v>
      </c>
      <c r="N74" s="50"/>
      <c r="O74" s="51">
        <f>SUM(M74:N74)</f>
        <v>4</v>
      </c>
      <c r="P74" s="49" t="s">
        <v>141</v>
      </c>
      <c r="Q74" s="50">
        <v>2</v>
      </c>
      <c r="R74" s="50"/>
      <c r="S74" s="51">
        <f>SUM(Q74:R74)</f>
        <v>2</v>
      </c>
      <c r="T74" s="49" t="s">
        <v>141</v>
      </c>
      <c r="U74" s="50">
        <v>2</v>
      </c>
      <c r="V74" s="50"/>
      <c r="W74" s="51">
        <f>SUM(U74:V74)</f>
        <v>2</v>
      </c>
      <c r="X74" s="49" t="s">
        <v>141</v>
      </c>
      <c r="Y74" s="50">
        <v>4</v>
      </c>
      <c r="Z74" s="50"/>
      <c r="AA74" s="51">
        <f>SUM(Y74:Z74)</f>
        <v>4</v>
      </c>
      <c r="AB74" s="49" t="s">
        <v>141</v>
      </c>
      <c r="AC74" s="50">
        <v>5</v>
      </c>
      <c r="AD74" s="50">
        <v>12</v>
      </c>
      <c r="AE74" s="51">
        <f>SUM(AC74:AD74)</f>
        <v>17</v>
      </c>
    </row>
    <row r="75" spans="1:31" x14ac:dyDescent="0.2">
      <c r="L75" s="52" t="s">
        <v>148</v>
      </c>
      <c r="M75" s="42">
        <v>4</v>
      </c>
      <c r="N75" s="42"/>
      <c r="O75" s="54">
        <f t="shared" ref="O75:O81" si="12">SUM(M75:N75)</f>
        <v>4</v>
      </c>
      <c r="P75" s="52" t="s">
        <v>148</v>
      </c>
      <c r="Q75" s="42">
        <v>2</v>
      </c>
      <c r="R75" s="42"/>
      <c r="S75" s="54">
        <f t="shared" ref="S75:S81" si="13">SUM(Q75:R75)</f>
        <v>2</v>
      </c>
      <c r="T75" s="52" t="s">
        <v>148</v>
      </c>
      <c r="U75" s="42">
        <v>9</v>
      </c>
      <c r="V75" s="42"/>
      <c r="W75" s="54">
        <f t="shared" ref="W75:W81" si="14">SUM(U75:V75)</f>
        <v>9</v>
      </c>
      <c r="X75" s="52" t="s">
        <v>148</v>
      </c>
      <c r="Y75" s="42">
        <v>12</v>
      </c>
      <c r="Z75" s="42"/>
      <c r="AA75" s="54">
        <f t="shared" ref="AA75:AA81" si="15">SUM(Y75:Z75)</f>
        <v>12</v>
      </c>
      <c r="AB75" s="52" t="s">
        <v>148</v>
      </c>
      <c r="AC75" s="42">
        <v>15</v>
      </c>
      <c r="AD75" s="42">
        <v>11</v>
      </c>
      <c r="AE75" s="54">
        <f t="shared" ref="AE75:AE81" si="16">SUM(AC75:AD75)</f>
        <v>26</v>
      </c>
    </row>
    <row r="76" spans="1:31" x14ac:dyDescent="0.2">
      <c r="L76" s="52" t="s">
        <v>149</v>
      </c>
      <c r="M76" s="42">
        <v>5</v>
      </c>
      <c r="N76" s="42"/>
      <c r="O76" s="54">
        <f t="shared" si="12"/>
        <v>5</v>
      </c>
      <c r="P76" s="52" t="s">
        <v>149</v>
      </c>
      <c r="Q76" s="42">
        <v>6</v>
      </c>
      <c r="R76" s="42"/>
      <c r="S76" s="54">
        <f t="shared" si="13"/>
        <v>6</v>
      </c>
      <c r="T76" s="52" t="s">
        <v>149</v>
      </c>
      <c r="U76" s="42">
        <v>7</v>
      </c>
      <c r="V76" s="42"/>
      <c r="W76" s="54">
        <f t="shared" si="14"/>
        <v>7</v>
      </c>
      <c r="X76" s="52" t="s">
        <v>149</v>
      </c>
      <c r="Y76" s="42">
        <v>3</v>
      </c>
      <c r="Z76" s="42"/>
      <c r="AA76" s="54">
        <f t="shared" si="15"/>
        <v>3</v>
      </c>
      <c r="AB76" s="52" t="s">
        <v>149</v>
      </c>
      <c r="AC76" s="42">
        <v>5</v>
      </c>
      <c r="AD76" s="42">
        <v>8</v>
      </c>
      <c r="AE76" s="54">
        <f t="shared" si="16"/>
        <v>13</v>
      </c>
    </row>
    <row r="77" spans="1:31" x14ac:dyDescent="0.2">
      <c r="L77" s="52" t="s">
        <v>142</v>
      </c>
      <c r="M77" s="42">
        <v>2</v>
      </c>
      <c r="N77" s="42"/>
      <c r="O77" s="54">
        <f t="shared" si="12"/>
        <v>2</v>
      </c>
      <c r="P77" s="52" t="s">
        <v>142</v>
      </c>
      <c r="Q77" s="42">
        <v>1</v>
      </c>
      <c r="R77" s="42"/>
      <c r="S77" s="54">
        <f t="shared" si="13"/>
        <v>1</v>
      </c>
      <c r="T77" s="52" t="s">
        <v>142</v>
      </c>
      <c r="U77" s="42">
        <v>2</v>
      </c>
      <c r="V77" s="42"/>
      <c r="W77" s="54">
        <f t="shared" si="14"/>
        <v>2</v>
      </c>
      <c r="X77" s="52" t="s">
        <v>142</v>
      </c>
      <c r="Y77" s="42">
        <v>0</v>
      </c>
      <c r="Z77" s="42"/>
      <c r="AA77" s="54">
        <f t="shared" si="15"/>
        <v>0</v>
      </c>
      <c r="AB77" s="52" t="s">
        <v>142</v>
      </c>
      <c r="AC77" s="42">
        <v>0</v>
      </c>
      <c r="AD77" s="42">
        <v>4</v>
      </c>
      <c r="AE77" s="54">
        <f t="shared" si="16"/>
        <v>4</v>
      </c>
    </row>
    <row r="78" spans="1:31" x14ac:dyDescent="0.2">
      <c r="L78" s="52" t="s">
        <v>143</v>
      </c>
      <c r="M78" s="42">
        <v>3</v>
      </c>
      <c r="N78" s="42"/>
      <c r="O78" s="54">
        <f t="shared" si="12"/>
        <v>3</v>
      </c>
      <c r="P78" s="52" t="s">
        <v>143</v>
      </c>
      <c r="Q78" s="42">
        <v>1</v>
      </c>
      <c r="R78" s="42"/>
      <c r="S78" s="54">
        <f t="shared" si="13"/>
        <v>1</v>
      </c>
      <c r="T78" s="52" t="s">
        <v>143</v>
      </c>
      <c r="U78" s="42">
        <v>0</v>
      </c>
      <c r="V78" s="42"/>
      <c r="W78" s="54">
        <f t="shared" si="14"/>
        <v>0</v>
      </c>
      <c r="X78" s="52" t="s">
        <v>143</v>
      </c>
      <c r="Y78" s="42">
        <v>0</v>
      </c>
      <c r="Z78" s="42"/>
      <c r="AA78" s="54">
        <f t="shared" si="15"/>
        <v>0</v>
      </c>
      <c r="AB78" s="52" t="s">
        <v>143</v>
      </c>
      <c r="AC78" s="42">
        <v>0</v>
      </c>
      <c r="AD78" s="42"/>
      <c r="AE78" s="54">
        <f t="shared" si="16"/>
        <v>0</v>
      </c>
    </row>
    <row r="79" spans="1:31" ht="16" thickBot="1" x14ac:dyDescent="0.25">
      <c r="L79" s="52" t="s">
        <v>144</v>
      </c>
      <c r="M79" s="42">
        <v>0</v>
      </c>
      <c r="N79" s="42"/>
      <c r="O79" s="54">
        <f t="shared" si="12"/>
        <v>0</v>
      </c>
      <c r="P79" s="52" t="s">
        <v>144</v>
      </c>
      <c r="Q79" s="42">
        <v>0</v>
      </c>
      <c r="R79" s="42"/>
      <c r="S79" s="54">
        <f t="shared" si="13"/>
        <v>0</v>
      </c>
      <c r="T79" s="52" t="s">
        <v>144</v>
      </c>
      <c r="U79" s="42">
        <v>0</v>
      </c>
      <c r="V79" s="42"/>
      <c r="W79" s="54">
        <f t="shared" si="14"/>
        <v>0</v>
      </c>
      <c r="X79" s="52" t="s">
        <v>144</v>
      </c>
      <c r="Y79" s="42">
        <v>0</v>
      </c>
      <c r="Z79" s="42"/>
      <c r="AA79" s="54">
        <f t="shared" si="15"/>
        <v>0</v>
      </c>
      <c r="AB79" s="52" t="s">
        <v>144</v>
      </c>
      <c r="AC79" s="42">
        <v>0</v>
      </c>
      <c r="AD79" s="42"/>
      <c r="AE79" s="54">
        <f t="shared" si="16"/>
        <v>0</v>
      </c>
    </row>
    <row r="80" spans="1:31" ht="16" thickBot="1" x14ac:dyDescent="0.25">
      <c r="A80" s="61" t="s">
        <v>177</v>
      </c>
      <c r="B80" s="170" t="s">
        <v>332</v>
      </c>
      <c r="C80" s="171" t="s">
        <v>166</v>
      </c>
      <c r="D80" s="103" t="s">
        <v>171</v>
      </c>
      <c r="L80" s="52" t="s">
        <v>145</v>
      </c>
      <c r="M80" s="42">
        <v>0</v>
      </c>
      <c r="N80" s="42"/>
      <c r="O80" s="54">
        <f t="shared" si="12"/>
        <v>0</v>
      </c>
      <c r="P80" s="52" t="s">
        <v>145</v>
      </c>
      <c r="Q80" s="42">
        <v>0</v>
      </c>
      <c r="R80" s="42"/>
      <c r="S80" s="54">
        <f t="shared" si="13"/>
        <v>0</v>
      </c>
      <c r="T80" s="52" t="s">
        <v>145</v>
      </c>
      <c r="U80" s="42">
        <v>0</v>
      </c>
      <c r="V80" s="42"/>
      <c r="W80" s="54">
        <f t="shared" si="14"/>
        <v>0</v>
      </c>
      <c r="X80" s="52" t="s">
        <v>145</v>
      </c>
      <c r="Y80" s="42">
        <v>0</v>
      </c>
      <c r="Z80" s="42"/>
      <c r="AA80" s="54">
        <f t="shared" si="15"/>
        <v>0</v>
      </c>
      <c r="AB80" s="52" t="s">
        <v>145</v>
      </c>
      <c r="AC80" s="42">
        <v>0</v>
      </c>
      <c r="AD80" s="42"/>
      <c r="AE80" s="54">
        <f t="shared" si="16"/>
        <v>0</v>
      </c>
    </row>
    <row r="81" spans="2:31" ht="16" thickBot="1" x14ac:dyDescent="0.25">
      <c r="B81" s="65" t="s">
        <v>146</v>
      </c>
      <c r="C81" s="34">
        <f>M32+M88+M158+M230</f>
        <v>0</v>
      </c>
      <c r="D81" s="101">
        <f>N32+N88+N158</f>
        <v>0</v>
      </c>
      <c r="L81" s="55" t="s">
        <v>146</v>
      </c>
      <c r="M81" s="56">
        <v>0</v>
      </c>
      <c r="N81" s="56"/>
      <c r="O81" s="43">
        <f t="shared" si="12"/>
        <v>0</v>
      </c>
      <c r="P81" s="55" t="s">
        <v>146</v>
      </c>
      <c r="Q81" s="56">
        <v>0</v>
      </c>
      <c r="R81" s="56"/>
      <c r="S81" s="43">
        <f t="shared" si="13"/>
        <v>0</v>
      </c>
      <c r="T81" s="55" t="s">
        <v>146</v>
      </c>
      <c r="U81" s="56">
        <v>0</v>
      </c>
      <c r="V81" s="56"/>
      <c r="W81" s="43">
        <f t="shared" si="14"/>
        <v>0</v>
      </c>
      <c r="X81" s="55" t="s">
        <v>146</v>
      </c>
      <c r="Y81" s="56">
        <v>0</v>
      </c>
      <c r="Z81" s="56"/>
      <c r="AA81" s="43">
        <f t="shared" si="15"/>
        <v>0</v>
      </c>
      <c r="AB81" s="55" t="s">
        <v>146</v>
      </c>
      <c r="AC81" s="56">
        <v>0</v>
      </c>
      <c r="AD81" s="56"/>
      <c r="AE81" s="43">
        <f t="shared" si="16"/>
        <v>0</v>
      </c>
    </row>
    <row r="82" spans="2:31" ht="16" thickBot="1" x14ac:dyDescent="0.25">
      <c r="B82" s="45" t="s">
        <v>145</v>
      </c>
      <c r="C82" s="34">
        <f t="shared" ref="C82:C83" si="17">M33+M89+M159</f>
        <v>0</v>
      </c>
      <c r="D82" s="101">
        <f>N33+N89+N159+M230</f>
        <v>0</v>
      </c>
      <c r="L82" s="80" t="s">
        <v>174</v>
      </c>
      <c r="M82" s="83" t="s">
        <v>175</v>
      </c>
      <c r="N82" s="81"/>
      <c r="O82" s="82"/>
      <c r="P82" s="80" t="s">
        <v>174</v>
      </c>
      <c r="Q82" s="83"/>
      <c r="R82" s="81"/>
      <c r="S82" s="82"/>
      <c r="T82" s="80" t="s">
        <v>174</v>
      </c>
      <c r="U82" s="83"/>
      <c r="V82" s="81"/>
      <c r="W82" s="82"/>
      <c r="X82" s="80" t="s">
        <v>174</v>
      </c>
      <c r="Y82" s="83"/>
      <c r="Z82" s="81"/>
      <c r="AA82" s="82"/>
      <c r="AB82" s="80" t="s">
        <v>174</v>
      </c>
      <c r="AC82" s="83"/>
      <c r="AD82" s="81"/>
      <c r="AE82" s="82"/>
    </row>
    <row r="83" spans="2:31" ht="16" thickBot="1" x14ac:dyDescent="0.25">
      <c r="B83" s="45" t="s">
        <v>144</v>
      </c>
      <c r="C83" s="34">
        <f t="shared" si="17"/>
        <v>0</v>
      </c>
      <c r="D83" s="101">
        <f t="shared" ref="D83" si="18">N34+N90+N160</f>
        <v>0</v>
      </c>
      <c r="L83" s="57" t="s">
        <v>150</v>
      </c>
      <c r="M83" s="35">
        <f>SUM(M74:M81)</f>
        <v>18</v>
      </c>
      <c r="N83" s="36">
        <f>SUM(N74:N81)</f>
        <v>0</v>
      </c>
      <c r="P83" s="57" t="s">
        <v>150</v>
      </c>
      <c r="Q83" s="35">
        <f>SUM(Q74:Q81)</f>
        <v>12</v>
      </c>
      <c r="R83" s="36">
        <f>SUM(R74:R81)</f>
        <v>0</v>
      </c>
      <c r="T83" s="57" t="s">
        <v>150</v>
      </c>
      <c r="U83" s="35">
        <f>SUM(U74:U81)</f>
        <v>20</v>
      </c>
      <c r="V83" s="36">
        <f>SUM(V74:V81)</f>
        <v>0</v>
      </c>
      <c r="X83" s="71" t="s">
        <v>150</v>
      </c>
      <c r="Y83">
        <f>SUM(Y74:Y81)</f>
        <v>19</v>
      </c>
      <c r="Z83" s="33">
        <f>SUM(Z74:Z81)</f>
        <v>0</v>
      </c>
      <c r="AB83" s="71" t="s">
        <v>150</v>
      </c>
      <c r="AC83">
        <f>SUM(AC74:AC81)</f>
        <v>25</v>
      </c>
      <c r="AD83" s="33">
        <f>SUM(AD74:AD81)</f>
        <v>35</v>
      </c>
    </row>
    <row r="84" spans="2:31" ht="16" thickBot="1" x14ac:dyDescent="0.25">
      <c r="B84" s="45" t="s">
        <v>143</v>
      </c>
      <c r="C84" s="34">
        <f>M35+M91+M161</f>
        <v>13.5</v>
      </c>
      <c r="D84" s="101">
        <f t="shared" ref="D84:D88" si="19">N35+N91+N161</f>
        <v>175.5</v>
      </c>
      <c r="L84" s="74" t="s">
        <v>172</v>
      </c>
      <c r="M84" s="72">
        <v>0</v>
      </c>
      <c r="N84" s="72"/>
      <c r="O84" s="73">
        <f>M84+N84</f>
        <v>0</v>
      </c>
      <c r="P84" s="74" t="s">
        <v>172</v>
      </c>
      <c r="Q84" s="72">
        <v>0</v>
      </c>
      <c r="R84" s="72"/>
      <c r="S84" s="73">
        <f>Q84+R84</f>
        <v>0</v>
      </c>
      <c r="T84" s="74" t="s">
        <v>172</v>
      </c>
      <c r="U84" s="96">
        <v>8.3333333333333329E-2</v>
      </c>
      <c r="V84" s="72"/>
      <c r="W84" s="97">
        <f>U84+V84</f>
        <v>8.3333333333333329E-2</v>
      </c>
      <c r="X84" s="74" t="s">
        <v>172</v>
      </c>
      <c r="Y84" s="72">
        <v>0</v>
      </c>
      <c r="Z84" s="72"/>
      <c r="AA84" s="73">
        <f>Y84+Z84</f>
        <v>0</v>
      </c>
      <c r="AB84" s="74" t="s">
        <v>172</v>
      </c>
      <c r="AC84" s="96">
        <v>0.10416666666666667</v>
      </c>
      <c r="AD84" s="72"/>
      <c r="AE84" s="97">
        <f>AC84+AD84</f>
        <v>0.10416666666666667</v>
      </c>
    </row>
    <row r="85" spans="2:31" ht="16" thickBot="1" x14ac:dyDescent="0.25">
      <c r="B85" s="45" t="s">
        <v>142</v>
      </c>
      <c r="C85" s="34">
        <f t="shared" ref="C85:C88" si="20">M36+M92+M162</f>
        <v>47</v>
      </c>
      <c r="D85" s="101">
        <f t="shared" si="19"/>
        <v>611</v>
      </c>
      <c r="L85" s="98" t="s">
        <v>191</v>
      </c>
      <c r="M85" s="341"/>
      <c r="N85" s="342"/>
      <c r="O85" s="343"/>
      <c r="P85" s="98" t="s">
        <v>191</v>
      </c>
      <c r="Q85" s="341"/>
      <c r="R85" s="342"/>
      <c r="S85" s="343"/>
      <c r="T85" s="98" t="s">
        <v>191</v>
      </c>
      <c r="U85" s="341" t="s">
        <v>192</v>
      </c>
      <c r="V85" s="342"/>
      <c r="W85" s="343"/>
      <c r="X85" s="98" t="s">
        <v>191</v>
      </c>
      <c r="Y85" s="341" t="s">
        <v>193</v>
      </c>
      <c r="Z85" s="342"/>
      <c r="AA85" s="343"/>
      <c r="AB85" s="98" t="s">
        <v>191</v>
      </c>
      <c r="AC85" s="341" t="s">
        <v>194</v>
      </c>
      <c r="AD85" s="342"/>
      <c r="AE85" s="343"/>
    </row>
    <row r="86" spans="2:31" ht="16" thickBot="1" x14ac:dyDescent="0.25">
      <c r="B86" s="45" t="s">
        <v>149</v>
      </c>
      <c r="C86" s="34">
        <f t="shared" si="20"/>
        <v>94</v>
      </c>
      <c r="D86" s="101">
        <f t="shared" si="19"/>
        <v>1222</v>
      </c>
    </row>
    <row r="87" spans="2:31" ht="16" thickBot="1" x14ac:dyDescent="0.25">
      <c r="B87" s="45" t="s">
        <v>148</v>
      </c>
      <c r="C87" s="34">
        <f t="shared" si="20"/>
        <v>161</v>
      </c>
      <c r="D87" s="101">
        <f t="shared" si="19"/>
        <v>2093</v>
      </c>
      <c r="K87" s="61" t="s">
        <v>177</v>
      </c>
      <c r="L87" s="66" t="s">
        <v>176</v>
      </c>
      <c r="M87" s="102" t="s">
        <v>166</v>
      </c>
      <c r="N87" s="103" t="s">
        <v>171</v>
      </c>
    </row>
    <row r="88" spans="2:31" x14ac:dyDescent="0.2">
      <c r="B88" s="45" t="s">
        <v>141</v>
      </c>
      <c r="C88" s="34">
        <f t="shared" si="20"/>
        <v>88</v>
      </c>
      <c r="D88" s="101">
        <f t="shared" si="19"/>
        <v>1144</v>
      </c>
      <c r="L88" s="65" t="s">
        <v>146</v>
      </c>
      <c r="M88" s="34">
        <f>O81+S81+W81+AA81+AE81</f>
        <v>0</v>
      </c>
      <c r="N88" s="101">
        <f>M88*13</f>
        <v>0</v>
      </c>
    </row>
    <row r="89" spans="2:31" x14ac:dyDescent="0.2">
      <c r="L89" s="45" t="s">
        <v>145</v>
      </c>
      <c r="M89" s="37">
        <f>O80+S80+W80+AA80+AE80</f>
        <v>0</v>
      </c>
      <c r="N89" s="69">
        <f t="shared" ref="N89:N95" si="21">M89*13</f>
        <v>0</v>
      </c>
    </row>
    <row r="90" spans="2:31" x14ac:dyDescent="0.2">
      <c r="L90" s="45" t="s">
        <v>144</v>
      </c>
      <c r="M90" s="37">
        <f>O79+S79+W79+AA79+AE79</f>
        <v>0</v>
      </c>
      <c r="N90" s="69">
        <f t="shared" si="21"/>
        <v>0</v>
      </c>
    </row>
    <row r="91" spans="2:31" x14ac:dyDescent="0.2">
      <c r="L91" s="45" t="s">
        <v>143</v>
      </c>
      <c r="M91" s="37">
        <f>O78+S78+W78+AA78+AE78</f>
        <v>4</v>
      </c>
      <c r="N91" s="69">
        <f t="shared" si="21"/>
        <v>52</v>
      </c>
    </row>
    <row r="92" spans="2:31" x14ac:dyDescent="0.2">
      <c r="L92" s="45" t="s">
        <v>142</v>
      </c>
      <c r="M92" s="37">
        <f>O77+S77+W77+AA77+AE77</f>
        <v>9</v>
      </c>
      <c r="N92" s="69">
        <f t="shared" si="21"/>
        <v>117</v>
      </c>
    </row>
    <row r="93" spans="2:31" x14ac:dyDescent="0.2">
      <c r="L93" s="45" t="s">
        <v>149</v>
      </c>
      <c r="M93" s="37">
        <f>O76+S76+W76+AA76+AE76</f>
        <v>34</v>
      </c>
      <c r="N93" s="69">
        <f t="shared" si="21"/>
        <v>442</v>
      </c>
    </row>
    <row r="94" spans="2:31" x14ac:dyDescent="0.2">
      <c r="L94" s="45" t="s">
        <v>148</v>
      </c>
      <c r="M94" s="37">
        <f>O75+S75+W75+AA75+AE75</f>
        <v>53</v>
      </c>
      <c r="N94" s="69">
        <f t="shared" si="21"/>
        <v>689</v>
      </c>
    </row>
    <row r="95" spans="2:31" ht="16" thickBot="1" x14ac:dyDescent="0.25">
      <c r="L95" s="45" t="s">
        <v>141</v>
      </c>
      <c r="M95" s="37">
        <f>O74+S74+W74+AA74+AE74</f>
        <v>29</v>
      </c>
      <c r="N95" s="70">
        <f t="shared" si="21"/>
        <v>377</v>
      </c>
    </row>
    <row r="98" spans="11:13" ht="16" thickBot="1" x14ac:dyDescent="0.25"/>
    <row r="99" spans="11:13" ht="16" thickBot="1" x14ac:dyDescent="0.25">
      <c r="K99" s="61" t="s">
        <v>178</v>
      </c>
      <c r="L99" s="66" t="s">
        <v>176</v>
      </c>
      <c r="M99" s="67" t="s">
        <v>170</v>
      </c>
    </row>
    <row r="100" spans="11:13" x14ac:dyDescent="0.2">
      <c r="L100" s="65">
        <f>M67</f>
        <v>1</v>
      </c>
      <c r="M100" s="63">
        <f>O70</f>
        <v>126</v>
      </c>
    </row>
    <row r="101" spans="11:13" x14ac:dyDescent="0.2">
      <c r="L101" s="45">
        <f>Q67</f>
        <v>2</v>
      </c>
      <c r="M101" s="42">
        <f>S70</f>
        <v>240</v>
      </c>
    </row>
    <row r="102" spans="11:13" x14ac:dyDescent="0.2">
      <c r="L102" s="45">
        <f>U67</f>
        <v>3</v>
      </c>
      <c r="M102" s="42">
        <f>W70</f>
        <v>260</v>
      </c>
    </row>
    <row r="103" spans="11:13" ht="16" thickBot="1" x14ac:dyDescent="0.25">
      <c r="L103" s="104">
        <f>Y67</f>
        <v>4</v>
      </c>
      <c r="M103" s="105">
        <f>AA70</f>
        <v>247</v>
      </c>
    </row>
    <row r="104" spans="11:13" x14ac:dyDescent="0.2">
      <c r="K104" s="106"/>
      <c r="L104" s="107" t="s">
        <v>195</v>
      </c>
      <c r="M104" s="108">
        <f>O70+S70+W70+AA70+AE70</f>
        <v>1321</v>
      </c>
    </row>
    <row r="105" spans="11:13" x14ac:dyDescent="0.2">
      <c r="K105" s="366" t="s">
        <v>196</v>
      </c>
      <c r="L105" s="367"/>
      <c r="M105" s="109">
        <f>140+260</f>
        <v>400</v>
      </c>
    </row>
    <row r="106" spans="11:13" ht="16" thickBot="1" x14ac:dyDescent="0.25">
      <c r="K106" s="352" t="str">
        <f>L48</f>
        <v>Total meters November:</v>
      </c>
      <c r="L106" s="353"/>
      <c r="M106" s="110">
        <f>M48</f>
        <v>1165</v>
      </c>
    </row>
    <row r="125" spans="1:30" ht="16" thickBot="1" x14ac:dyDescent="0.25"/>
    <row r="126" spans="1:30" ht="16" thickBot="1" x14ac:dyDescent="0.25">
      <c r="I126" s="76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8"/>
    </row>
    <row r="127" spans="1:30" x14ac:dyDescent="0.2">
      <c r="A127" s="18" t="s">
        <v>75</v>
      </c>
      <c r="B127" t="s">
        <v>76</v>
      </c>
    </row>
    <row r="129" spans="1:32" ht="16" thickBot="1" x14ac:dyDescent="0.25">
      <c r="A129" s="40">
        <v>45597</v>
      </c>
      <c r="B129" s="40">
        <v>45627</v>
      </c>
      <c r="C129" s="40">
        <v>45658</v>
      </c>
      <c r="D129" s="40">
        <v>45689</v>
      </c>
      <c r="E129" s="40">
        <v>45717</v>
      </c>
      <c r="F129" s="40">
        <v>45748</v>
      </c>
      <c r="G129" s="40">
        <v>45778</v>
      </c>
      <c r="K129" s="18" t="s">
        <v>127</v>
      </c>
      <c r="L129" s="40">
        <v>45689</v>
      </c>
    </row>
    <row r="130" spans="1:32" ht="16" thickBot="1" x14ac:dyDescent="0.25">
      <c r="A130" s="20" t="s">
        <v>77</v>
      </c>
      <c r="B130" s="21" t="s">
        <v>78</v>
      </c>
      <c r="C130" s="21" t="s">
        <v>78</v>
      </c>
      <c r="D130" s="21" t="s">
        <v>78</v>
      </c>
      <c r="E130" s="22" t="s">
        <v>79</v>
      </c>
      <c r="F130" s="23" t="s">
        <v>80</v>
      </c>
      <c r="G130" s="24" t="s">
        <v>81</v>
      </c>
      <c r="K130" t="s">
        <v>128</v>
      </c>
      <c r="L130" s="75" t="s">
        <v>78</v>
      </c>
      <c r="M130" s="76" t="s">
        <v>151</v>
      </c>
      <c r="N130" s="79" t="s">
        <v>202</v>
      </c>
    </row>
    <row r="131" spans="1:32" ht="16" thickBot="1" x14ac:dyDescent="0.25">
      <c r="A131" s="25" t="s">
        <v>83</v>
      </c>
      <c r="B131" s="25"/>
      <c r="C131" s="25"/>
      <c r="D131" s="25"/>
      <c r="E131" s="25"/>
      <c r="F131" s="25" t="s">
        <v>84</v>
      </c>
      <c r="G131" s="25"/>
      <c r="K131" t="s">
        <v>94</v>
      </c>
      <c r="L131" t="s">
        <v>197</v>
      </c>
      <c r="M131" t="s">
        <v>201</v>
      </c>
      <c r="N131" s="79" t="s">
        <v>200</v>
      </c>
    </row>
    <row r="132" spans="1:32" x14ac:dyDescent="0.2">
      <c r="K132" t="s">
        <v>129</v>
      </c>
      <c r="L132" t="s">
        <v>106</v>
      </c>
    </row>
    <row r="133" spans="1:32" x14ac:dyDescent="0.2">
      <c r="A133" s="18" t="s">
        <v>87</v>
      </c>
      <c r="K133" t="s">
        <v>130</v>
      </c>
      <c r="L133" t="s">
        <v>120</v>
      </c>
    </row>
    <row r="134" spans="1:32" x14ac:dyDescent="0.2">
      <c r="K134" t="s">
        <v>131</v>
      </c>
      <c r="L134" t="s">
        <v>198</v>
      </c>
    </row>
    <row r="135" spans="1:32" ht="16" thickBot="1" x14ac:dyDescent="0.25">
      <c r="A135" s="26" t="s">
        <v>90</v>
      </c>
      <c r="B135" s="26" t="s">
        <v>85</v>
      </c>
      <c r="C135" s="26" t="s">
        <v>78</v>
      </c>
      <c r="D135" s="26" t="s">
        <v>79</v>
      </c>
      <c r="E135" s="26" t="s">
        <v>91</v>
      </c>
      <c r="F135" s="26" t="s">
        <v>81</v>
      </c>
      <c r="G135" s="26" t="s">
        <v>92</v>
      </c>
      <c r="K135" t="s">
        <v>132</v>
      </c>
      <c r="L135" t="s">
        <v>199</v>
      </c>
    </row>
    <row r="136" spans="1:32" ht="16" thickBot="1" x14ac:dyDescent="0.25">
      <c r="A136" t="s">
        <v>94</v>
      </c>
      <c r="B136" s="27" t="s">
        <v>95</v>
      </c>
      <c r="C136" s="27" t="s">
        <v>96</v>
      </c>
      <c r="D136" s="27" t="s">
        <v>95</v>
      </c>
      <c r="E136" s="27" t="s">
        <v>97</v>
      </c>
      <c r="F136" s="27" t="s">
        <v>98</v>
      </c>
      <c r="G136" s="27" t="s">
        <v>95</v>
      </c>
      <c r="M136" s="368" t="s">
        <v>135</v>
      </c>
      <c r="N136" s="369"/>
      <c r="O136" s="370"/>
      <c r="Q136" s="368" t="s">
        <v>135</v>
      </c>
      <c r="R136" s="369"/>
      <c r="S136" s="370"/>
      <c r="U136" s="368" t="s">
        <v>135</v>
      </c>
      <c r="V136" s="369"/>
      <c r="W136" s="370"/>
      <c r="Y136" s="376" t="s">
        <v>135</v>
      </c>
      <c r="Z136" s="377"/>
      <c r="AA136" s="377"/>
      <c r="AB136" s="378"/>
      <c r="AD136" s="160" t="s">
        <v>135</v>
      </c>
      <c r="AE136" s="99"/>
      <c r="AF136" s="100"/>
    </row>
    <row r="137" spans="1:32" ht="16" thickBot="1" x14ac:dyDescent="0.25">
      <c r="B137" s="28" t="s">
        <v>101</v>
      </c>
      <c r="C137" s="28" t="s">
        <v>101</v>
      </c>
      <c r="D137" s="28" t="s">
        <v>101</v>
      </c>
      <c r="E137" s="28" t="s">
        <v>101</v>
      </c>
      <c r="F137" s="28" t="s">
        <v>101</v>
      </c>
      <c r="G137" s="28" t="s">
        <v>101</v>
      </c>
      <c r="M137" s="371">
        <v>6</v>
      </c>
      <c r="N137" s="372"/>
      <c r="O137" s="111" t="s">
        <v>147</v>
      </c>
      <c r="Q137" s="371">
        <v>7</v>
      </c>
      <c r="R137" s="372"/>
      <c r="S137" s="111" t="s">
        <v>147</v>
      </c>
      <c r="U137" s="371">
        <v>8</v>
      </c>
      <c r="V137" s="372"/>
      <c r="W137" s="111" t="s">
        <v>147</v>
      </c>
      <c r="Y137" s="373">
        <v>9</v>
      </c>
      <c r="Z137" s="374"/>
      <c r="AA137" s="375"/>
      <c r="AB137" s="198" t="s">
        <v>147</v>
      </c>
      <c r="AD137" s="158">
        <v>0</v>
      </c>
      <c r="AE137" s="159"/>
      <c r="AF137" s="111" t="s">
        <v>147</v>
      </c>
    </row>
    <row r="138" spans="1:32" x14ac:dyDescent="0.2">
      <c r="L138" s="49" t="s">
        <v>136</v>
      </c>
      <c r="M138" s="50">
        <v>0</v>
      </c>
      <c r="N138" s="50">
        <v>0</v>
      </c>
      <c r="O138" s="51">
        <f>SUM(M138:N138)+1</f>
        <v>1</v>
      </c>
      <c r="P138" s="49" t="s">
        <v>136</v>
      </c>
      <c r="Q138" s="50">
        <v>1</v>
      </c>
      <c r="R138" s="50">
        <v>1</v>
      </c>
      <c r="S138" s="51">
        <f>SUM(Q138:R138)+S154</f>
        <v>2</v>
      </c>
      <c r="T138" s="49" t="s">
        <v>136</v>
      </c>
      <c r="U138" s="50">
        <v>0</v>
      </c>
      <c r="V138" s="50"/>
      <c r="W138" s="112">
        <f>SUM(U138:V138)+W154</f>
        <v>0</v>
      </c>
      <c r="X138" s="49" t="s">
        <v>136</v>
      </c>
      <c r="Y138" s="50">
        <v>1</v>
      </c>
      <c r="Z138" s="50">
        <v>1</v>
      </c>
      <c r="AA138" s="50">
        <v>1</v>
      </c>
      <c r="AB138" s="51">
        <f>SUM(Y138:AA138)+0</f>
        <v>3</v>
      </c>
      <c r="AC138" s="49" t="s">
        <v>136</v>
      </c>
      <c r="AD138" s="50"/>
      <c r="AE138" s="50"/>
      <c r="AF138" s="51">
        <f>SUM(AD138:AE138)+AF154</f>
        <v>0</v>
      </c>
    </row>
    <row r="139" spans="1:32" x14ac:dyDescent="0.2">
      <c r="A139" s="29" t="s">
        <v>104</v>
      </c>
      <c r="B139" s="30" t="s">
        <v>105</v>
      </c>
      <c r="C139" s="30" t="s">
        <v>106</v>
      </c>
      <c r="D139" s="30" t="s">
        <v>107</v>
      </c>
      <c r="E139" s="30"/>
      <c r="F139" s="30" t="s">
        <v>108</v>
      </c>
      <c r="G139" s="30" t="s">
        <v>109</v>
      </c>
      <c r="H139" s="31" t="s">
        <v>110</v>
      </c>
      <c r="L139" s="52" t="s">
        <v>94</v>
      </c>
      <c r="M139" s="46">
        <v>0</v>
      </c>
      <c r="N139" s="47"/>
      <c r="O139" s="53">
        <f>SUM(M139:N139)</f>
        <v>0</v>
      </c>
      <c r="P139" s="52" t="s">
        <v>94</v>
      </c>
      <c r="Q139" s="46">
        <v>8.3333333333333329E-2</v>
      </c>
      <c r="R139" s="47">
        <v>8.3333333333333329E-2</v>
      </c>
      <c r="S139" s="53">
        <f t="shared" ref="S139:S141" si="22">SUM(Q139:R139)</f>
        <v>0.16666666666666666</v>
      </c>
      <c r="T139" s="52" t="s">
        <v>94</v>
      </c>
      <c r="U139" s="46"/>
      <c r="V139" s="47"/>
      <c r="W139" s="53">
        <f t="shared" ref="W139:W141" si="23">SUM(U139:V139)</f>
        <v>0</v>
      </c>
      <c r="X139" s="52" t="s">
        <v>94</v>
      </c>
      <c r="Y139" s="46">
        <v>8.3333333333333329E-2</v>
      </c>
      <c r="Z139" s="47">
        <v>8.3333333333333329E-2</v>
      </c>
      <c r="AA139" s="47">
        <v>8.3333333333333329E-2</v>
      </c>
      <c r="AB139" s="53">
        <f>SUM(Y139:AA139)</f>
        <v>0.25</v>
      </c>
      <c r="AC139" s="52" t="s">
        <v>94</v>
      </c>
      <c r="AD139" s="46">
        <v>0</v>
      </c>
      <c r="AE139" s="47"/>
      <c r="AF139" s="53">
        <f>SUM(AD139:AE139)</f>
        <v>0</v>
      </c>
    </row>
    <row r="140" spans="1:32" x14ac:dyDescent="0.2">
      <c r="A140" s="32"/>
      <c r="C140" t="s">
        <v>105</v>
      </c>
      <c r="D140" t="s">
        <v>105</v>
      </c>
      <c r="F140" t="s">
        <v>111</v>
      </c>
      <c r="G140" t="s">
        <v>108</v>
      </c>
      <c r="H140" s="33"/>
      <c r="L140" s="52" t="s">
        <v>137</v>
      </c>
      <c r="M140" s="48"/>
      <c r="N140" s="48"/>
      <c r="O140" s="54">
        <f>SUM(M140:N140)</f>
        <v>0</v>
      </c>
      <c r="P140" s="52" t="s">
        <v>137</v>
      </c>
      <c r="Q140" s="48">
        <v>212</v>
      </c>
      <c r="R140" s="48">
        <v>190</v>
      </c>
      <c r="S140" s="54">
        <f t="shared" si="22"/>
        <v>402</v>
      </c>
      <c r="T140" s="52" t="s">
        <v>137</v>
      </c>
      <c r="U140" s="48"/>
      <c r="V140" s="48"/>
      <c r="W140" s="54">
        <f t="shared" si="23"/>
        <v>0</v>
      </c>
      <c r="X140" s="52" t="s">
        <v>137</v>
      </c>
      <c r="Y140" s="48">
        <v>208</v>
      </c>
      <c r="Z140" s="48">
        <v>221</v>
      </c>
      <c r="AA140" s="48">
        <v>208</v>
      </c>
      <c r="AB140" s="54">
        <f t="shared" ref="AB140:AB151" si="24">SUM(Y140:AA140)</f>
        <v>637</v>
      </c>
      <c r="AC140" s="52" t="s">
        <v>137</v>
      </c>
      <c r="AD140" s="48"/>
      <c r="AE140" s="48"/>
      <c r="AF140" s="54">
        <f t="shared" ref="AF140:AF141" si="25">SUM(AD140:AE140)</f>
        <v>0</v>
      </c>
    </row>
    <row r="141" spans="1:32" x14ac:dyDescent="0.2">
      <c r="A141" s="34"/>
      <c r="B141" s="35" t="s">
        <v>112</v>
      </c>
      <c r="C141" s="35" t="s">
        <v>113</v>
      </c>
      <c r="D141" s="35" t="s">
        <v>114</v>
      </c>
      <c r="E141" s="35" t="s">
        <v>115</v>
      </c>
      <c r="F141" s="35" t="s">
        <v>116</v>
      </c>
      <c r="G141" s="35" t="s">
        <v>117</v>
      </c>
      <c r="H141" s="36"/>
      <c r="L141" s="52" t="s">
        <v>138</v>
      </c>
      <c r="M141" s="42"/>
      <c r="N141" s="42"/>
      <c r="O141" s="54">
        <f>SUM(M141:N141)</f>
        <v>0</v>
      </c>
      <c r="P141" s="52" t="s">
        <v>138</v>
      </c>
      <c r="Q141" s="42">
        <v>16</v>
      </c>
      <c r="R141" s="42">
        <v>13</v>
      </c>
      <c r="S141" s="54">
        <f t="shared" si="22"/>
        <v>29</v>
      </c>
      <c r="T141" s="52" t="s">
        <v>138</v>
      </c>
      <c r="U141" s="42"/>
      <c r="V141" s="42"/>
      <c r="W141" s="54">
        <f t="shared" si="23"/>
        <v>0</v>
      </c>
      <c r="X141" s="52" t="s">
        <v>138</v>
      </c>
      <c r="Y141" s="42">
        <v>16</v>
      </c>
      <c r="Z141" s="42">
        <v>17</v>
      </c>
      <c r="AA141" s="42">
        <v>16</v>
      </c>
      <c r="AB141" s="54">
        <f t="shared" si="24"/>
        <v>49</v>
      </c>
      <c r="AC141" s="52" t="s">
        <v>138</v>
      </c>
      <c r="AD141" s="42"/>
      <c r="AE141" s="42"/>
      <c r="AF141" s="54">
        <f t="shared" si="25"/>
        <v>0</v>
      </c>
    </row>
    <row r="142" spans="1:32" ht="16" thickBot="1" x14ac:dyDescent="0.25">
      <c r="A142" s="37" t="s">
        <v>118</v>
      </c>
      <c r="B142" s="38" t="s">
        <v>119</v>
      </c>
      <c r="C142" s="38" t="s">
        <v>120</v>
      </c>
      <c r="D142" s="38" t="s">
        <v>119</v>
      </c>
      <c r="E142" s="38" t="s">
        <v>121</v>
      </c>
      <c r="F142" s="38" t="s">
        <v>121</v>
      </c>
      <c r="G142" s="39" t="s">
        <v>121</v>
      </c>
      <c r="L142" s="55" t="s">
        <v>139</v>
      </c>
      <c r="M142" s="56"/>
      <c r="N142" s="56"/>
      <c r="O142" s="43" t="e">
        <f>AVERAGE(M142:N142)</f>
        <v>#DIV/0!</v>
      </c>
      <c r="P142" s="55" t="s">
        <v>139</v>
      </c>
      <c r="Q142" s="56">
        <v>13</v>
      </c>
      <c r="R142" s="56">
        <v>13</v>
      </c>
      <c r="S142" s="43">
        <f>AVERAGE(Q142:R142)</f>
        <v>13</v>
      </c>
      <c r="T142" s="55" t="s">
        <v>139</v>
      </c>
      <c r="U142" s="56">
        <v>0</v>
      </c>
      <c r="V142" s="56"/>
      <c r="W142" s="43">
        <f>AVERAGE(U142:V142)</f>
        <v>0</v>
      </c>
      <c r="X142" s="55" t="s">
        <v>139</v>
      </c>
      <c r="Y142" s="56">
        <v>13</v>
      </c>
      <c r="Z142" s="56">
        <v>13</v>
      </c>
      <c r="AA142" s="56">
        <v>13</v>
      </c>
      <c r="AB142" s="43">
        <f t="shared" si="24"/>
        <v>39</v>
      </c>
      <c r="AC142" s="55" t="s">
        <v>139</v>
      </c>
      <c r="AD142" s="56">
        <v>0</v>
      </c>
      <c r="AE142" s="56"/>
      <c r="AF142" s="43">
        <f>AVERAGE(AD142:AE142)</f>
        <v>0</v>
      </c>
    </row>
    <row r="143" spans="1:32" ht="16" thickBot="1" x14ac:dyDescent="0.25">
      <c r="A143" s="37" t="s">
        <v>122</v>
      </c>
      <c r="B143" s="38" t="s">
        <v>121</v>
      </c>
      <c r="C143" s="38" t="s">
        <v>123</v>
      </c>
      <c r="D143" s="38" t="s">
        <v>120</v>
      </c>
      <c r="E143" s="38" t="s">
        <v>120</v>
      </c>
      <c r="F143" s="38" t="s">
        <v>120</v>
      </c>
      <c r="G143" s="39" t="s">
        <v>124</v>
      </c>
      <c r="L143" s="41" t="s">
        <v>140</v>
      </c>
      <c r="P143" s="41" t="s">
        <v>140</v>
      </c>
      <c r="T143" s="41" t="s">
        <v>140</v>
      </c>
      <c r="X143" s="41" t="s">
        <v>140</v>
      </c>
      <c r="AC143" s="41" t="s">
        <v>140</v>
      </c>
    </row>
    <row r="144" spans="1:32" x14ac:dyDescent="0.2">
      <c r="A144" s="37" t="s">
        <v>125</v>
      </c>
      <c r="B144" s="38" t="s">
        <v>119</v>
      </c>
      <c r="C144" s="38" t="s">
        <v>120</v>
      </c>
      <c r="D144" s="38" t="s">
        <v>119</v>
      </c>
      <c r="E144" s="38" t="s">
        <v>121</v>
      </c>
      <c r="F144" s="38" t="s">
        <v>126</v>
      </c>
      <c r="G144" s="39" t="s">
        <v>121</v>
      </c>
      <c r="L144" s="49" t="s">
        <v>141</v>
      </c>
      <c r="M144" s="50">
        <v>0</v>
      </c>
      <c r="N144" s="50"/>
      <c r="O144" s="51">
        <f>SUM(M144:N144)</f>
        <v>0</v>
      </c>
      <c r="P144" s="164" t="s">
        <v>141</v>
      </c>
      <c r="Q144" s="50">
        <v>5</v>
      </c>
      <c r="R144" s="50">
        <v>6</v>
      </c>
      <c r="S144" s="51">
        <f>SUM(Q144:R144)</f>
        <v>11</v>
      </c>
      <c r="T144" s="49" t="s">
        <v>141</v>
      </c>
      <c r="U144" s="50">
        <v>0</v>
      </c>
      <c r="V144" s="50"/>
      <c r="W144" s="51">
        <f>SUM(U144:V144)</f>
        <v>0</v>
      </c>
      <c r="X144" s="49" t="s">
        <v>141</v>
      </c>
      <c r="Y144" s="50">
        <v>3</v>
      </c>
      <c r="Z144" s="50">
        <v>4</v>
      </c>
      <c r="AA144" s="50">
        <v>3</v>
      </c>
      <c r="AB144" s="197">
        <f t="shared" si="24"/>
        <v>10</v>
      </c>
      <c r="AC144" s="49" t="s">
        <v>141</v>
      </c>
      <c r="AD144" s="50">
        <v>0</v>
      </c>
      <c r="AE144" s="50"/>
      <c r="AF144" s="51">
        <f>SUM(AD144:AE144)</f>
        <v>0</v>
      </c>
    </row>
    <row r="145" spans="11:32" x14ac:dyDescent="0.2">
      <c r="L145" s="52" t="s">
        <v>148</v>
      </c>
      <c r="M145" s="42">
        <v>0</v>
      </c>
      <c r="N145" s="42"/>
      <c r="O145" s="54">
        <f t="shared" ref="O145:O151" si="26">SUM(M145:N145)</f>
        <v>0</v>
      </c>
      <c r="P145" s="165" t="s">
        <v>148</v>
      </c>
      <c r="Q145" s="42">
        <v>2</v>
      </c>
      <c r="R145" s="42">
        <v>3</v>
      </c>
      <c r="S145" s="54">
        <f t="shared" ref="S145:S151" si="27">SUM(Q145:R145)</f>
        <v>5</v>
      </c>
      <c r="T145" s="52" t="s">
        <v>148</v>
      </c>
      <c r="U145" s="42">
        <v>0</v>
      </c>
      <c r="V145" s="42"/>
      <c r="W145" s="54">
        <f t="shared" ref="W145:W151" si="28">SUM(U145:V145)</f>
        <v>0</v>
      </c>
      <c r="X145" s="52" t="s">
        <v>148</v>
      </c>
      <c r="Y145" s="42">
        <v>4</v>
      </c>
      <c r="Z145" s="42">
        <v>2</v>
      </c>
      <c r="AA145" s="42">
        <v>7</v>
      </c>
      <c r="AB145" s="69">
        <f t="shared" si="24"/>
        <v>13</v>
      </c>
      <c r="AC145" s="52" t="s">
        <v>148</v>
      </c>
      <c r="AD145" s="42">
        <v>0</v>
      </c>
      <c r="AE145" s="42"/>
      <c r="AF145" s="54">
        <f t="shared" ref="AF145:AF151" si="29">SUM(AD145:AE145)</f>
        <v>0</v>
      </c>
    </row>
    <row r="146" spans="11:32" x14ac:dyDescent="0.2">
      <c r="L146" s="52" t="s">
        <v>149</v>
      </c>
      <c r="M146" s="42">
        <v>0</v>
      </c>
      <c r="N146" s="42"/>
      <c r="O146" s="54">
        <f t="shared" si="26"/>
        <v>0</v>
      </c>
      <c r="P146" s="165" t="s">
        <v>149</v>
      </c>
      <c r="Q146" s="42">
        <v>6</v>
      </c>
      <c r="R146" s="42">
        <v>3</v>
      </c>
      <c r="S146" s="54">
        <f t="shared" si="27"/>
        <v>9</v>
      </c>
      <c r="T146" s="52" t="s">
        <v>149</v>
      </c>
      <c r="U146" s="42">
        <v>0</v>
      </c>
      <c r="V146" s="42"/>
      <c r="W146" s="54">
        <f t="shared" si="28"/>
        <v>0</v>
      </c>
      <c r="X146" s="52" t="s">
        <v>149</v>
      </c>
      <c r="Y146" s="42">
        <v>4</v>
      </c>
      <c r="Z146" s="42">
        <v>4</v>
      </c>
      <c r="AA146" s="42">
        <v>1</v>
      </c>
      <c r="AB146" s="69">
        <f t="shared" si="24"/>
        <v>9</v>
      </c>
      <c r="AC146" s="52" t="s">
        <v>149</v>
      </c>
      <c r="AD146" s="42">
        <v>0</v>
      </c>
      <c r="AE146" s="42"/>
      <c r="AF146" s="54">
        <f t="shared" si="29"/>
        <v>0</v>
      </c>
    </row>
    <row r="147" spans="11:32" x14ac:dyDescent="0.2">
      <c r="L147" s="52" t="s">
        <v>142</v>
      </c>
      <c r="M147" s="42">
        <v>0</v>
      </c>
      <c r="N147" s="42"/>
      <c r="O147" s="54">
        <f t="shared" si="26"/>
        <v>0</v>
      </c>
      <c r="P147" s="165" t="s">
        <v>142</v>
      </c>
      <c r="Q147" s="42">
        <v>3</v>
      </c>
      <c r="R147" s="42">
        <v>1</v>
      </c>
      <c r="S147" s="54">
        <f t="shared" si="27"/>
        <v>4</v>
      </c>
      <c r="T147" s="52" t="s">
        <v>142</v>
      </c>
      <c r="U147" s="42">
        <v>0</v>
      </c>
      <c r="V147" s="42"/>
      <c r="W147" s="54">
        <f t="shared" si="28"/>
        <v>0</v>
      </c>
      <c r="X147" s="52" t="s">
        <v>142</v>
      </c>
      <c r="Y147" s="42">
        <v>5</v>
      </c>
      <c r="Z147" s="42">
        <v>7</v>
      </c>
      <c r="AA147" s="42">
        <v>4</v>
      </c>
      <c r="AB147" s="69">
        <f t="shared" si="24"/>
        <v>16</v>
      </c>
      <c r="AC147" s="52" t="s">
        <v>142</v>
      </c>
      <c r="AD147" s="42">
        <v>0</v>
      </c>
      <c r="AE147" s="42"/>
      <c r="AF147" s="54">
        <f t="shared" si="29"/>
        <v>0</v>
      </c>
    </row>
    <row r="148" spans="11:32" x14ac:dyDescent="0.2">
      <c r="L148" s="52" t="s">
        <v>143</v>
      </c>
      <c r="M148" s="42">
        <v>0</v>
      </c>
      <c r="N148" s="42"/>
      <c r="O148" s="54">
        <f t="shared" si="26"/>
        <v>0</v>
      </c>
      <c r="P148" s="165" t="s">
        <v>143</v>
      </c>
      <c r="Q148" s="42">
        <v>0</v>
      </c>
      <c r="R148" s="42"/>
      <c r="S148" s="54">
        <f t="shared" si="27"/>
        <v>0</v>
      </c>
      <c r="T148" s="52" t="s">
        <v>143</v>
      </c>
      <c r="U148" s="42">
        <v>0</v>
      </c>
      <c r="V148" s="42"/>
      <c r="W148" s="54">
        <f t="shared" si="28"/>
        <v>0</v>
      </c>
      <c r="X148" s="52" t="s">
        <v>143</v>
      </c>
      <c r="Y148" s="42">
        <v>0</v>
      </c>
      <c r="Z148" s="42">
        <v>0</v>
      </c>
      <c r="AA148" s="45">
        <v>1.5</v>
      </c>
      <c r="AB148" s="69">
        <f t="shared" si="24"/>
        <v>1.5</v>
      </c>
      <c r="AC148" s="52" t="s">
        <v>143</v>
      </c>
      <c r="AD148" s="42">
        <v>0</v>
      </c>
      <c r="AE148" s="42"/>
      <c r="AF148" s="54">
        <f t="shared" si="29"/>
        <v>0</v>
      </c>
    </row>
    <row r="149" spans="11:32" x14ac:dyDescent="0.2">
      <c r="L149" s="52" t="s">
        <v>144</v>
      </c>
      <c r="M149" s="42">
        <v>0</v>
      </c>
      <c r="N149" s="42"/>
      <c r="O149" s="54">
        <f t="shared" si="26"/>
        <v>0</v>
      </c>
      <c r="P149" s="165" t="s">
        <v>144</v>
      </c>
      <c r="Q149" s="42">
        <v>0</v>
      </c>
      <c r="R149" s="42"/>
      <c r="S149" s="54">
        <f t="shared" si="27"/>
        <v>0</v>
      </c>
      <c r="T149" s="52" t="s">
        <v>144</v>
      </c>
      <c r="U149" s="42">
        <v>0</v>
      </c>
      <c r="V149" s="42"/>
      <c r="W149" s="54">
        <f t="shared" si="28"/>
        <v>0</v>
      </c>
      <c r="X149" s="52" t="s">
        <v>144</v>
      </c>
      <c r="Y149" s="42">
        <v>0</v>
      </c>
      <c r="Z149" s="42">
        <v>0</v>
      </c>
      <c r="AA149" s="42"/>
      <c r="AB149" s="69">
        <f t="shared" si="24"/>
        <v>0</v>
      </c>
      <c r="AC149" s="52" t="s">
        <v>144</v>
      </c>
      <c r="AD149" s="42">
        <v>0</v>
      </c>
      <c r="AE149" s="42"/>
      <c r="AF149" s="54">
        <f t="shared" si="29"/>
        <v>0</v>
      </c>
    </row>
    <row r="150" spans="11:32" x14ac:dyDescent="0.2">
      <c r="L150" s="52" t="s">
        <v>145</v>
      </c>
      <c r="M150" s="42">
        <v>0</v>
      </c>
      <c r="N150" s="42"/>
      <c r="O150" s="54">
        <f t="shared" si="26"/>
        <v>0</v>
      </c>
      <c r="P150" s="165" t="s">
        <v>145</v>
      </c>
      <c r="Q150" s="42">
        <v>0</v>
      </c>
      <c r="R150" s="42"/>
      <c r="S150" s="54">
        <f t="shared" si="27"/>
        <v>0</v>
      </c>
      <c r="T150" s="52" t="s">
        <v>145</v>
      </c>
      <c r="U150" s="42">
        <v>0</v>
      </c>
      <c r="V150" s="42"/>
      <c r="W150" s="54">
        <f t="shared" si="28"/>
        <v>0</v>
      </c>
      <c r="X150" s="52" t="s">
        <v>145</v>
      </c>
      <c r="Y150" s="42">
        <v>0</v>
      </c>
      <c r="Z150" s="42">
        <v>0</v>
      </c>
      <c r="AA150" s="42"/>
      <c r="AB150" s="69">
        <f t="shared" si="24"/>
        <v>0</v>
      </c>
      <c r="AC150" s="52" t="s">
        <v>145</v>
      </c>
      <c r="AD150" s="42">
        <v>0</v>
      </c>
      <c r="AE150" s="42"/>
      <c r="AF150" s="54">
        <f t="shared" si="29"/>
        <v>0</v>
      </c>
    </row>
    <row r="151" spans="11:32" ht="16" thickBot="1" x14ac:dyDescent="0.25">
      <c r="L151" s="55" t="s">
        <v>146</v>
      </c>
      <c r="M151" s="56">
        <v>0</v>
      </c>
      <c r="N151" s="56"/>
      <c r="O151" s="43">
        <f t="shared" si="26"/>
        <v>0</v>
      </c>
      <c r="P151" s="166" t="s">
        <v>146</v>
      </c>
      <c r="Q151" s="56">
        <v>0</v>
      </c>
      <c r="R151" s="56"/>
      <c r="S151" s="43">
        <f t="shared" si="27"/>
        <v>0</v>
      </c>
      <c r="T151" s="55" t="s">
        <v>146</v>
      </c>
      <c r="U151" s="56">
        <v>0</v>
      </c>
      <c r="V151" s="56"/>
      <c r="W151" s="43">
        <f t="shared" si="28"/>
        <v>0</v>
      </c>
      <c r="X151" s="55" t="s">
        <v>146</v>
      </c>
      <c r="Y151" s="56">
        <v>0</v>
      </c>
      <c r="Z151" s="56">
        <v>0</v>
      </c>
      <c r="AA151" s="56"/>
      <c r="AB151" s="70">
        <f t="shared" si="24"/>
        <v>0</v>
      </c>
      <c r="AC151" s="55" t="s">
        <v>146</v>
      </c>
      <c r="AD151" s="56">
        <v>0</v>
      </c>
      <c r="AE151" s="56"/>
      <c r="AF151" s="43">
        <f t="shared" si="29"/>
        <v>0</v>
      </c>
    </row>
    <row r="152" spans="11:32" ht="16" thickBot="1" x14ac:dyDescent="0.25">
      <c r="L152" s="168" t="s">
        <v>174</v>
      </c>
      <c r="M152" s="91"/>
      <c r="N152" s="169"/>
      <c r="O152" s="167"/>
      <c r="P152" s="80" t="s">
        <v>174</v>
      </c>
      <c r="Q152" s="83"/>
      <c r="R152" s="81"/>
      <c r="S152" s="82"/>
      <c r="T152" s="80" t="s">
        <v>174</v>
      </c>
      <c r="U152" s="83"/>
      <c r="V152" s="81"/>
      <c r="W152" s="82"/>
      <c r="X152" s="80" t="s">
        <v>174</v>
      </c>
      <c r="Y152" s="83"/>
      <c r="Z152" s="81"/>
      <c r="AA152" s="82"/>
      <c r="AB152" s="82"/>
      <c r="AC152" s="80" t="s">
        <v>174</v>
      </c>
      <c r="AD152" s="83"/>
      <c r="AE152" s="81"/>
      <c r="AF152" s="82"/>
    </row>
    <row r="153" spans="11:32" ht="16" thickBot="1" x14ac:dyDescent="0.25">
      <c r="L153" s="57" t="s">
        <v>150</v>
      </c>
      <c r="M153" s="35">
        <f>SUM(M144:M151)</f>
        <v>0</v>
      </c>
      <c r="N153" s="36">
        <f>SUM(N144:N151)</f>
        <v>0</v>
      </c>
      <c r="P153" s="57" t="s">
        <v>150</v>
      </c>
      <c r="Q153" s="35">
        <f>SUM(Q144:Q151)</f>
        <v>16</v>
      </c>
      <c r="R153" s="36">
        <f>SUM(R144:R151)</f>
        <v>13</v>
      </c>
      <c r="T153" s="57" t="s">
        <v>150</v>
      </c>
      <c r="U153" s="35">
        <f>SUM(U144:U151)</f>
        <v>0</v>
      </c>
      <c r="V153" s="36">
        <f>SUM(V144:V151)</f>
        <v>0</v>
      </c>
      <c r="X153" s="71" t="s">
        <v>150</v>
      </c>
      <c r="Y153">
        <f>SUM(Y144:Y151)</f>
        <v>16</v>
      </c>
      <c r="Z153" s="33">
        <f>SUM(Z144:Z151)</f>
        <v>17</v>
      </c>
      <c r="AA153" s="33">
        <f>SUM(AA144:AA151)</f>
        <v>16.5</v>
      </c>
      <c r="AC153" s="71" t="s">
        <v>150</v>
      </c>
      <c r="AD153">
        <f>SUM(AD144:AD151)</f>
        <v>0</v>
      </c>
      <c r="AE153" s="33">
        <f>SUM(AE144:AE151)</f>
        <v>0</v>
      </c>
    </row>
    <row r="154" spans="11:32" ht="16" thickBot="1" x14ac:dyDescent="0.25">
      <c r="L154" s="74" t="s">
        <v>172</v>
      </c>
      <c r="M154" s="96">
        <v>0.1111111111111111</v>
      </c>
      <c r="N154" s="72">
        <v>0</v>
      </c>
      <c r="O154" s="114">
        <f>M154+N154</f>
        <v>0.1111111111111111</v>
      </c>
      <c r="P154" s="74" t="s">
        <v>172</v>
      </c>
      <c r="Q154" s="72">
        <v>0</v>
      </c>
      <c r="R154" s="72"/>
      <c r="S154" s="114">
        <f>Q154+R154</f>
        <v>0</v>
      </c>
      <c r="T154" s="74" t="s">
        <v>172</v>
      </c>
      <c r="U154" s="96">
        <v>0</v>
      </c>
      <c r="V154" s="72"/>
      <c r="W154" s="114">
        <f>U154+V154</f>
        <v>0</v>
      </c>
      <c r="X154" s="74" t="s">
        <v>172</v>
      </c>
      <c r="Y154" s="72">
        <v>0</v>
      </c>
      <c r="Z154" s="72"/>
      <c r="AA154" s="114">
        <f>Y154+Z154</f>
        <v>0</v>
      </c>
      <c r="AC154" s="74" t="s">
        <v>172</v>
      </c>
      <c r="AD154" s="72">
        <v>0</v>
      </c>
      <c r="AE154" s="72"/>
      <c r="AF154" s="114">
        <f>AD154+AE154</f>
        <v>0</v>
      </c>
    </row>
    <row r="155" spans="11:32" ht="16" thickBot="1" x14ac:dyDescent="0.25">
      <c r="L155" s="98" t="s">
        <v>191</v>
      </c>
      <c r="M155" s="341" t="s">
        <v>206</v>
      </c>
      <c r="N155" s="342"/>
      <c r="O155" s="343"/>
      <c r="P155" s="98" t="s">
        <v>191</v>
      </c>
      <c r="Q155" s="341" t="s">
        <v>203</v>
      </c>
      <c r="R155" s="342"/>
      <c r="S155" s="343"/>
      <c r="T155" s="98" t="s">
        <v>191</v>
      </c>
      <c r="U155" s="341" t="s">
        <v>351</v>
      </c>
      <c r="V155" s="342"/>
      <c r="W155" s="343"/>
      <c r="X155" s="98" t="s">
        <v>191</v>
      </c>
      <c r="Y155" s="341" t="s">
        <v>353</v>
      </c>
      <c r="Z155" s="342"/>
      <c r="AA155" s="343"/>
      <c r="AC155" s="98" t="s">
        <v>191</v>
      </c>
      <c r="AD155" s="161"/>
      <c r="AE155" s="162"/>
      <c r="AF155" s="163"/>
    </row>
    <row r="156" spans="11:32" ht="16" thickBot="1" x14ac:dyDescent="0.25"/>
    <row r="157" spans="11:32" ht="16" thickBot="1" x14ac:dyDescent="0.25">
      <c r="K157" s="61" t="s">
        <v>177</v>
      </c>
      <c r="L157" s="66" t="s">
        <v>204</v>
      </c>
      <c r="M157" s="102" t="s">
        <v>166</v>
      </c>
      <c r="N157" s="103" t="s">
        <v>171</v>
      </c>
    </row>
    <row r="158" spans="11:32" x14ac:dyDescent="0.2">
      <c r="L158" s="65" t="s">
        <v>146</v>
      </c>
      <c r="M158" s="34">
        <f>O151+S151+W151+AB151+AF151</f>
        <v>0</v>
      </c>
      <c r="N158" s="101">
        <f>M158*13</f>
        <v>0</v>
      </c>
    </row>
    <row r="159" spans="11:32" x14ac:dyDescent="0.2">
      <c r="L159" s="45" t="s">
        <v>145</v>
      </c>
      <c r="M159" s="37">
        <f>O150+S150+W150+AB150+AF150</f>
        <v>0</v>
      </c>
      <c r="N159" s="69">
        <f t="shared" ref="N159:N165" si="30">M159*13</f>
        <v>0</v>
      </c>
    </row>
    <row r="160" spans="11:32" x14ac:dyDescent="0.2">
      <c r="L160" s="45" t="s">
        <v>144</v>
      </c>
      <c r="M160" s="37">
        <f>O149+S149+W149+AB149+AF149</f>
        <v>0</v>
      </c>
      <c r="N160" s="69">
        <f t="shared" si="30"/>
        <v>0</v>
      </c>
    </row>
    <row r="161" spans="11:14" x14ac:dyDescent="0.2">
      <c r="L161" s="45" t="s">
        <v>143</v>
      </c>
      <c r="M161" s="37">
        <f>O148+S148+W148+AB148+AF148</f>
        <v>1.5</v>
      </c>
      <c r="N161" s="69">
        <f t="shared" si="30"/>
        <v>19.5</v>
      </c>
    </row>
    <row r="162" spans="11:14" x14ac:dyDescent="0.2">
      <c r="L162" s="45" t="s">
        <v>142</v>
      </c>
      <c r="M162" s="37">
        <f>O147+S147+W147+AB147+AF147</f>
        <v>20</v>
      </c>
      <c r="N162" s="69">
        <f t="shared" si="30"/>
        <v>260</v>
      </c>
    </row>
    <row r="163" spans="11:14" x14ac:dyDescent="0.2">
      <c r="L163" s="45" t="s">
        <v>149</v>
      </c>
      <c r="M163" s="37">
        <f>O146+S146+W146+AB146+AF146</f>
        <v>18</v>
      </c>
      <c r="N163" s="69">
        <f t="shared" si="30"/>
        <v>234</v>
      </c>
    </row>
    <row r="164" spans="11:14" x14ac:dyDescent="0.2">
      <c r="L164" s="45" t="s">
        <v>148</v>
      </c>
      <c r="M164" s="37">
        <f>O145+S145+W145+AB145+AF145</f>
        <v>18</v>
      </c>
      <c r="N164" s="69">
        <f t="shared" si="30"/>
        <v>234</v>
      </c>
    </row>
    <row r="165" spans="11:14" ht="16" thickBot="1" x14ac:dyDescent="0.25">
      <c r="L165" s="45" t="s">
        <v>141</v>
      </c>
      <c r="M165" s="37">
        <f>O144+S144+W144+AB144+AF144</f>
        <v>21</v>
      </c>
      <c r="N165" s="70">
        <f t="shared" si="30"/>
        <v>273</v>
      </c>
    </row>
    <row r="168" spans="11:14" ht="16" thickBot="1" x14ac:dyDescent="0.25"/>
    <row r="169" spans="11:14" ht="16" thickBot="1" x14ac:dyDescent="0.25">
      <c r="K169" s="61" t="s">
        <v>178</v>
      </c>
      <c r="L169" s="66" t="s">
        <v>204</v>
      </c>
      <c r="M169" s="67" t="s">
        <v>170</v>
      </c>
    </row>
    <row r="170" spans="11:14" x14ac:dyDescent="0.2">
      <c r="L170" s="65">
        <f>M137</f>
        <v>6</v>
      </c>
      <c r="M170" s="63">
        <f>O140</f>
        <v>0</v>
      </c>
    </row>
    <row r="171" spans="11:14" x14ac:dyDescent="0.2">
      <c r="L171" s="45">
        <f>Q137</f>
        <v>7</v>
      </c>
      <c r="M171" s="42">
        <f>S140</f>
        <v>402</v>
      </c>
    </row>
    <row r="172" spans="11:14" x14ac:dyDescent="0.2">
      <c r="L172" s="45">
        <f>U137</f>
        <v>8</v>
      </c>
      <c r="M172" s="42">
        <f>W140</f>
        <v>0</v>
      </c>
    </row>
    <row r="173" spans="11:14" ht="16" thickBot="1" x14ac:dyDescent="0.25">
      <c r="L173" s="104">
        <f>Y137</f>
        <v>9</v>
      </c>
      <c r="M173" s="105">
        <f>AB140</f>
        <v>637</v>
      </c>
    </row>
    <row r="174" spans="11:14" ht="16" thickBot="1" x14ac:dyDescent="0.25">
      <c r="K174" s="356" t="s">
        <v>207</v>
      </c>
      <c r="L174" s="357"/>
      <c r="M174" s="108">
        <f>O140+S140+W140+AB140+AF140</f>
        <v>1039</v>
      </c>
    </row>
    <row r="175" spans="11:14" x14ac:dyDescent="0.2">
      <c r="K175" s="366" t="s">
        <v>196</v>
      </c>
      <c r="L175" s="367"/>
      <c r="M175" s="108">
        <v>400</v>
      </c>
    </row>
    <row r="176" spans="11:14" x14ac:dyDescent="0.2">
      <c r="K176" s="366" t="s">
        <v>359</v>
      </c>
      <c r="L176" s="367"/>
      <c r="M176" s="109">
        <v>1312</v>
      </c>
    </row>
    <row r="177" spans="11:13" ht="16" thickBot="1" x14ac:dyDescent="0.25">
      <c r="K177" s="352" t="s">
        <v>205</v>
      </c>
      <c r="L177" s="353"/>
      <c r="M177" s="110">
        <f>M106</f>
        <v>1165</v>
      </c>
    </row>
    <row r="197" spans="9:36" ht="16" thickBot="1" x14ac:dyDescent="0.25"/>
    <row r="198" spans="9:36" ht="16" thickBot="1" x14ac:dyDescent="0.25">
      <c r="I198" s="76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8"/>
    </row>
    <row r="201" spans="9:36" ht="16" thickBot="1" x14ac:dyDescent="0.25">
      <c r="K201" s="18" t="s">
        <v>127</v>
      </c>
      <c r="L201" s="40">
        <v>45717</v>
      </c>
    </row>
    <row r="202" spans="9:36" ht="16" thickBot="1" x14ac:dyDescent="0.25">
      <c r="K202" t="s">
        <v>128</v>
      </c>
      <c r="L202" s="75" t="s">
        <v>78</v>
      </c>
      <c r="M202" s="76" t="s">
        <v>151</v>
      </c>
      <c r="N202" s="79" t="s">
        <v>333</v>
      </c>
    </row>
    <row r="203" spans="9:36" ht="16" thickBot="1" x14ac:dyDescent="0.25">
      <c r="K203" t="s">
        <v>94</v>
      </c>
      <c r="L203" t="s">
        <v>197</v>
      </c>
      <c r="M203" t="s">
        <v>201</v>
      </c>
      <c r="N203" s="79" t="s">
        <v>334</v>
      </c>
    </row>
    <row r="204" spans="9:36" x14ac:dyDescent="0.2">
      <c r="K204" t="s">
        <v>129</v>
      </c>
      <c r="L204" t="s">
        <v>106</v>
      </c>
    </row>
    <row r="205" spans="9:36" x14ac:dyDescent="0.2">
      <c r="K205" t="s">
        <v>130</v>
      </c>
      <c r="L205" t="s">
        <v>120</v>
      </c>
    </row>
    <row r="206" spans="9:36" x14ac:dyDescent="0.2">
      <c r="K206" t="s">
        <v>131</v>
      </c>
      <c r="L206" t="s">
        <v>198</v>
      </c>
    </row>
    <row r="207" spans="9:36" ht="16" thickBot="1" x14ac:dyDescent="0.25">
      <c r="K207" t="s">
        <v>132</v>
      </c>
      <c r="L207" t="s">
        <v>199</v>
      </c>
    </row>
    <row r="208" spans="9:36" ht="16" thickBot="1" x14ac:dyDescent="0.25">
      <c r="M208" s="341" t="s">
        <v>135</v>
      </c>
      <c r="N208" s="342"/>
      <c r="O208" s="342"/>
      <c r="P208" s="343"/>
      <c r="R208" s="341" t="s">
        <v>135</v>
      </c>
      <c r="S208" s="342"/>
      <c r="T208" s="342"/>
      <c r="U208" s="343"/>
      <c r="W208" s="341" t="s">
        <v>135</v>
      </c>
      <c r="X208" s="342"/>
      <c r="Y208" s="342"/>
      <c r="Z208" s="343"/>
      <c r="AB208" s="341" t="s">
        <v>135</v>
      </c>
      <c r="AC208" s="342"/>
      <c r="AD208" s="342"/>
      <c r="AE208" s="343"/>
      <c r="AG208" s="341" t="s">
        <v>135</v>
      </c>
      <c r="AH208" s="342"/>
      <c r="AI208" s="342"/>
      <c r="AJ208" s="343"/>
    </row>
    <row r="209" spans="2:36" ht="16" thickBot="1" x14ac:dyDescent="0.25">
      <c r="M209" s="362">
        <v>10</v>
      </c>
      <c r="N209" s="363"/>
      <c r="O209" s="364"/>
      <c r="P209" s="111" t="s">
        <v>147</v>
      </c>
      <c r="R209" s="362">
        <v>11</v>
      </c>
      <c r="S209" s="363"/>
      <c r="T209" s="364"/>
      <c r="U209" s="111" t="s">
        <v>147</v>
      </c>
      <c r="W209" s="362">
        <v>12</v>
      </c>
      <c r="X209" s="363"/>
      <c r="Y209" s="364"/>
      <c r="Z209" s="111" t="s">
        <v>147</v>
      </c>
      <c r="AB209" s="362">
        <v>13</v>
      </c>
      <c r="AC209" s="363"/>
      <c r="AD209" s="364"/>
      <c r="AE209" s="111" t="s">
        <v>147</v>
      </c>
      <c r="AG209" s="341">
        <v>0</v>
      </c>
      <c r="AH209" s="342"/>
      <c r="AI209" s="365"/>
      <c r="AJ209" s="198" t="s">
        <v>147</v>
      </c>
    </row>
    <row r="210" spans="2:36" x14ac:dyDescent="0.2">
      <c r="B210" s="217" t="s">
        <v>370</v>
      </c>
      <c r="C210" s="218" t="s">
        <v>368</v>
      </c>
      <c r="D210" s="30"/>
      <c r="E210" s="31"/>
      <c r="G210" s="217" t="s">
        <v>360</v>
      </c>
      <c r="H210" s="218" t="s">
        <v>368</v>
      </c>
      <c r="I210" s="30"/>
      <c r="J210" s="31"/>
      <c r="L210" s="49" t="s">
        <v>136</v>
      </c>
      <c r="M210" s="50">
        <v>1</v>
      </c>
      <c r="N210" s="50">
        <v>0</v>
      </c>
      <c r="O210" s="50">
        <v>0</v>
      </c>
      <c r="P210" s="51">
        <f>SUM(M210:O210)+0</f>
        <v>1</v>
      </c>
      <c r="Q210" s="49" t="s">
        <v>136</v>
      </c>
      <c r="R210" s="50">
        <v>1</v>
      </c>
      <c r="S210" s="50">
        <v>1</v>
      </c>
      <c r="T210" s="50">
        <v>0</v>
      </c>
      <c r="U210" s="51">
        <f>SUM(R210:T210)+0</f>
        <v>2</v>
      </c>
      <c r="V210" s="49" t="s">
        <v>136</v>
      </c>
      <c r="W210" s="50">
        <v>1</v>
      </c>
      <c r="X210" s="50">
        <v>0</v>
      </c>
      <c r="Y210" s="50">
        <v>0</v>
      </c>
      <c r="Z210" s="51">
        <f>SUM(W210:Y210)+0</f>
        <v>1</v>
      </c>
      <c r="AA210" s="49" t="s">
        <v>136</v>
      </c>
      <c r="AB210" s="50">
        <v>1</v>
      </c>
      <c r="AC210" s="50">
        <v>1</v>
      </c>
      <c r="AD210" s="50">
        <v>0</v>
      </c>
      <c r="AE210" s="51">
        <f>SUM(AB210:AD210)+0</f>
        <v>2</v>
      </c>
      <c r="AF210" s="49" t="s">
        <v>136</v>
      </c>
      <c r="AG210" s="50">
        <v>0</v>
      </c>
      <c r="AH210" s="50">
        <v>0</v>
      </c>
      <c r="AI210" s="50">
        <v>0</v>
      </c>
      <c r="AJ210" s="51">
        <f>SUM(AG210:AI210)+0</f>
        <v>0</v>
      </c>
    </row>
    <row r="211" spans="2:36" x14ac:dyDescent="0.2">
      <c r="B211" s="32" t="s">
        <v>361</v>
      </c>
      <c r="C211" s="219" t="s">
        <v>255</v>
      </c>
      <c r="D211" s="219" t="s">
        <v>256</v>
      </c>
      <c r="E211" s="220"/>
      <c r="G211" s="32" t="s">
        <v>361</v>
      </c>
      <c r="H211" s="219" t="s">
        <v>256</v>
      </c>
      <c r="I211" s="219" t="s">
        <v>240</v>
      </c>
      <c r="J211" s="220"/>
      <c r="L211" s="52" t="s">
        <v>94</v>
      </c>
      <c r="M211" s="46">
        <v>0</v>
      </c>
      <c r="N211" s="47"/>
      <c r="O211" s="47"/>
      <c r="P211" s="53">
        <f>SUM(M211:O211)</f>
        <v>0</v>
      </c>
      <c r="Q211" s="52" t="s">
        <v>94</v>
      </c>
      <c r="R211" s="240">
        <v>6.25E-2</v>
      </c>
      <c r="S211" s="47">
        <v>8.3333333333333329E-2</v>
      </c>
      <c r="T211" s="47"/>
      <c r="U211" s="53">
        <f>SUM(R211:T211)</f>
        <v>0.14583333333333331</v>
      </c>
      <c r="V211" s="52" t="s">
        <v>94</v>
      </c>
      <c r="W211" s="46">
        <v>4.1666666666666664E-2</v>
      </c>
      <c r="X211" s="47"/>
      <c r="Y211" s="47"/>
      <c r="Z211" s="53">
        <f>SUM(W211:Y211)</f>
        <v>4.1666666666666664E-2</v>
      </c>
      <c r="AA211" s="52" t="s">
        <v>94</v>
      </c>
      <c r="AB211" s="46">
        <v>8.3333333333333329E-2</v>
      </c>
      <c r="AC211" s="47">
        <v>0.10416666666666667</v>
      </c>
      <c r="AD211" s="47"/>
      <c r="AE211" s="53">
        <f>SUM(AB211:AD211)</f>
        <v>0.1875</v>
      </c>
      <c r="AF211" s="52" t="s">
        <v>94</v>
      </c>
      <c r="AG211" s="46">
        <v>0</v>
      </c>
      <c r="AH211" s="47"/>
      <c r="AI211" s="47"/>
      <c r="AJ211" s="53">
        <f>SUM(AG211:AI211)</f>
        <v>0</v>
      </c>
    </row>
    <row r="212" spans="2:36" x14ac:dyDescent="0.2">
      <c r="B212" s="32" t="s">
        <v>362</v>
      </c>
      <c r="C212" t="s">
        <v>247</v>
      </c>
      <c r="D212" t="s">
        <v>372</v>
      </c>
      <c r="E212" s="33" t="s">
        <v>256</v>
      </c>
      <c r="G212" s="32" t="s">
        <v>362</v>
      </c>
      <c r="H212" t="s">
        <v>367</v>
      </c>
      <c r="I212" t="s">
        <v>241</v>
      </c>
      <c r="J212" s="33" t="s">
        <v>240</v>
      </c>
      <c r="L212" s="52" t="s">
        <v>137</v>
      </c>
      <c r="M212" s="48">
        <v>150</v>
      </c>
      <c r="N212" s="48"/>
      <c r="O212" s="48"/>
      <c r="P212" s="54">
        <f t="shared" ref="P212:P214" si="31">SUM(M212:O212)</f>
        <v>150</v>
      </c>
      <c r="Q212" s="52" t="s">
        <v>137</v>
      </c>
      <c r="R212" s="48">
        <v>88</v>
      </c>
      <c r="S212" s="48">
        <v>109</v>
      </c>
      <c r="T212" s="48"/>
      <c r="U212" s="54">
        <f t="shared" ref="U212:U214" si="32">SUM(R212:T212)</f>
        <v>197</v>
      </c>
      <c r="V212" s="52" t="s">
        <v>137</v>
      </c>
      <c r="W212" s="48">
        <v>80</v>
      </c>
      <c r="X212" s="48"/>
      <c r="Y212" s="48"/>
      <c r="Z212" s="54">
        <f t="shared" ref="Z212:Z214" si="33">SUM(W212:Y212)</f>
        <v>80</v>
      </c>
      <c r="AA212" s="52" t="s">
        <v>137</v>
      </c>
      <c r="AB212" s="48">
        <v>178</v>
      </c>
      <c r="AC212" s="48">
        <v>125</v>
      </c>
      <c r="AD212" s="48"/>
      <c r="AE212" s="54">
        <f t="shared" ref="AE212:AE214" si="34">SUM(AB212:AD212)</f>
        <v>303</v>
      </c>
      <c r="AF212" s="52" t="s">
        <v>137</v>
      </c>
      <c r="AG212" s="48"/>
      <c r="AH212" s="48"/>
      <c r="AI212" s="48"/>
      <c r="AJ212" s="54">
        <f t="shared" ref="AJ212:AJ223" si="35">SUM(AG212:AI212)</f>
        <v>0</v>
      </c>
    </row>
    <row r="213" spans="2:36" x14ac:dyDescent="0.2">
      <c r="B213" s="32" t="s">
        <v>363</v>
      </c>
      <c r="C213" t="s">
        <v>247</v>
      </c>
      <c r="D213" t="s">
        <v>372</v>
      </c>
      <c r="E213" s="33" t="s">
        <v>256</v>
      </c>
      <c r="G213" s="32" t="s">
        <v>363</v>
      </c>
      <c r="H213" t="s">
        <v>367</v>
      </c>
      <c r="I213" t="s">
        <v>241</v>
      </c>
      <c r="J213" s="33" t="s">
        <v>256</v>
      </c>
      <c r="L213" s="52" t="s">
        <v>138</v>
      </c>
      <c r="M213" s="42">
        <v>15</v>
      </c>
      <c r="N213" s="42"/>
      <c r="O213" s="42"/>
      <c r="P213" s="54">
        <f t="shared" si="31"/>
        <v>15</v>
      </c>
      <c r="Q213" s="52" t="s">
        <v>138</v>
      </c>
      <c r="R213" s="42">
        <v>24</v>
      </c>
      <c r="S213" s="42">
        <v>14</v>
      </c>
      <c r="T213" s="42"/>
      <c r="U213" s="54">
        <f t="shared" si="32"/>
        <v>38</v>
      </c>
      <c r="V213" s="52" t="s">
        <v>138</v>
      </c>
      <c r="W213" s="42">
        <v>20</v>
      </c>
      <c r="X213" s="42"/>
      <c r="Y213" s="42"/>
      <c r="Z213" s="54">
        <f t="shared" si="33"/>
        <v>20</v>
      </c>
      <c r="AA213" s="52" t="s">
        <v>138</v>
      </c>
      <c r="AB213" s="42">
        <v>10</v>
      </c>
      <c r="AC213" s="42">
        <v>7</v>
      </c>
      <c r="AD213" s="42"/>
      <c r="AE213" s="54">
        <f t="shared" si="34"/>
        <v>17</v>
      </c>
      <c r="AF213" s="52" t="s">
        <v>138</v>
      </c>
      <c r="AG213" s="42"/>
      <c r="AH213" s="42"/>
      <c r="AI213" s="42"/>
      <c r="AJ213" s="54">
        <f t="shared" si="35"/>
        <v>0</v>
      </c>
    </row>
    <row r="214" spans="2:36" ht="16" thickBot="1" x14ac:dyDescent="0.25">
      <c r="B214" s="32" t="s">
        <v>364</v>
      </c>
      <c r="C214" t="s">
        <v>247</v>
      </c>
      <c r="D214" t="s">
        <v>372</v>
      </c>
      <c r="E214" s="33" t="s">
        <v>255</v>
      </c>
      <c r="G214" s="32" t="s">
        <v>364</v>
      </c>
      <c r="H214" t="s">
        <v>241</v>
      </c>
      <c r="I214" t="s">
        <v>241</v>
      </c>
      <c r="J214" s="33" t="s">
        <v>240</v>
      </c>
      <c r="L214" s="55" t="s">
        <v>139</v>
      </c>
      <c r="M214" s="56">
        <v>10</v>
      </c>
      <c r="N214" s="56">
        <v>0</v>
      </c>
      <c r="O214" s="56"/>
      <c r="P214" s="43">
        <f t="shared" si="31"/>
        <v>10</v>
      </c>
      <c r="Q214" s="55" t="s">
        <v>139</v>
      </c>
      <c r="R214" s="56">
        <v>4</v>
      </c>
      <c r="S214" s="56">
        <v>10</v>
      </c>
      <c r="T214" s="56"/>
      <c r="U214" s="43">
        <f t="shared" si="32"/>
        <v>14</v>
      </c>
      <c r="V214" s="55" t="s">
        <v>139</v>
      </c>
      <c r="W214" s="56">
        <v>4</v>
      </c>
      <c r="X214" s="56"/>
      <c r="Y214" s="56"/>
      <c r="Z214" s="43">
        <f t="shared" si="33"/>
        <v>4</v>
      </c>
      <c r="AA214" s="55" t="s">
        <v>139</v>
      </c>
      <c r="AB214" s="56">
        <v>20</v>
      </c>
      <c r="AC214" s="56">
        <v>20</v>
      </c>
      <c r="AD214" s="56"/>
      <c r="AE214" s="43">
        <f t="shared" si="34"/>
        <v>40</v>
      </c>
      <c r="AF214" s="55" t="s">
        <v>139</v>
      </c>
      <c r="AG214" s="56">
        <v>0</v>
      </c>
      <c r="AH214" s="56"/>
      <c r="AI214" s="56"/>
      <c r="AJ214" s="43">
        <f t="shared" si="35"/>
        <v>0</v>
      </c>
    </row>
    <row r="215" spans="2:36" ht="16" thickBot="1" x14ac:dyDescent="0.25">
      <c r="B215" s="32" t="s">
        <v>365</v>
      </c>
      <c r="C215" t="s">
        <v>367</v>
      </c>
      <c r="D215" t="s">
        <v>367</v>
      </c>
      <c r="E215" s="33"/>
      <c r="G215" s="32" t="s">
        <v>365</v>
      </c>
      <c r="H215" t="s">
        <v>367</v>
      </c>
      <c r="I215" t="s">
        <v>240</v>
      </c>
      <c r="J215" s="33"/>
      <c r="L215" s="41" t="s">
        <v>140</v>
      </c>
      <c r="Q215" s="41" t="s">
        <v>140</v>
      </c>
      <c r="V215" s="41" t="s">
        <v>140</v>
      </c>
      <c r="AA215" s="41" t="s">
        <v>140</v>
      </c>
      <c r="AF215" s="41" t="s">
        <v>140</v>
      </c>
    </row>
    <row r="216" spans="2:36" x14ac:dyDescent="0.2">
      <c r="B216" s="34" t="s">
        <v>366</v>
      </c>
      <c r="C216" s="35" t="s">
        <v>255</v>
      </c>
      <c r="D216" s="35" t="s">
        <v>255</v>
      </c>
      <c r="E216" s="36"/>
      <c r="G216" s="34" t="s">
        <v>366</v>
      </c>
      <c r="H216" s="35" t="s">
        <v>367</v>
      </c>
      <c r="I216" s="35" t="s">
        <v>256</v>
      </c>
      <c r="J216" s="36"/>
      <c r="L216" s="49" t="s">
        <v>141</v>
      </c>
      <c r="M216" s="50">
        <v>3</v>
      </c>
      <c r="N216" s="50"/>
      <c r="O216" s="195"/>
      <c r="P216" s="197">
        <f>SUM(M216:O216)</f>
        <v>3</v>
      </c>
      <c r="Q216" s="164" t="s">
        <v>141</v>
      </c>
      <c r="R216" s="50">
        <v>10</v>
      </c>
      <c r="S216" s="50">
        <v>3</v>
      </c>
      <c r="T216" s="195"/>
      <c r="U216" s="197">
        <f t="shared" ref="U216:U223" si="36">SUM(R216:T216)</f>
        <v>13</v>
      </c>
      <c r="V216" s="49" t="s">
        <v>141</v>
      </c>
      <c r="W216" s="50">
        <v>6</v>
      </c>
      <c r="X216" s="50"/>
      <c r="Y216" s="195"/>
      <c r="Z216" s="197">
        <f t="shared" ref="Z216:Z223" si="37">SUM(W216:Y216)</f>
        <v>6</v>
      </c>
      <c r="AA216" s="49" t="s">
        <v>141</v>
      </c>
      <c r="AB216" s="50">
        <v>2</v>
      </c>
      <c r="AC216" s="50">
        <v>0</v>
      </c>
      <c r="AD216" s="195"/>
      <c r="AE216" s="197">
        <f t="shared" ref="AE216:AE223" si="38">SUM(AB216:AD216)</f>
        <v>2</v>
      </c>
      <c r="AF216" s="49" t="s">
        <v>141</v>
      </c>
      <c r="AG216" s="50">
        <v>0</v>
      </c>
      <c r="AH216" s="50"/>
      <c r="AI216" s="195"/>
      <c r="AJ216" s="197">
        <f t="shared" si="35"/>
        <v>0</v>
      </c>
    </row>
    <row r="217" spans="2:36" x14ac:dyDescent="0.2">
      <c r="L217" s="52" t="s">
        <v>148</v>
      </c>
      <c r="M217" s="42">
        <v>2</v>
      </c>
      <c r="N217" s="42"/>
      <c r="O217" s="37"/>
      <c r="P217" s="69">
        <f t="shared" ref="P217:P223" si="39">SUM(M217:O217)</f>
        <v>2</v>
      </c>
      <c r="Q217" s="165" t="s">
        <v>148</v>
      </c>
      <c r="R217" s="42">
        <v>4</v>
      </c>
      <c r="S217" s="42">
        <v>2</v>
      </c>
      <c r="T217" s="37"/>
      <c r="U217" s="69">
        <f t="shared" si="36"/>
        <v>6</v>
      </c>
      <c r="V217" s="52" t="s">
        <v>148</v>
      </c>
      <c r="W217" s="42">
        <v>4</v>
      </c>
      <c r="X217" s="42"/>
      <c r="Y217" s="37"/>
      <c r="Z217" s="69">
        <f t="shared" si="37"/>
        <v>4</v>
      </c>
      <c r="AA217" s="52" t="s">
        <v>148</v>
      </c>
      <c r="AB217" s="42">
        <v>4</v>
      </c>
      <c r="AC217" s="42">
        <v>3</v>
      </c>
      <c r="AD217" s="37"/>
      <c r="AE217" s="69">
        <f t="shared" si="38"/>
        <v>7</v>
      </c>
      <c r="AF217" s="52" t="s">
        <v>148</v>
      </c>
      <c r="AG217" s="42">
        <v>0</v>
      </c>
      <c r="AH217" s="42"/>
      <c r="AI217" s="37"/>
      <c r="AJ217" s="69">
        <f t="shared" si="35"/>
        <v>0</v>
      </c>
    </row>
    <row r="218" spans="2:36" x14ac:dyDescent="0.2">
      <c r="B218" s="217" t="s">
        <v>371</v>
      </c>
      <c r="C218" s="218" t="s">
        <v>368</v>
      </c>
      <c r="D218" s="30"/>
      <c r="E218" s="31"/>
      <c r="G218" s="217" t="s">
        <v>369</v>
      </c>
      <c r="H218" s="218" t="s">
        <v>368</v>
      </c>
      <c r="I218" s="30"/>
      <c r="J218" s="31"/>
      <c r="L218" s="52" t="s">
        <v>149</v>
      </c>
      <c r="M218" s="42">
        <v>4</v>
      </c>
      <c r="N218" s="42"/>
      <c r="O218" s="37"/>
      <c r="P218" s="69">
        <f t="shared" si="39"/>
        <v>4</v>
      </c>
      <c r="Q218" s="165" t="s">
        <v>149</v>
      </c>
      <c r="R218" s="42">
        <v>4</v>
      </c>
      <c r="S218" s="42">
        <v>1</v>
      </c>
      <c r="T218" s="37"/>
      <c r="U218" s="69">
        <f t="shared" si="36"/>
        <v>5</v>
      </c>
      <c r="V218" s="52" t="s">
        <v>149</v>
      </c>
      <c r="W218" s="42">
        <v>2</v>
      </c>
      <c r="X218" s="42"/>
      <c r="Y218" s="37"/>
      <c r="Z218" s="69">
        <f t="shared" si="37"/>
        <v>2</v>
      </c>
      <c r="AA218" s="52" t="s">
        <v>149</v>
      </c>
      <c r="AB218" s="42">
        <v>2</v>
      </c>
      <c r="AC218" s="42">
        <v>3</v>
      </c>
      <c r="AD218" s="37"/>
      <c r="AE218" s="69">
        <f t="shared" si="38"/>
        <v>5</v>
      </c>
      <c r="AF218" s="52" t="s">
        <v>149</v>
      </c>
      <c r="AG218" s="42">
        <v>0</v>
      </c>
      <c r="AH218" s="42"/>
      <c r="AI218" s="37"/>
      <c r="AJ218" s="69">
        <f t="shared" si="35"/>
        <v>0</v>
      </c>
    </row>
    <row r="219" spans="2:36" x14ac:dyDescent="0.2">
      <c r="B219" s="32" t="s">
        <v>361</v>
      </c>
      <c r="C219" s="219" t="s">
        <v>255</v>
      </c>
      <c r="D219" s="219" t="s">
        <v>255</v>
      </c>
      <c r="E219" s="220"/>
      <c r="G219" s="32" t="s">
        <v>361</v>
      </c>
      <c r="H219" s="219" t="s">
        <v>256</v>
      </c>
      <c r="I219" s="219" t="s">
        <v>240</v>
      </c>
      <c r="J219" s="220"/>
      <c r="L219" s="52" t="s">
        <v>142</v>
      </c>
      <c r="M219" s="42">
        <v>3</v>
      </c>
      <c r="N219" s="42"/>
      <c r="O219" s="37"/>
      <c r="P219" s="69">
        <f t="shared" si="39"/>
        <v>3</v>
      </c>
      <c r="Q219" s="165" t="s">
        <v>142</v>
      </c>
      <c r="R219" s="42">
        <v>4</v>
      </c>
      <c r="S219" s="42">
        <v>8</v>
      </c>
      <c r="T219" s="37"/>
      <c r="U219" s="69">
        <f t="shared" si="36"/>
        <v>12</v>
      </c>
      <c r="V219" s="52" t="s">
        <v>142</v>
      </c>
      <c r="W219" s="42">
        <v>8</v>
      </c>
      <c r="X219" s="42"/>
      <c r="Y219" s="37"/>
      <c r="Z219" s="69">
        <f t="shared" si="37"/>
        <v>8</v>
      </c>
      <c r="AA219" s="52" t="s">
        <v>142</v>
      </c>
      <c r="AB219" s="42">
        <v>1</v>
      </c>
      <c r="AC219" s="42">
        <v>1</v>
      </c>
      <c r="AD219" s="37"/>
      <c r="AE219" s="69">
        <f t="shared" si="38"/>
        <v>2</v>
      </c>
      <c r="AF219" s="52" t="s">
        <v>142</v>
      </c>
      <c r="AG219" s="42">
        <v>0</v>
      </c>
      <c r="AH219" s="42"/>
      <c r="AI219" s="37"/>
      <c r="AJ219" s="69">
        <f t="shared" si="35"/>
        <v>0</v>
      </c>
    </row>
    <row r="220" spans="2:36" x14ac:dyDescent="0.2">
      <c r="B220" s="32" t="s">
        <v>362</v>
      </c>
      <c r="C220" t="s">
        <v>247</v>
      </c>
      <c r="D220" t="s">
        <v>373</v>
      </c>
      <c r="E220" s="33" t="s">
        <v>367</v>
      </c>
      <c r="G220" s="32" t="s">
        <v>362</v>
      </c>
      <c r="H220" t="s">
        <v>256</v>
      </c>
      <c r="I220" t="s">
        <v>254</v>
      </c>
      <c r="J220" s="33" t="s">
        <v>367</v>
      </c>
      <c r="L220" s="52" t="s">
        <v>143</v>
      </c>
      <c r="M220" s="42">
        <v>3</v>
      </c>
      <c r="N220" s="42"/>
      <c r="O220" s="37"/>
      <c r="P220" s="69">
        <f t="shared" si="39"/>
        <v>3</v>
      </c>
      <c r="Q220" s="165" t="s">
        <v>143</v>
      </c>
      <c r="R220" s="42">
        <v>2</v>
      </c>
      <c r="S220" s="42"/>
      <c r="T220" s="37"/>
      <c r="U220" s="69">
        <f t="shared" si="36"/>
        <v>2</v>
      </c>
      <c r="V220" s="52" t="s">
        <v>143</v>
      </c>
      <c r="W220" s="42">
        <v>0</v>
      </c>
      <c r="X220" s="42"/>
      <c r="Y220" s="37"/>
      <c r="Z220" s="69">
        <f t="shared" si="37"/>
        <v>0</v>
      </c>
      <c r="AA220" s="52" t="s">
        <v>143</v>
      </c>
      <c r="AB220" s="42">
        <v>1</v>
      </c>
      <c r="AC220" s="42"/>
      <c r="AD220" s="37"/>
      <c r="AE220" s="69">
        <f t="shared" si="38"/>
        <v>1</v>
      </c>
      <c r="AF220" s="52" t="s">
        <v>143</v>
      </c>
      <c r="AG220" s="42">
        <v>0</v>
      </c>
      <c r="AH220" s="42"/>
      <c r="AI220" s="37"/>
      <c r="AJ220" s="69">
        <f t="shared" si="35"/>
        <v>0</v>
      </c>
    </row>
    <row r="221" spans="2:36" x14ac:dyDescent="0.2">
      <c r="B221" s="32" t="s">
        <v>363</v>
      </c>
      <c r="C221" t="s">
        <v>256</v>
      </c>
      <c r="D221" t="s">
        <v>255</v>
      </c>
      <c r="E221" s="33" t="s">
        <v>367</v>
      </c>
      <c r="G221" s="32" t="s">
        <v>363</v>
      </c>
      <c r="H221" t="s">
        <v>240</v>
      </c>
      <c r="I221" t="s">
        <v>256</v>
      </c>
      <c r="J221" s="33" t="s">
        <v>367</v>
      </c>
      <c r="L221" s="52" t="s">
        <v>144</v>
      </c>
      <c r="M221" s="42">
        <v>0</v>
      </c>
      <c r="N221" s="42"/>
      <c r="O221" s="37"/>
      <c r="P221" s="69">
        <f t="shared" si="39"/>
        <v>0</v>
      </c>
      <c r="Q221" s="165" t="s">
        <v>144</v>
      </c>
      <c r="R221" s="42">
        <v>0</v>
      </c>
      <c r="S221" s="42"/>
      <c r="T221" s="37"/>
      <c r="U221" s="69">
        <f t="shared" si="36"/>
        <v>0</v>
      </c>
      <c r="V221" s="52" t="s">
        <v>144</v>
      </c>
      <c r="W221" s="42">
        <v>0</v>
      </c>
      <c r="X221" s="42"/>
      <c r="Y221" s="37"/>
      <c r="Z221" s="69">
        <f t="shared" si="37"/>
        <v>0</v>
      </c>
      <c r="AA221" s="52" t="s">
        <v>144</v>
      </c>
      <c r="AB221" s="42">
        <v>0</v>
      </c>
      <c r="AC221" s="42"/>
      <c r="AD221" s="37"/>
      <c r="AE221" s="69">
        <f t="shared" si="38"/>
        <v>0</v>
      </c>
      <c r="AF221" s="52" t="s">
        <v>144</v>
      </c>
      <c r="AG221" s="42">
        <v>0</v>
      </c>
      <c r="AH221" s="42"/>
      <c r="AI221" s="37"/>
      <c r="AJ221" s="69">
        <f t="shared" si="35"/>
        <v>0</v>
      </c>
    </row>
    <row r="222" spans="2:36" x14ac:dyDescent="0.2">
      <c r="B222" s="32" t="s">
        <v>364</v>
      </c>
      <c r="C222" t="s">
        <v>367</v>
      </c>
      <c r="D222" t="s">
        <v>256</v>
      </c>
      <c r="E222" s="33" t="s">
        <v>256</v>
      </c>
      <c r="G222" s="32" t="s">
        <v>364</v>
      </c>
      <c r="H222" t="s">
        <v>367</v>
      </c>
      <c r="I222" t="s">
        <v>240</v>
      </c>
      <c r="J222" s="33" t="s">
        <v>240</v>
      </c>
      <c r="L222" s="52" t="s">
        <v>145</v>
      </c>
      <c r="M222" s="42">
        <v>0</v>
      </c>
      <c r="N222" s="42"/>
      <c r="O222" s="37"/>
      <c r="P222" s="69">
        <f t="shared" si="39"/>
        <v>0</v>
      </c>
      <c r="Q222" s="165" t="s">
        <v>145</v>
      </c>
      <c r="R222" s="42">
        <v>0</v>
      </c>
      <c r="S222" s="42"/>
      <c r="T222" s="37"/>
      <c r="U222" s="69">
        <f t="shared" si="36"/>
        <v>0</v>
      </c>
      <c r="V222" s="52" t="s">
        <v>145</v>
      </c>
      <c r="W222" s="42">
        <v>0</v>
      </c>
      <c r="X222" s="42"/>
      <c r="Y222" s="37"/>
      <c r="Z222" s="69">
        <f t="shared" si="37"/>
        <v>0</v>
      </c>
      <c r="AA222" s="52" t="s">
        <v>145</v>
      </c>
      <c r="AB222" s="42">
        <v>0</v>
      </c>
      <c r="AC222" s="42"/>
      <c r="AD222" s="37"/>
      <c r="AE222" s="69">
        <f t="shared" si="38"/>
        <v>0</v>
      </c>
      <c r="AF222" s="52" t="s">
        <v>145</v>
      </c>
      <c r="AG222" s="42">
        <v>0</v>
      </c>
      <c r="AH222" s="42"/>
      <c r="AI222" s="37"/>
      <c r="AJ222" s="69">
        <f t="shared" si="35"/>
        <v>0</v>
      </c>
    </row>
    <row r="223" spans="2:36" ht="16" thickBot="1" x14ac:dyDescent="0.25">
      <c r="B223" s="32" t="s">
        <v>365</v>
      </c>
      <c r="C223" t="s">
        <v>367</v>
      </c>
      <c r="D223" t="s">
        <v>255</v>
      </c>
      <c r="E223" s="33"/>
      <c r="G223" s="32" t="s">
        <v>365</v>
      </c>
      <c r="H223" t="s">
        <v>367</v>
      </c>
      <c r="I223" t="s">
        <v>256</v>
      </c>
      <c r="J223" s="33"/>
      <c r="L223" s="55" t="s">
        <v>146</v>
      </c>
      <c r="M223" s="56">
        <v>0</v>
      </c>
      <c r="N223" s="56"/>
      <c r="O223" s="196"/>
      <c r="P223" s="70">
        <f t="shared" si="39"/>
        <v>0</v>
      </c>
      <c r="Q223" s="166" t="s">
        <v>146</v>
      </c>
      <c r="R223" s="56">
        <v>0</v>
      </c>
      <c r="S223" s="56"/>
      <c r="T223" s="196"/>
      <c r="U223" s="70">
        <f t="shared" si="36"/>
        <v>0</v>
      </c>
      <c r="V223" s="55" t="s">
        <v>146</v>
      </c>
      <c r="W223" s="56">
        <v>0</v>
      </c>
      <c r="X223" s="56"/>
      <c r="Y223" s="196"/>
      <c r="Z223" s="70">
        <f t="shared" si="37"/>
        <v>0</v>
      </c>
      <c r="AA223" s="55" t="s">
        <v>146</v>
      </c>
      <c r="AB223" s="56">
        <v>0</v>
      </c>
      <c r="AC223" s="56"/>
      <c r="AD223" s="196"/>
      <c r="AE223" s="70">
        <f t="shared" si="38"/>
        <v>0</v>
      </c>
      <c r="AF223" s="55" t="s">
        <v>146</v>
      </c>
      <c r="AG223" s="56">
        <v>0</v>
      </c>
      <c r="AH223" s="56"/>
      <c r="AI223" s="196"/>
      <c r="AJ223" s="70">
        <f t="shared" si="35"/>
        <v>0</v>
      </c>
    </row>
    <row r="224" spans="2:36" ht="16" thickBot="1" x14ac:dyDescent="0.25">
      <c r="B224" s="34" t="s">
        <v>366</v>
      </c>
      <c r="C224" s="221" t="s">
        <v>256</v>
      </c>
      <c r="D224" s="221" t="s">
        <v>373</v>
      </c>
      <c r="E224" s="222"/>
      <c r="G224" s="34" t="s">
        <v>366</v>
      </c>
      <c r="H224" s="221" t="s">
        <v>240</v>
      </c>
      <c r="I224" s="221" t="s">
        <v>254</v>
      </c>
      <c r="J224" s="222"/>
      <c r="L224" s="168" t="s">
        <v>174</v>
      </c>
      <c r="M224" s="91"/>
      <c r="N224" s="169"/>
      <c r="O224" s="81"/>
      <c r="P224" s="82"/>
      <c r="Q224" s="80" t="s">
        <v>174</v>
      </c>
      <c r="R224" s="83"/>
      <c r="S224" s="81"/>
      <c r="T224" s="81"/>
      <c r="U224" s="82"/>
      <c r="V224" s="80" t="s">
        <v>174</v>
      </c>
      <c r="W224" s="83"/>
      <c r="X224" s="81"/>
      <c r="Y224" s="81"/>
      <c r="Z224" s="82"/>
      <c r="AA224" s="80" t="s">
        <v>174</v>
      </c>
      <c r="AB224" s="83"/>
      <c r="AC224" s="81"/>
      <c r="AD224" s="81"/>
      <c r="AE224" s="82"/>
      <c r="AF224" s="80" t="s">
        <v>174</v>
      </c>
      <c r="AG224" s="83"/>
      <c r="AH224" s="81"/>
      <c r="AI224" s="81"/>
      <c r="AJ224" s="82"/>
    </row>
    <row r="225" spans="11:36" ht="16" thickBot="1" x14ac:dyDescent="0.25">
      <c r="L225" s="71" t="s">
        <v>150</v>
      </c>
      <c r="M225">
        <f>SUM(M216:M223)</f>
        <v>15</v>
      </c>
      <c r="N225" s="33">
        <f>SUM(N216:N223)</f>
        <v>0</v>
      </c>
      <c r="O225" s="33">
        <f>SUM(O216:O223)</f>
        <v>0</v>
      </c>
      <c r="Q225" s="57" t="s">
        <v>150</v>
      </c>
      <c r="R225">
        <f>SUM(R216:R223)</f>
        <v>24</v>
      </c>
      <c r="S225" s="33">
        <f>SUM(S216:S223)</f>
        <v>14</v>
      </c>
      <c r="T225" s="33">
        <f>SUM(T216:T223)</f>
        <v>0</v>
      </c>
      <c r="V225" s="57" t="s">
        <v>150</v>
      </c>
      <c r="W225">
        <f>SUM(W216:W223)</f>
        <v>20</v>
      </c>
      <c r="X225" s="33">
        <f>SUM(X216:X223)</f>
        <v>0</v>
      </c>
      <c r="Y225" s="33">
        <f>SUM(Y216:Y223)</f>
        <v>0</v>
      </c>
      <c r="AA225" s="71" t="s">
        <v>150</v>
      </c>
      <c r="AB225">
        <f>SUM(AB216:AB223)</f>
        <v>10</v>
      </c>
      <c r="AC225" s="33">
        <f>SUM(AC216:AC223)</f>
        <v>7</v>
      </c>
      <c r="AD225" s="33">
        <f>SUM(AD216:AD223)</f>
        <v>0</v>
      </c>
      <c r="AF225" s="71" t="s">
        <v>150</v>
      </c>
      <c r="AG225">
        <f>SUM(AG216:AG223)</f>
        <v>0</v>
      </c>
      <c r="AH225" s="33">
        <f>SUM(AH216:AH223)</f>
        <v>0</v>
      </c>
      <c r="AI225" s="33">
        <f>SUM(AI216:AI223)</f>
        <v>0</v>
      </c>
    </row>
    <row r="226" spans="11:36" ht="16" thickBot="1" x14ac:dyDescent="0.25">
      <c r="L226" s="74" t="s">
        <v>172</v>
      </c>
      <c r="M226" s="96"/>
      <c r="N226" s="72">
        <v>0</v>
      </c>
      <c r="O226" s="216"/>
      <c r="P226" s="114">
        <f>M226+N226</f>
        <v>0</v>
      </c>
      <c r="Q226" s="74" t="s">
        <v>172</v>
      </c>
      <c r="R226" s="96">
        <v>8.3333333333333329E-2</v>
      </c>
      <c r="S226" s="72"/>
      <c r="T226" s="114">
        <f>R226+S226</f>
        <v>8.3333333333333329E-2</v>
      </c>
      <c r="V226" s="74" t="s">
        <v>172</v>
      </c>
      <c r="W226" s="96">
        <v>8.3333333333333329E-2</v>
      </c>
      <c r="X226" s="72"/>
      <c r="Y226" s="114">
        <f>W226+X226</f>
        <v>8.3333333333333329E-2</v>
      </c>
      <c r="AA226" s="74" t="s">
        <v>172</v>
      </c>
      <c r="AB226" s="96">
        <v>8.3333333333333329E-2</v>
      </c>
      <c r="AC226" s="72"/>
      <c r="AD226" s="72"/>
      <c r="AE226" s="114">
        <f>AB226+AC226</f>
        <v>8.3333333333333329E-2</v>
      </c>
      <c r="AF226" s="74" t="s">
        <v>172</v>
      </c>
      <c r="AG226" s="72">
        <v>0</v>
      </c>
      <c r="AH226" s="72"/>
      <c r="AI226" s="72"/>
      <c r="AJ226" s="114">
        <f>AG226+AH226</f>
        <v>0</v>
      </c>
    </row>
    <row r="227" spans="11:36" ht="16" thickBot="1" x14ac:dyDescent="0.25">
      <c r="L227" s="98" t="s">
        <v>191</v>
      </c>
      <c r="M227" s="341" t="s">
        <v>374</v>
      </c>
      <c r="N227" s="342"/>
      <c r="O227" s="343"/>
      <c r="Q227" s="98" t="s">
        <v>191</v>
      </c>
      <c r="R227" s="341" t="s">
        <v>352</v>
      </c>
      <c r="S227" s="342"/>
      <c r="T227" s="343"/>
      <c r="V227" s="98" t="s">
        <v>191</v>
      </c>
      <c r="W227" s="341"/>
      <c r="X227" s="342"/>
      <c r="Y227" s="343"/>
      <c r="AA227" s="98" t="s">
        <v>191</v>
      </c>
      <c r="AB227" s="341" t="s">
        <v>409</v>
      </c>
      <c r="AC227" s="342"/>
      <c r="AD227" s="343"/>
      <c r="AF227" s="98" t="s">
        <v>191</v>
      </c>
      <c r="AG227" s="341"/>
      <c r="AH227" s="342"/>
      <c r="AI227" s="343"/>
    </row>
    <row r="228" spans="11:36" ht="16" thickBot="1" x14ac:dyDescent="0.25"/>
    <row r="229" spans="11:36" ht="16" thickBot="1" x14ac:dyDescent="0.25">
      <c r="K229" s="61" t="s">
        <v>177</v>
      </c>
      <c r="L229" s="66" t="s">
        <v>335</v>
      </c>
      <c r="M229" s="102" t="s">
        <v>166</v>
      </c>
      <c r="N229" s="103" t="s">
        <v>171</v>
      </c>
    </row>
    <row r="230" spans="11:36" x14ac:dyDescent="0.2">
      <c r="L230" s="65" t="s">
        <v>146</v>
      </c>
      <c r="M230" s="34">
        <f>P223+T223+Y223+AD223+AJ223</f>
        <v>0</v>
      </c>
      <c r="N230" s="101">
        <f>M230*13</f>
        <v>0</v>
      </c>
    </row>
    <row r="231" spans="11:36" x14ac:dyDescent="0.2">
      <c r="L231" s="45" t="s">
        <v>145</v>
      </c>
      <c r="M231" s="37">
        <f>P222+T222+Y222+AD222+AJ222</f>
        <v>0</v>
      </c>
      <c r="N231" s="69">
        <f t="shared" ref="N231:N237" si="40">M231*13</f>
        <v>0</v>
      </c>
    </row>
    <row r="232" spans="11:36" x14ac:dyDescent="0.2">
      <c r="L232" s="45" t="s">
        <v>144</v>
      </c>
      <c r="M232" s="37">
        <f>P221+T221+Y221+AD221+AJ221</f>
        <v>0</v>
      </c>
      <c r="N232" s="69">
        <f t="shared" si="40"/>
        <v>0</v>
      </c>
    </row>
    <row r="233" spans="11:36" x14ac:dyDescent="0.2">
      <c r="L233" s="45" t="s">
        <v>143</v>
      </c>
      <c r="M233" s="37">
        <f>P220+T220+Y220+AD220+AJ220</f>
        <v>3</v>
      </c>
      <c r="N233" s="69">
        <f t="shared" si="40"/>
        <v>39</v>
      </c>
    </row>
    <row r="234" spans="11:36" x14ac:dyDescent="0.2">
      <c r="L234" s="45" t="s">
        <v>142</v>
      </c>
      <c r="M234" s="37">
        <f>P219+T219+Y219+AD219+AJ219</f>
        <v>3</v>
      </c>
      <c r="N234" s="69">
        <f t="shared" si="40"/>
        <v>39</v>
      </c>
    </row>
    <row r="235" spans="11:36" x14ac:dyDescent="0.2">
      <c r="L235" s="45" t="s">
        <v>149</v>
      </c>
      <c r="M235" s="37">
        <f>P218+T218+Y218+AD218+AJ218</f>
        <v>4</v>
      </c>
      <c r="N235" s="69">
        <f t="shared" si="40"/>
        <v>52</v>
      </c>
    </row>
    <row r="236" spans="11:36" x14ac:dyDescent="0.2">
      <c r="L236" s="45" t="s">
        <v>148</v>
      </c>
      <c r="M236" s="37">
        <f>P217+T217+Y217+AD217+AJ217</f>
        <v>2</v>
      </c>
      <c r="N236" s="69">
        <f t="shared" si="40"/>
        <v>26</v>
      </c>
    </row>
    <row r="237" spans="11:36" ht="16" thickBot="1" x14ac:dyDescent="0.25">
      <c r="L237" s="45" t="s">
        <v>141</v>
      </c>
      <c r="M237" s="37">
        <f>P216+T216+Y216+AD216+AJ216</f>
        <v>3</v>
      </c>
      <c r="N237" s="70">
        <f t="shared" si="40"/>
        <v>39</v>
      </c>
    </row>
    <row r="240" spans="11:36" ht="16" thickBot="1" x14ac:dyDescent="0.25"/>
    <row r="241" spans="11:14" ht="16" thickBot="1" x14ac:dyDescent="0.25">
      <c r="K241" s="61" t="s">
        <v>178</v>
      </c>
      <c r="L241" s="66" t="s">
        <v>335</v>
      </c>
      <c r="M241" s="67" t="s">
        <v>170</v>
      </c>
    </row>
    <row r="242" spans="11:14" x14ac:dyDescent="0.2">
      <c r="L242" s="65">
        <f>M209</f>
        <v>10</v>
      </c>
      <c r="M242" s="63">
        <f>P212</f>
        <v>150</v>
      </c>
    </row>
    <row r="243" spans="11:14" x14ac:dyDescent="0.2">
      <c r="L243" s="45">
        <f>R209</f>
        <v>11</v>
      </c>
      <c r="M243" s="42">
        <f>U212</f>
        <v>197</v>
      </c>
    </row>
    <row r="244" spans="11:14" x14ac:dyDescent="0.2">
      <c r="L244" s="45">
        <f>W209</f>
        <v>12</v>
      </c>
      <c r="M244" s="42">
        <f>Z212</f>
        <v>80</v>
      </c>
    </row>
    <row r="245" spans="11:14" ht="16" thickBot="1" x14ac:dyDescent="0.25">
      <c r="L245" s="104">
        <f>AB209</f>
        <v>13</v>
      </c>
      <c r="M245" s="105">
        <f>AE212</f>
        <v>303</v>
      </c>
    </row>
    <row r="246" spans="11:14" ht="16" thickBot="1" x14ac:dyDescent="0.25">
      <c r="K246" s="354" t="s">
        <v>207</v>
      </c>
      <c r="L246" s="355"/>
      <c r="M246" s="108">
        <v>1039</v>
      </c>
    </row>
    <row r="247" spans="11:14" x14ac:dyDescent="0.2">
      <c r="K247" s="356" t="s">
        <v>196</v>
      </c>
      <c r="L247" s="357"/>
      <c r="M247" s="108">
        <v>400</v>
      </c>
    </row>
    <row r="248" spans="11:14" x14ac:dyDescent="0.2">
      <c r="K248" s="358" t="s">
        <v>359</v>
      </c>
      <c r="L248" s="359"/>
      <c r="M248" s="109">
        <v>1312</v>
      </c>
    </row>
    <row r="249" spans="11:14" ht="16" thickBot="1" x14ac:dyDescent="0.25">
      <c r="K249" s="360" t="s">
        <v>205</v>
      </c>
      <c r="L249" s="361"/>
      <c r="M249" s="110">
        <v>1165</v>
      </c>
    </row>
    <row r="250" spans="11:14" ht="16" thickBot="1" x14ac:dyDescent="0.25">
      <c r="K250" s="352" t="s">
        <v>336</v>
      </c>
      <c r="L250" s="353"/>
      <c r="M250" s="110">
        <f>P212+U212+Z212+AE212+AJ212</f>
        <v>730</v>
      </c>
      <c r="N250" t="s">
        <v>408</v>
      </c>
    </row>
    <row r="269" spans="9:30" ht="16" thickBot="1" x14ac:dyDescent="0.25"/>
    <row r="270" spans="9:30" ht="16" thickBot="1" x14ac:dyDescent="0.25">
      <c r="I270" s="76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8"/>
    </row>
    <row r="273" spans="2:36" ht="16" thickBot="1" x14ac:dyDescent="0.25">
      <c r="K273" s="18" t="s">
        <v>127</v>
      </c>
      <c r="L273" s="40">
        <v>45748</v>
      </c>
    </row>
    <row r="274" spans="2:36" ht="16" thickBot="1" x14ac:dyDescent="0.25">
      <c r="K274" t="s">
        <v>128</v>
      </c>
      <c r="L274" s="75" t="s">
        <v>78</v>
      </c>
      <c r="M274" s="76" t="s">
        <v>151</v>
      </c>
      <c r="N274" s="79" t="s">
        <v>419</v>
      </c>
    </row>
    <row r="275" spans="2:36" ht="16" thickBot="1" x14ac:dyDescent="0.25">
      <c r="K275" t="s">
        <v>94</v>
      </c>
      <c r="L275" t="s">
        <v>197</v>
      </c>
      <c r="M275" t="s">
        <v>201</v>
      </c>
      <c r="N275" s="79" t="s">
        <v>420</v>
      </c>
    </row>
    <row r="276" spans="2:36" x14ac:dyDescent="0.2">
      <c r="K276" t="s">
        <v>129</v>
      </c>
      <c r="L276" t="s">
        <v>423</v>
      </c>
    </row>
    <row r="277" spans="2:36" x14ac:dyDescent="0.2">
      <c r="K277" t="s">
        <v>130</v>
      </c>
      <c r="L277" t="s">
        <v>120</v>
      </c>
    </row>
    <row r="278" spans="2:36" x14ac:dyDescent="0.2">
      <c r="K278" t="s">
        <v>131</v>
      </c>
      <c r="L278" t="s">
        <v>198</v>
      </c>
    </row>
    <row r="279" spans="2:36" ht="16" thickBot="1" x14ac:dyDescent="0.25">
      <c r="K279" t="s">
        <v>132</v>
      </c>
      <c r="L279" t="s">
        <v>199</v>
      </c>
    </row>
    <row r="280" spans="2:36" ht="16" thickBot="1" x14ac:dyDescent="0.25">
      <c r="M280" s="341" t="s">
        <v>135</v>
      </c>
      <c r="N280" s="342"/>
      <c r="O280" s="342"/>
      <c r="P280" s="343"/>
      <c r="R280" s="341" t="s">
        <v>135</v>
      </c>
      <c r="S280" s="342"/>
      <c r="T280" s="342"/>
      <c r="U280" s="343"/>
      <c r="W280" s="341" t="s">
        <v>135</v>
      </c>
      <c r="X280" s="342"/>
      <c r="Y280" s="342"/>
      <c r="Z280" s="343"/>
      <c r="AB280" s="341" t="s">
        <v>135</v>
      </c>
      <c r="AC280" s="342"/>
      <c r="AD280" s="342"/>
      <c r="AE280" s="343"/>
      <c r="AG280" s="341" t="s">
        <v>135</v>
      </c>
      <c r="AH280" s="342"/>
      <c r="AI280" s="342"/>
      <c r="AJ280" s="343"/>
    </row>
    <row r="281" spans="2:36" ht="16" thickBot="1" x14ac:dyDescent="0.25">
      <c r="M281" s="362">
        <v>14</v>
      </c>
      <c r="N281" s="363"/>
      <c r="O281" s="364"/>
      <c r="P281" s="111" t="s">
        <v>147</v>
      </c>
      <c r="R281" s="362">
        <v>15</v>
      </c>
      <c r="S281" s="363"/>
      <c r="T281" s="364"/>
      <c r="U281" s="111" t="s">
        <v>147</v>
      </c>
      <c r="W281" s="362">
        <v>16</v>
      </c>
      <c r="X281" s="363"/>
      <c r="Y281" s="364"/>
      <c r="Z281" s="111" t="s">
        <v>147</v>
      </c>
      <c r="AB281" s="362">
        <v>17</v>
      </c>
      <c r="AC281" s="363"/>
      <c r="AD281" s="364"/>
      <c r="AE281" s="111" t="s">
        <v>147</v>
      </c>
      <c r="AG281" s="341">
        <v>18</v>
      </c>
      <c r="AH281" s="342"/>
      <c r="AI281" s="365"/>
      <c r="AJ281" s="198" t="s">
        <v>147</v>
      </c>
    </row>
    <row r="282" spans="2:36" x14ac:dyDescent="0.2">
      <c r="B282" s="217" t="s">
        <v>370</v>
      </c>
      <c r="C282" s="218" t="s">
        <v>368</v>
      </c>
      <c r="D282" s="30"/>
      <c r="E282" s="31"/>
      <c r="G282" s="217" t="s">
        <v>360</v>
      </c>
      <c r="H282" s="218" t="s">
        <v>368</v>
      </c>
      <c r="I282" s="30"/>
      <c r="J282" s="31"/>
      <c r="L282" s="49" t="s">
        <v>136</v>
      </c>
      <c r="M282" s="50">
        <v>1</v>
      </c>
      <c r="N282" s="50">
        <v>1</v>
      </c>
      <c r="O282" s="50">
        <v>0</v>
      </c>
      <c r="P282" s="51">
        <f>SUM(M282:O282)+0</f>
        <v>2</v>
      </c>
      <c r="Q282" s="49" t="s">
        <v>136</v>
      </c>
      <c r="R282" s="50">
        <v>1</v>
      </c>
      <c r="S282" s="50"/>
      <c r="T282" s="50">
        <v>0</v>
      </c>
      <c r="U282" s="51">
        <f>SUM(R282:T282)+0</f>
        <v>1</v>
      </c>
      <c r="V282" s="49" t="s">
        <v>136</v>
      </c>
      <c r="W282" s="50">
        <v>1</v>
      </c>
      <c r="X282" s="50">
        <v>0</v>
      </c>
      <c r="Y282" s="50">
        <v>0</v>
      </c>
      <c r="Z282" s="51">
        <f>SUM(W282:Y282)+0</f>
        <v>1</v>
      </c>
      <c r="AA282" s="49" t="s">
        <v>136</v>
      </c>
      <c r="AB282" s="50">
        <v>1</v>
      </c>
      <c r="AC282" s="50">
        <v>1</v>
      </c>
      <c r="AD282" s="50">
        <v>0</v>
      </c>
      <c r="AE282" s="51">
        <f>SUM(AB282:AD282)+0</f>
        <v>2</v>
      </c>
      <c r="AF282" s="49" t="s">
        <v>136</v>
      </c>
      <c r="AG282" s="50">
        <v>1</v>
      </c>
      <c r="AH282" s="50">
        <v>0</v>
      </c>
      <c r="AI282" s="50">
        <v>0</v>
      </c>
      <c r="AJ282" s="51">
        <f>SUM(AG282:AI282)+0</f>
        <v>1</v>
      </c>
    </row>
    <row r="283" spans="2:36" x14ac:dyDescent="0.2">
      <c r="B283" s="32" t="s">
        <v>361</v>
      </c>
      <c r="C283" s="219" t="s">
        <v>255</v>
      </c>
      <c r="D283" s="219" t="s">
        <v>256</v>
      </c>
      <c r="E283" s="220"/>
      <c r="G283" s="32" t="s">
        <v>361</v>
      </c>
      <c r="H283" s="219" t="s">
        <v>256</v>
      </c>
      <c r="I283" s="219" t="s">
        <v>240</v>
      </c>
      <c r="J283" s="220"/>
      <c r="L283" s="52" t="s">
        <v>94</v>
      </c>
      <c r="M283" s="46">
        <v>6.25E-2</v>
      </c>
      <c r="N283" s="47">
        <v>8.3333333333333329E-2</v>
      </c>
      <c r="O283" s="47"/>
      <c r="P283" s="53">
        <f>SUM(M283:O283)</f>
        <v>0.14583333333333331</v>
      </c>
      <c r="Q283" s="52" t="s">
        <v>94</v>
      </c>
      <c r="R283" s="240">
        <v>4.1666666666666664E-2</v>
      </c>
      <c r="S283" s="47"/>
      <c r="T283" s="47"/>
      <c r="U283" s="53">
        <f>SUM(R283:T283)</f>
        <v>4.1666666666666664E-2</v>
      </c>
      <c r="V283" s="52" t="s">
        <v>94</v>
      </c>
      <c r="W283" s="46">
        <v>8.3333333333333329E-2</v>
      </c>
      <c r="X283" s="47"/>
      <c r="Y283" s="47"/>
      <c r="Z283" s="53">
        <f>SUM(W283:Y283)</f>
        <v>8.3333333333333329E-2</v>
      </c>
      <c r="AA283" s="52" t="s">
        <v>94</v>
      </c>
      <c r="AB283" s="46">
        <v>7.6388888888888895E-2</v>
      </c>
      <c r="AC283" s="47">
        <v>8.3333333333333329E-2</v>
      </c>
      <c r="AD283" s="47"/>
      <c r="AE283" s="53">
        <f>SUM(AB283:AD283)</f>
        <v>0.15972222222222221</v>
      </c>
      <c r="AF283" s="52" t="s">
        <v>94</v>
      </c>
      <c r="AG283" s="46">
        <v>7.2916666666666671E-2</v>
      </c>
      <c r="AH283" s="47"/>
      <c r="AI283" s="47"/>
      <c r="AJ283" s="53">
        <f>SUM(AG283:AI283)</f>
        <v>7.2916666666666671E-2</v>
      </c>
    </row>
    <row r="284" spans="2:36" x14ac:dyDescent="0.2">
      <c r="B284" s="32" t="s">
        <v>362</v>
      </c>
      <c r="C284" t="s">
        <v>247</v>
      </c>
      <c r="D284" t="s">
        <v>372</v>
      </c>
      <c r="E284" s="33" t="s">
        <v>256</v>
      </c>
      <c r="G284" s="32" t="s">
        <v>362</v>
      </c>
      <c r="H284" t="s">
        <v>367</v>
      </c>
      <c r="I284" t="s">
        <v>241</v>
      </c>
      <c r="J284" s="33" t="s">
        <v>240</v>
      </c>
      <c r="L284" s="52" t="s">
        <v>137</v>
      </c>
      <c r="M284" s="48">
        <v>60</v>
      </c>
      <c r="N284" s="48">
        <v>180</v>
      </c>
      <c r="O284" s="48"/>
      <c r="P284" s="54">
        <f t="shared" ref="P284:P286" si="41">SUM(M284:O284)</f>
        <v>240</v>
      </c>
      <c r="Q284" s="52" t="s">
        <v>137</v>
      </c>
      <c r="R284" s="48">
        <v>168</v>
      </c>
      <c r="S284" s="48"/>
      <c r="T284" s="48"/>
      <c r="U284" s="54">
        <f t="shared" ref="U284:U286" si="42">SUM(R284:T284)</f>
        <v>168</v>
      </c>
      <c r="V284" s="52" t="s">
        <v>137</v>
      </c>
      <c r="W284" s="48">
        <v>278</v>
      </c>
      <c r="X284" s="48"/>
      <c r="Y284" s="48"/>
      <c r="Z284" s="54">
        <f t="shared" ref="Z284:Z286" si="43">SUM(W284:Y284)</f>
        <v>278</v>
      </c>
      <c r="AA284" s="52" t="s">
        <v>137</v>
      </c>
      <c r="AB284" s="48">
        <v>48</v>
      </c>
      <c r="AC284" s="48">
        <v>140</v>
      </c>
      <c r="AD284" s="48"/>
      <c r="AE284" s="54">
        <f t="shared" ref="AE284:AE286" si="44">SUM(AB284:AD284)</f>
        <v>188</v>
      </c>
      <c r="AF284" s="52" t="s">
        <v>137</v>
      </c>
      <c r="AG284" s="48">
        <v>180</v>
      </c>
      <c r="AH284" s="48"/>
      <c r="AI284" s="48"/>
      <c r="AJ284" s="54">
        <f t="shared" ref="AJ284:AJ286" si="45">SUM(AG284:AI284)</f>
        <v>180</v>
      </c>
    </row>
    <row r="285" spans="2:36" x14ac:dyDescent="0.2">
      <c r="B285" s="32" t="s">
        <v>363</v>
      </c>
      <c r="C285" t="s">
        <v>247</v>
      </c>
      <c r="D285" t="s">
        <v>372</v>
      </c>
      <c r="E285" s="33" t="s">
        <v>256</v>
      </c>
      <c r="G285" s="32" t="s">
        <v>363</v>
      </c>
      <c r="H285" t="s">
        <v>367</v>
      </c>
      <c r="I285" t="s">
        <v>241</v>
      </c>
      <c r="J285" s="33" t="s">
        <v>256</v>
      </c>
      <c r="L285" s="52" t="s">
        <v>138</v>
      </c>
      <c r="M285" s="42">
        <v>12</v>
      </c>
      <c r="N285" s="42">
        <v>18</v>
      </c>
      <c r="O285" s="42"/>
      <c r="P285" s="54">
        <f t="shared" si="41"/>
        <v>30</v>
      </c>
      <c r="Q285" s="52" t="s">
        <v>138</v>
      </c>
      <c r="R285" s="42">
        <v>42</v>
      </c>
      <c r="S285" s="42"/>
      <c r="T285" s="42"/>
      <c r="U285" s="54">
        <f t="shared" si="42"/>
        <v>42</v>
      </c>
      <c r="V285" s="52" t="s">
        <v>138</v>
      </c>
      <c r="W285" s="42">
        <v>16</v>
      </c>
      <c r="X285" s="42"/>
      <c r="Y285" s="42"/>
      <c r="Z285" s="54">
        <f t="shared" si="43"/>
        <v>16</v>
      </c>
      <c r="AA285" s="52" t="s">
        <v>138</v>
      </c>
      <c r="AB285" s="42">
        <v>12</v>
      </c>
      <c r="AC285" s="42">
        <v>14</v>
      </c>
      <c r="AD285" s="42"/>
      <c r="AE285" s="54">
        <f t="shared" si="44"/>
        <v>26</v>
      </c>
      <c r="AF285" s="52" t="s">
        <v>138</v>
      </c>
      <c r="AG285" s="42">
        <v>9</v>
      </c>
      <c r="AH285" s="42"/>
      <c r="AI285" s="42"/>
      <c r="AJ285" s="54">
        <f t="shared" si="45"/>
        <v>9</v>
      </c>
    </row>
    <row r="286" spans="2:36" ht="16" thickBot="1" x14ac:dyDescent="0.25">
      <c r="B286" s="32" t="s">
        <v>364</v>
      </c>
      <c r="C286" t="s">
        <v>247</v>
      </c>
      <c r="D286" t="s">
        <v>372</v>
      </c>
      <c r="E286" s="33" t="s">
        <v>255</v>
      </c>
      <c r="G286" s="32" t="s">
        <v>364</v>
      </c>
      <c r="H286" t="s">
        <v>241</v>
      </c>
      <c r="I286" t="s">
        <v>241</v>
      </c>
      <c r="J286" s="33" t="s">
        <v>240</v>
      </c>
      <c r="L286" s="55" t="s">
        <v>139</v>
      </c>
      <c r="M286" s="56">
        <v>4</v>
      </c>
      <c r="N286" s="56">
        <v>10</v>
      </c>
      <c r="O286" s="56"/>
      <c r="P286" s="43">
        <f t="shared" si="41"/>
        <v>14</v>
      </c>
      <c r="Q286" s="55" t="s">
        <v>139</v>
      </c>
      <c r="R286" s="56">
        <v>4</v>
      </c>
      <c r="S286" s="56"/>
      <c r="T286" s="56"/>
      <c r="U286" s="43">
        <f t="shared" si="42"/>
        <v>4</v>
      </c>
      <c r="V286" s="55" t="s">
        <v>139</v>
      </c>
      <c r="W286" s="56">
        <v>20</v>
      </c>
      <c r="X286" s="56"/>
      <c r="Y286" s="56"/>
      <c r="Z286" s="43">
        <f t="shared" si="43"/>
        <v>20</v>
      </c>
      <c r="AA286" s="55" t="s">
        <v>139</v>
      </c>
      <c r="AB286" s="56">
        <v>4</v>
      </c>
      <c r="AC286" s="56">
        <v>10</v>
      </c>
      <c r="AD286" s="56"/>
      <c r="AE286" s="43">
        <f t="shared" si="44"/>
        <v>14</v>
      </c>
      <c r="AF286" s="55" t="s">
        <v>139</v>
      </c>
      <c r="AG286" s="56">
        <v>20</v>
      </c>
      <c r="AH286" s="56"/>
      <c r="AI286" s="56"/>
      <c r="AJ286" s="43">
        <f t="shared" si="45"/>
        <v>20</v>
      </c>
    </row>
    <row r="287" spans="2:36" ht="16" thickBot="1" x14ac:dyDescent="0.25">
      <c r="B287" s="32" t="s">
        <v>365</v>
      </c>
      <c r="C287" t="s">
        <v>367</v>
      </c>
      <c r="D287" t="s">
        <v>367</v>
      </c>
      <c r="E287" s="33"/>
      <c r="G287" s="32" t="s">
        <v>365</v>
      </c>
      <c r="H287" t="s">
        <v>367</v>
      </c>
      <c r="I287" t="s">
        <v>240</v>
      </c>
      <c r="J287" s="33"/>
      <c r="L287" s="41" t="s">
        <v>140</v>
      </c>
      <c r="Q287" s="41" t="s">
        <v>140</v>
      </c>
      <c r="V287" s="41" t="s">
        <v>140</v>
      </c>
      <c r="AA287" s="41" t="s">
        <v>140</v>
      </c>
      <c r="AF287" s="41" t="s">
        <v>140</v>
      </c>
    </row>
    <row r="288" spans="2:36" x14ac:dyDescent="0.2">
      <c r="B288" s="34" t="s">
        <v>366</v>
      </c>
      <c r="C288" s="35" t="s">
        <v>255</v>
      </c>
      <c r="D288" s="35" t="s">
        <v>255</v>
      </c>
      <c r="E288" s="36"/>
      <c r="G288" s="34" t="s">
        <v>366</v>
      </c>
      <c r="H288" s="35" t="s">
        <v>367</v>
      </c>
      <c r="I288" s="35" t="s">
        <v>256</v>
      </c>
      <c r="J288" s="36"/>
      <c r="L288" s="49" t="s">
        <v>141</v>
      </c>
      <c r="M288" s="50">
        <v>4</v>
      </c>
      <c r="N288" s="50">
        <v>4</v>
      </c>
      <c r="O288" s="195"/>
      <c r="P288" s="197">
        <f>SUM(M288:O288)</f>
        <v>8</v>
      </c>
      <c r="Q288" s="164" t="s">
        <v>141</v>
      </c>
      <c r="R288" s="50">
        <v>12</v>
      </c>
      <c r="S288" s="50"/>
      <c r="T288" s="195"/>
      <c r="U288" s="197">
        <f t="shared" ref="U288:U295" si="46">SUM(R288:T288)</f>
        <v>12</v>
      </c>
      <c r="V288" s="49" t="s">
        <v>141</v>
      </c>
      <c r="W288" s="50">
        <v>5</v>
      </c>
      <c r="X288" s="50"/>
      <c r="Y288" s="195"/>
      <c r="Z288" s="197">
        <f t="shared" ref="Z288:Z295" si="47">SUM(W288:Y288)</f>
        <v>5</v>
      </c>
      <c r="AA288" s="49" t="s">
        <v>141</v>
      </c>
      <c r="AB288" s="50">
        <v>4</v>
      </c>
      <c r="AC288" s="50">
        <v>3</v>
      </c>
      <c r="AD288" s="195"/>
      <c r="AE288" s="197">
        <f t="shared" ref="AE288:AE295" si="48">SUM(AB288:AD288)</f>
        <v>7</v>
      </c>
      <c r="AF288" s="49" t="s">
        <v>141</v>
      </c>
      <c r="AG288" s="50">
        <v>1</v>
      </c>
      <c r="AH288" s="50"/>
      <c r="AI288" s="195"/>
      <c r="AJ288" s="197">
        <f t="shared" ref="AJ288:AJ295" si="49">SUM(AG288:AI288)</f>
        <v>1</v>
      </c>
    </row>
    <row r="289" spans="2:36" x14ac:dyDescent="0.2">
      <c r="L289" s="52" t="s">
        <v>148</v>
      </c>
      <c r="M289" s="42">
        <v>4</v>
      </c>
      <c r="N289" s="42">
        <v>2</v>
      </c>
      <c r="O289" s="37"/>
      <c r="P289" s="69">
        <f t="shared" ref="P289:P295" si="50">SUM(M289:O289)</f>
        <v>6</v>
      </c>
      <c r="Q289" s="165" t="s">
        <v>148</v>
      </c>
      <c r="R289" s="42">
        <v>10</v>
      </c>
      <c r="S289" s="42"/>
      <c r="T289" s="37"/>
      <c r="U289" s="69">
        <f t="shared" si="46"/>
        <v>10</v>
      </c>
      <c r="V289" s="52" t="s">
        <v>148</v>
      </c>
      <c r="W289" s="42">
        <v>6</v>
      </c>
      <c r="X289" s="42"/>
      <c r="Y289" s="37"/>
      <c r="Z289" s="69">
        <f t="shared" si="47"/>
        <v>6</v>
      </c>
      <c r="AA289" s="52" t="s">
        <v>148</v>
      </c>
      <c r="AB289" s="42">
        <v>8</v>
      </c>
      <c r="AC289" s="42">
        <v>3</v>
      </c>
      <c r="AD289" s="37"/>
      <c r="AE289" s="69">
        <f t="shared" si="48"/>
        <v>11</v>
      </c>
      <c r="AF289" s="52" t="s">
        <v>148</v>
      </c>
      <c r="AG289" s="42">
        <v>3</v>
      </c>
      <c r="AH289" s="42"/>
      <c r="AI289" s="37"/>
      <c r="AJ289" s="69">
        <f t="shared" si="49"/>
        <v>3</v>
      </c>
    </row>
    <row r="290" spans="2:36" x14ac:dyDescent="0.2">
      <c r="B290" s="217" t="s">
        <v>371</v>
      </c>
      <c r="C290" s="218" t="s">
        <v>368</v>
      </c>
      <c r="D290" s="30"/>
      <c r="E290" s="31"/>
      <c r="G290" s="217" t="s">
        <v>369</v>
      </c>
      <c r="H290" s="218" t="s">
        <v>368</v>
      </c>
      <c r="I290" s="30"/>
      <c r="J290" s="31"/>
      <c r="L290" s="52" t="s">
        <v>149</v>
      </c>
      <c r="M290" s="42">
        <v>4</v>
      </c>
      <c r="N290" s="42">
        <v>7.5</v>
      </c>
      <c r="O290" s="37"/>
      <c r="P290" s="69">
        <f t="shared" si="50"/>
        <v>11.5</v>
      </c>
      <c r="Q290" s="165" t="s">
        <v>149</v>
      </c>
      <c r="R290" s="42">
        <v>10</v>
      </c>
      <c r="S290" s="42"/>
      <c r="T290" s="37"/>
      <c r="U290" s="69">
        <f t="shared" si="46"/>
        <v>10</v>
      </c>
      <c r="V290" s="52" t="s">
        <v>149</v>
      </c>
      <c r="W290" s="42"/>
      <c r="X290" s="42"/>
      <c r="Y290" s="37"/>
      <c r="Z290" s="69">
        <f t="shared" si="47"/>
        <v>0</v>
      </c>
      <c r="AA290" s="52" t="s">
        <v>149</v>
      </c>
      <c r="AB290" s="42"/>
      <c r="AC290" s="42">
        <v>4</v>
      </c>
      <c r="AD290" s="37"/>
      <c r="AE290" s="69">
        <f t="shared" si="48"/>
        <v>4</v>
      </c>
      <c r="AF290" s="52" t="s">
        <v>149</v>
      </c>
      <c r="AG290" s="42">
        <v>3</v>
      </c>
      <c r="AH290" s="42"/>
      <c r="AI290" s="37"/>
      <c r="AJ290" s="69">
        <f t="shared" si="49"/>
        <v>3</v>
      </c>
    </row>
    <row r="291" spans="2:36" x14ac:dyDescent="0.2">
      <c r="B291" s="32" t="s">
        <v>361</v>
      </c>
      <c r="C291" s="219" t="s">
        <v>255</v>
      </c>
      <c r="D291" s="219" t="s">
        <v>255</v>
      </c>
      <c r="E291" s="220"/>
      <c r="G291" s="32" t="s">
        <v>361</v>
      </c>
      <c r="H291" s="219" t="s">
        <v>256</v>
      </c>
      <c r="I291" s="219" t="s">
        <v>240</v>
      </c>
      <c r="J291" s="220"/>
      <c r="L291" s="52" t="s">
        <v>142</v>
      </c>
      <c r="M291" s="42"/>
      <c r="N291" s="42">
        <v>1</v>
      </c>
      <c r="O291" s="37"/>
      <c r="P291" s="69">
        <f t="shared" si="50"/>
        <v>1</v>
      </c>
      <c r="Q291" s="165" t="s">
        <v>142</v>
      </c>
      <c r="R291" s="42">
        <v>5</v>
      </c>
      <c r="S291" s="42"/>
      <c r="T291" s="37"/>
      <c r="U291" s="69">
        <f t="shared" si="46"/>
        <v>5</v>
      </c>
      <c r="V291" s="52" t="s">
        <v>142</v>
      </c>
      <c r="W291" s="42">
        <v>5</v>
      </c>
      <c r="X291" s="42"/>
      <c r="Y291" s="37"/>
      <c r="Z291" s="69">
        <f t="shared" si="47"/>
        <v>5</v>
      </c>
      <c r="AA291" s="52" t="s">
        <v>142</v>
      </c>
      <c r="AB291" s="42"/>
      <c r="AC291" s="42">
        <v>1</v>
      </c>
      <c r="AD291" s="37"/>
      <c r="AE291" s="69">
        <f t="shared" si="48"/>
        <v>1</v>
      </c>
      <c r="AF291" s="52" t="s">
        <v>142</v>
      </c>
      <c r="AG291" s="42">
        <v>2</v>
      </c>
      <c r="AH291" s="42"/>
      <c r="AI291" s="37"/>
      <c r="AJ291" s="69">
        <f t="shared" si="49"/>
        <v>2</v>
      </c>
    </row>
    <row r="292" spans="2:36" x14ac:dyDescent="0.2">
      <c r="B292" s="32" t="s">
        <v>362</v>
      </c>
      <c r="C292" t="s">
        <v>247</v>
      </c>
      <c r="D292" t="s">
        <v>373</v>
      </c>
      <c r="E292" s="33" t="s">
        <v>367</v>
      </c>
      <c r="G292" s="32" t="s">
        <v>362</v>
      </c>
      <c r="H292" t="s">
        <v>256</v>
      </c>
      <c r="I292" t="s">
        <v>254</v>
      </c>
      <c r="J292" s="33" t="s">
        <v>367</v>
      </c>
      <c r="L292" s="52" t="s">
        <v>143</v>
      </c>
      <c r="M292" s="42"/>
      <c r="N292" s="42">
        <v>3.5</v>
      </c>
      <c r="O292" s="37"/>
      <c r="P292" s="69">
        <f t="shared" si="50"/>
        <v>3.5</v>
      </c>
      <c r="Q292" s="165" t="s">
        <v>143</v>
      </c>
      <c r="R292" s="42">
        <v>5</v>
      </c>
      <c r="S292" s="42"/>
      <c r="T292" s="37"/>
      <c r="U292" s="69">
        <f t="shared" si="46"/>
        <v>5</v>
      </c>
      <c r="V292" s="52" t="s">
        <v>143</v>
      </c>
      <c r="W292" s="42"/>
      <c r="X292" s="42"/>
      <c r="Y292" s="37"/>
      <c r="Z292" s="69">
        <f t="shared" si="47"/>
        <v>0</v>
      </c>
      <c r="AA292" s="52" t="s">
        <v>143</v>
      </c>
      <c r="AB292" s="42"/>
      <c r="AC292" s="42">
        <v>3</v>
      </c>
      <c r="AD292" s="37"/>
      <c r="AE292" s="69">
        <f t="shared" si="48"/>
        <v>3</v>
      </c>
      <c r="AF292" s="52" t="s">
        <v>143</v>
      </c>
      <c r="AG292" s="42">
        <v>0</v>
      </c>
      <c r="AH292" s="42"/>
      <c r="AI292" s="37"/>
      <c r="AJ292" s="69">
        <f t="shared" si="49"/>
        <v>0</v>
      </c>
    </row>
    <row r="293" spans="2:36" x14ac:dyDescent="0.2">
      <c r="B293" s="32" t="s">
        <v>363</v>
      </c>
      <c r="C293" t="s">
        <v>256</v>
      </c>
      <c r="D293" t="s">
        <v>255</v>
      </c>
      <c r="E293" s="33" t="s">
        <v>367</v>
      </c>
      <c r="G293" s="32" t="s">
        <v>363</v>
      </c>
      <c r="H293" t="s">
        <v>240</v>
      </c>
      <c r="I293" t="s">
        <v>256</v>
      </c>
      <c r="J293" s="33" t="s">
        <v>367</v>
      </c>
      <c r="L293" s="52" t="s">
        <v>144</v>
      </c>
      <c r="M293" s="42"/>
      <c r="N293" s="42"/>
      <c r="O293" s="37"/>
      <c r="P293" s="69">
        <f t="shared" si="50"/>
        <v>0</v>
      </c>
      <c r="Q293" s="165" t="s">
        <v>144</v>
      </c>
      <c r="R293" s="42"/>
      <c r="S293" s="42"/>
      <c r="T293" s="37"/>
      <c r="U293" s="69">
        <f t="shared" si="46"/>
        <v>0</v>
      </c>
      <c r="V293" s="52" t="s">
        <v>144</v>
      </c>
      <c r="W293" s="42"/>
      <c r="X293" s="42"/>
      <c r="Y293" s="37"/>
      <c r="Z293" s="69">
        <f t="shared" si="47"/>
        <v>0</v>
      </c>
      <c r="AA293" s="52" t="s">
        <v>144</v>
      </c>
      <c r="AB293" s="42"/>
      <c r="AC293" s="42"/>
      <c r="AD293" s="37"/>
      <c r="AE293" s="69">
        <f t="shared" si="48"/>
        <v>0</v>
      </c>
      <c r="AF293" s="52" t="s">
        <v>144</v>
      </c>
      <c r="AG293" s="42">
        <v>0</v>
      </c>
      <c r="AH293" s="42"/>
      <c r="AI293" s="37"/>
      <c r="AJ293" s="69">
        <f t="shared" si="49"/>
        <v>0</v>
      </c>
    </row>
    <row r="294" spans="2:36" x14ac:dyDescent="0.2">
      <c r="B294" s="32" t="s">
        <v>364</v>
      </c>
      <c r="C294" t="s">
        <v>367</v>
      </c>
      <c r="D294" t="s">
        <v>256</v>
      </c>
      <c r="E294" s="33" t="s">
        <v>256</v>
      </c>
      <c r="G294" s="32" t="s">
        <v>364</v>
      </c>
      <c r="H294" t="s">
        <v>367</v>
      </c>
      <c r="I294" t="s">
        <v>240</v>
      </c>
      <c r="J294" s="33" t="s">
        <v>240</v>
      </c>
      <c r="L294" s="52" t="s">
        <v>145</v>
      </c>
      <c r="M294" s="42"/>
      <c r="N294" s="42"/>
      <c r="O294" s="37"/>
      <c r="P294" s="69">
        <f t="shared" si="50"/>
        <v>0</v>
      </c>
      <c r="Q294" s="165" t="s">
        <v>145</v>
      </c>
      <c r="R294" s="42"/>
      <c r="S294" s="42"/>
      <c r="T294" s="37"/>
      <c r="U294" s="69">
        <f t="shared" si="46"/>
        <v>0</v>
      </c>
      <c r="V294" s="52" t="s">
        <v>145</v>
      </c>
      <c r="W294" s="42"/>
      <c r="X294" s="42"/>
      <c r="Y294" s="37"/>
      <c r="Z294" s="69">
        <f t="shared" si="47"/>
        <v>0</v>
      </c>
      <c r="AA294" s="52" t="s">
        <v>145</v>
      </c>
      <c r="AB294" s="42"/>
      <c r="AC294" s="42"/>
      <c r="AD294" s="37"/>
      <c r="AE294" s="69">
        <f t="shared" si="48"/>
        <v>0</v>
      </c>
      <c r="AF294" s="52" t="s">
        <v>145</v>
      </c>
      <c r="AG294" s="42">
        <v>0</v>
      </c>
      <c r="AH294" s="42"/>
      <c r="AI294" s="37"/>
      <c r="AJ294" s="69">
        <f t="shared" si="49"/>
        <v>0</v>
      </c>
    </row>
    <row r="295" spans="2:36" ht="16" thickBot="1" x14ac:dyDescent="0.25">
      <c r="B295" s="32" t="s">
        <v>365</v>
      </c>
      <c r="C295" t="s">
        <v>367</v>
      </c>
      <c r="D295" t="s">
        <v>255</v>
      </c>
      <c r="E295" s="33"/>
      <c r="G295" s="32" t="s">
        <v>365</v>
      </c>
      <c r="H295" t="s">
        <v>367</v>
      </c>
      <c r="I295" t="s">
        <v>256</v>
      </c>
      <c r="J295" s="33"/>
      <c r="L295" s="55" t="s">
        <v>146</v>
      </c>
      <c r="M295" s="56"/>
      <c r="N295" s="56"/>
      <c r="O295" s="196"/>
      <c r="P295" s="70">
        <f t="shared" si="50"/>
        <v>0</v>
      </c>
      <c r="Q295" s="166" t="s">
        <v>146</v>
      </c>
      <c r="R295" s="56"/>
      <c r="S295" s="56"/>
      <c r="T295" s="196"/>
      <c r="U295" s="70">
        <f t="shared" si="46"/>
        <v>0</v>
      </c>
      <c r="V295" s="55" t="s">
        <v>146</v>
      </c>
      <c r="W295" s="56"/>
      <c r="X295" s="56"/>
      <c r="Y295" s="196"/>
      <c r="Z295" s="70">
        <f t="shared" si="47"/>
        <v>0</v>
      </c>
      <c r="AA295" s="55" t="s">
        <v>146</v>
      </c>
      <c r="AB295" s="56"/>
      <c r="AC295" s="56"/>
      <c r="AD295" s="196"/>
      <c r="AE295" s="70">
        <f t="shared" si="48"/>
        <v>0</v>
      </c>
      <c r="AF295" s="55" t="s">
        <v>146</v>
      </c>
      <c r="AG295" s="56">
        <v>0</v>
      </c>
      <c r="AH295" s="56"/>
      <c r="AI295" s="196"/>
      <c r="AJ295" s="70">
        <f t="shared" si="49"/>
        <v>0</v>
      </c>
    </row>
    <row r="296" spans="2:36" ht="16" thickBot="1" x14ac:dyDescent="0.25">
      <c r="B296" s="34" t="s">
        <v>366</v>
      </c>
      <c r="C296" s="221" t="s">
        <v>256</v>
      </c>
      <c r="D296" s="221" t="s">
        <v>373</v>
      </c>
      <c r="E296" s="222"/>
      <c r="G296" s="34" t="s">
        <v>366</v>
      </c>
      <c r="H296" s="221" t="s">
        <v>240</v>
      </c>
      <c r="I296" s="221" t="s">
        <v>254</v>
      </c>
      <c r="J296" s="222"/>
      <c r="L296" s="168" t="s">
        <v>174</v>
      </c>
      <c r="M296" s="91"/>
      <c r="N296" s="169"/>
      <c r="O296" s="81"/>
      <c r="P296" s="82"/>
      <c r="Q296" s="80" t="s">
        <v>174</v>
      </c>
      <c r="R296" s="83"/>
      <c r="S296" s="81"/>
      <c r="T296" s="81"/>
      <c r="U296" s="82"/>
      <c r="V296" s="80" t="s">
        <v>174</v>
      </c>
      <c r="W296" s="83"/>
      <c r="X296" s="81"/>
      <c r="Y296" s="81"/>
      <c r="Z296" s="82"/>
      <c r="AA296" s="80" t="s">
        <v>174</v>
      </c>
      <c r="AB296" s="83"/>
      <c r="AC296" s="81"/>
      <c r="AD296" s="81"/>
      <c r="AE296" s="82"/>
      <c r="AF296" s="80" t="s">
        <v>174</v>
      </c>
      <c r="AG296" s="83"/>
      <c r="AH296" s="81"/>
      <c r="AI296" s="81"/>
      <c r="AJ296" s="82"/>
    </row>
    <row r="297" spans="2:36" ht="16" thickBot="1" x14ac:dyDescent="0.25">
      <c r="L297" s="71" t="s">
        <v>150</v>
      </c>
      <c r="M297">
        <f>SUM(M288:M295)</f>
        <v>12</v>
      </c>
      <c r="N297" s="33">
        <f>SUM(N288:N295)</f>
        <v>18</v>
      </c>
      <c r="O297" s="33">
        <f>SUM(O288:O295)</f>
        <v>0</v>
      </c>
      <c r="Q297" s="57" t="s">
        <v>150</v>
      </c>
      <c r="R297">
        <f>SUM(R288:R295)</f>
        <v>42</v>
      </c>
      <c r="S297" s="33">
        <f>SUM(S288:S295)</f>
        <v>0</v>
      </c>
      <c r="T297" s="33">
        <f>SUM(T288:T295)</f>
        <v>0</v>
      </c>
      <c r="V297" s="57" t="s">
        <v>150</v>
      </c>
      <c r="W297">
        <f>SUM(W288:W295)</f>
        <v>16</v>
      </c>
      <c r="X297" s="33">
        <f>SUM(X288:X295)</f>
        <v>0</v>
      </c>
      <c r="Y297" s="33">
        <f>SUM(Y288:Y295)</f>
        <v>0</v>
      </c>
      <c r="AA297" s="71" t="s">
        <v>150</v>
      </c>
      <c r="AB297">
        <f>SUM(AB288:AB295)</f>
        <v>12</v>
      </c>
      <c r="AC297" s="33">
        <f>SUM(AC288:AC295)</f>
        <v>14</v>
      </c>
      <c r="AD297" s="33">
        <f>SUM(AD288:AD295)</f>
        <v>0</v>
      </c>
      <c r="AF297" s="71" t="s">
        <v>150</v>
      </c>
      <c r="AG297">
        <f>SUM(AG288:AG295)</f>
        <v>9</v>
      </c>
      <c r="AH297" s="33">
        <f>SUM(AH288:AH295)</f>
        <v>0</v>
      </c>
      <c r="AI297" s="33">
        <f>SUM(AI288:AI295)</f>
        <v>0</v>
      </c>
    </row>
    <row r="298" spans="2:36" ht="16" thickBot="1" x14ac:dyDescent="0.25">
      <c r="L298" s="74" t="s">
        <v>172</v>
      </c>
      <c r="M298" s="96"/>
      <c r="N298" s="72">
        <v>0</v>
      </c>
      <c r="O298" s="216"/>
      <c r="P298" s="114">
        <f>M298+N298</f>
        <v>0</v>
      </c>
      <c r="Q298" s="74" t="s">
        <v>172</v>
      </c>
      <c r="R298" s="96">
        <v>8.3333333333333329E-2</v>
      </c>
      <c r="S298" s="72"/>
      <c r="T298" s="114">
        <f>R298+S298</f>
        <v>8.3333333333333329E-2</v>
      </c>
      <c r="V298" s="74" t="s">
        <v>172</v>
      </c>
      <c r="W298" s="96">
        <v>8.3333333333333329E-2</v>
      </c>
      <c r="X298" s="72"/>
      <c r="Y298" s="114">
        <f>W298+X298</f>
        <v>8.3333333333333329E-2</v>
      </c>
      <c r="AA298" s="74" t="s">
        <v>172</v>
      </c>
      <c r="AB298" s="96">
        <v>8.3333333333333329E-2</v>
      </c>
      <c r="AC298" s="72"/>
      <c r="AD298" s="72"/>
      <c r="AE298" s="114">
        <f>AB298+AC298</f>
        <v>8.3333333333333329E-2</v>
      </c>
      <c r="AF298" s="74" t="s">
        <v>172</v>
      </c>
      <c r="AG298" s="72">
        <v>0</v>
      </c>
      <c r="AH298" s="72"/>
      <c r="AI298" s="72"/>
      <c r="AJ298" s="114">
        <f>AG298+AH298</f>
        <v>0</v>
      </c>
    </row>
    <row r="299" spans="2:36" ht="16" thickBot="1" x14ac:dyDescent="0.25">
      <c r="L299" s="98" t="s">
        <v>191</v>
      </c>
      <c r="M299" s="341" t="s">
        <v>374</v>
      </c>
      <c r="N299" s="342"/>
      <c r="O299" s="343"/>
      <c r="Q299" s="98" t="s">
        <v>191</v>
      </c>
      <c r="R299" s="341" t="s">
        <v>352</v>
      </c>
      <c r="S299" s="342"/>
      <c r="T299" s="343"/>
      <c r="V299" s="98" t="s">
        <v>191</v>
      </c>
      <c r="W299" s="341"/>
      <c r="X299" s="342"/>
      <c r="Y299" s="343"/>
      <c r="AA299" s="98" t="s">
        <v>191</v>
      </c>
      <c r="AB299" s="341" t="s">
        <v>409</v>
      </c>
      <c r="AC299" s="342"/>
      <c r="AD299" s="343"/>
      <c r="AF299" s="98" t="s">
        <v>191</v>
      </c>
      <c r="AG299" s="341"/>
      <c r="AH299" s="342"/>
      <c r="AI299" s="343"/>
    </row>
    <row r="300" spans="2:36" ht="16" thickBot="1" x14ac:dyDescent="0.25"/>
    <row r="301" spans="2:36" ht="16" thickBot="1" x14ac:dyDescent="0.25">
      <c r="K301" s="61" t="s">
        <v>177</v>
      </c>
      <c r="L301" s="66" t="s">
        <v>335</v>
      </c>
      <c r="M301" s="102" t="s">
        <v>166</v>
      </c>
      <c r="N301" s="103" t="s">
        <v>171</v>
      </c>
    </row>
    <row r="302" spans="2:36" x14ac:dyDescent="0.2">
      <c r="L302" s="65" t="s">
        <v>146</v>
      </c>
      <c r="M302" s="34">
        <f>P295+T295+Y295+AD295+AJ295</f>
        <v>0</v>
      </c>
      <c r="N302" s="101">
        <f>M302*13</f>
        <v>0</v>
      </c>
    </row>
    <row r="303" spans="2:36" x14ac:dyDescent="0.2">
      <c r="L303" s="45" t="s">
        <v>145</v>
      </c>
      <c r="M303" s="37">
        <f>P294+T294+Y294+AD294+AJ294</f>
        <v>0</v>
      </c>
      <c r="N303" s="69">
        <f t="shared" ref="N303:N309" si="51">M303*13</f>
        <v>0</v>
      </c>
    </row>
    <row r="304" spans="2:36" x14ac:dyDescent="0.2">
      <c r="L304" s="45" t="s">
        <v>144</v>
      </c>
      <c r="M304" s="37">
        <f>P293+T293+Y293+AD293+AJ293</f>
        <v>0</v>
      </c>
      <c r="N304" s="69">
        <f t="shared" si="51"/>
        <v>0</v>
      </c>
    </row>
    <row r="305" spans="11:14" x14ac:dyDescent="0.2">
      <c r="L305" s="45" t="s">
        <v>143</v>
      </c>
      <c r="M305" s="37">
        <f>P292+T292+Y292+AD292+AJ292</f>
        <v>3.5</v>
      </c>
      <c r="N305" s="69">
        <f t="shared" si="51"/>
        <v>45.5</v>
      </c>
    </row>
    <row r="306" spans="11:14" x14ac:dyDescent="0.2">
      <c r="L306" s="45" t="s">
        <v>142</v>
      </c>
      <c r="M306" s="37">
        <f>P291+T291+Y291+AD291+AJ291</f>
        <v>3</v>
      </c>
      <c r="N306" s="69">
        <f t="shared" si="51"/>
        <v>39</v>
      </c>
    </row>
    <row r="307" spans="11:14" x14ac:dyDescent="0.2">
      <c r="L307" s="45" t="s">
        <v>149</v>
      </c>
      <c r="M307" s="37">
        <f>P290+T290+Y290+AD290+AJ290</f>
        <v>14.5</v>
      </c>
      <c r="N307" s="69">
        <f t="shared" si="51"/>
        <v>188.5</v>
      </c>
    </row>
    <row r="308" spans="11:14" x14ac:dyDescent="0.2">
      <c r="L308" s="45" t="s">
        <v>148</v>
      </c>
      <c r="M308" s="37">
        <f>P289+T289+Y289+AD289+AJ289</f>
        <v>9</v>
      </c>
      <c r="N308" s="69">
        <f t="shared" si="51"/>
        <v>117</v>
      </c>
    </row>
    <row r="309" spans="11:14" ht="16" thickBot="1" x14ac:dyDescent="0.25">
      <c r="L309" s="45" t="s">
        <v>141</v>
      </c>
      <c r="M309" s="37">
        <f>P288+T288+Y288+AD288+AJ288</f>
        <v>9</v>
      </c>
      <c r="N309" s="70">
        <f t="shared" si="51"/>
        <v>117</v>
      </c>
    </row>
    <row r="312" spans="11:14" ht="16" thickBot="1" x14ac:dyDescent="0.25"/>
    <row r="313" spans="11:14" ht="16" thickBot="1" x14ac:dyDescent="0.25">
      <c r="K313" s="61" t="s">
        <v>178</v>
      </c>
      <c r="L313" s="66" t="s">
        <v>335</v>
      </c>
      <c r="M313" s="67" t="s">
        <v>170</v>
      </c>
      <c r="N313" s="214" t="s">
        <v>422</v>
      </c>
    </row>
    <row r="314" spans="11:14" x14ac:dyDescent="0.2">
      <c r="L314" s="65">
        <f>M281</f>
        <v>14</v>
      </c>
      <c r="M314" s="63">
        <f>P284</f>
        <v>240</v>
      </c>
    </row>
    <row r="315" spans="11:14" x14ac:dyDescent="0.2">
      <c r="L315" s="45">
        <f>R281</f>
        <v>15</v>
      </c>
      <c r="M315" s="42">
        <f>U284</f>
        <v>168</v>
      </c>
    </row>
    <row r="316" spans="11:14" x14ac:dyDescent="0.2">
      <c r="L316" s="45">
        <f>W281</f>
        <v>16</v>
      </c>
      <c r="M316" s="42">
        <f>Z284</f>
        <v>278</v>
      </c>
    </row>
    <row r="317" spans="11:14" ht="16" thickBot="1" x14ac:dyDescent="0.25">
      <c r="L317" s="104">
        <f>AB281</f>
        <v>17</v>
      </c>
      <c r="M317" s="105">
        <f>AE284</f>
        <v>188</v>
      </c>
    </row>
    <row r="318" spans="11:14" ht="16" thickBot="1" x14ac:dyDescent="0.25">
      <c r="K318" s="354" t="s">
        <v>207</v>
      </c>
      <c r="L318" s="355"/>
      <c r="M318" s="253">
        <v>1039</v>
      </c>
      <c r="N318" s="256">
        <f>O14+S14+W14+AA14</f>
        <v>0.34027777777777773</v>
      </c>
    </row>
    <row r="319" spans="11:14" x14ac:dyDescent="0.2">
      <c r="K319" s="356" t="s">
        <v>196</v>
      </c>
      <c r="L319" s="357"/>
      <c r="M319" s="253">
        <v>400</v>
      </c>
      <c r="N319" s="257"/>
    </row>
    <row r="320" spans="11:14" x14ac:dyDescent="0.2">
      <c r="K320" s="358" t="s">
        <v>359</v>
      </c>
      <c r="L320" s="359"/>
      <c r="M320" s="254">
        <v>1312</v>
      </c>
      <c r="N320" s="257">
        <f>O69+S69+W69+AA69+AE69</f>
        <v>0.47916666666666663</v>
      </c>
    </row>
    <row r="321" spans="11:15" ht="16" thickBot="1" x14ac:dyDescent="0.25">
      <c r="K321" s="360" t="s">
        <v>205</v>
      </c>
      <c r="L321" s="361"/>
      <c r="M321" s="255">
        <v>1165</v>
      </c>
      <c r="N321" s="257">
        <f>O139+S139+W139+AB139+AF139</f>
        <v>0.41666666666666663</v>
      </c>
    </row>
    <row r="322" spans="11:15" ht="16" thickBot="1" x14ac:dyDescent="0.25">
      <c r="K322" s="352" t="s">
        <v>336</v>
      </c>
      <c r="L322" s="353"/>
      <c r="M322" s="255">
        <f>M250</f>
        <v>730</v>
      </c>
      <c r="N322" s="257">
        <f>P211+U211+Z211+AE211+AJ211</f>
        <v>0.375</v>
      </c>
      <c r="O322" t="s">
        <v>408</v>
      </c>
    </row>
    <row r="323" spans="11:15" ht="16" thickBot="1" x14ac:dyDescent="0.25">
      <c r="K323" s="352" t="s">
        <v>421</v>
      </c>
      <c r="L323" s="353"/>
      <c r="M323" s="255">
        <f>P284+U284+Z284+AE284+AJ284</f>
        <v>1054</v>
      </c>
      <c r="N323" s="258">
        <f>P283+U283+Z283+AE283+AJ283</f>
        <v>0.50347222222222221</v>
      </c>
      <c r="O323" t="s">
        <v>408</v>
      </c>
    </row>
    <row r="341" spans="2:36" ht="16" thickBot="1" x14ac:dyDescent="0.25"/>
    <row r="342" spans="2:36" ht="16" thickBot="1" x14ac:dyDescent="0.25">
      <c r="B342" s="284"/>
      <c r="C342" s="282"/>
      <c r="D342" s="282"/>
      <c r="E342" s="282"/>
      <c r="F342" s="282"/>
      <c r="G342" s="282"/>
      <c r="H342" s="282"/>
      <c r="I342" s="282"/>
      <c r="J342" s="282"/>
      <c r="K342" s="282"/>
      <c r="L342" s="282"/>
      <c r="M342" s="282"/>
      <c r="N342" s="282"/>
      <c r="O342" s="282"/>
      <c r="P342" s="282"/>
      <c r="Q342" s="282"/>
      <c r="R342" s="282"/>
      <c r="S342" s="282"/>
      <c r="T342" s="282"/>
      <c r="U342" s="282"/>
      <c r="V342" s="282"/>
      <c r="W342" s="282"/>
      <c r="X342" s="282"/>
      <c r="Y342" s="282"/>
      <c r="Z342" s="282"/>
      <c r="AA342" s="282"/>
      <c r="AB342" s="282"/>
      <c r="AC342" s="282"/>
      <c r="AD342" s="283"/>
    </row>
    <row r="345" spans="2:36" ht="16" thickBot="1" x14ac:dyDescent="0.25">
      <c r="K345" s="18" t="s">
        <v>127</v>
      </c>
      <c r="L345" s="285">
        <v>45839</v>
      </c>
    </row>
    <row r="346" spans="2:36" ht="16" thickBot="1" x14ac:dyDescent="0.25">
      <c r="K346" t="s">
        <v>128</v>
      </c>
      <c r="L346" s="75" t="s">
        <v>78</v>
      </c>
      <c r="M346" s="76" t="s">
        <v>151</v>
      </c>
      <c r="N346" s="79" t="s">
        <v>448</v>
      </c>
      <c r="P346" s="41" t="s">
        <v>191</v>
      </c>
      <c r="Q346" t="s">
        <v>450</v>
      </c>
    </row>
    <row r="347" spans="2:36" ht="16" thickBot="1" x14ac:dyDescent="0.25">
      <c r="K347" t="s">
        <v>94</v>
      </c>
      <c r="L347" t="s">
        <v>197</v>
      </c>
      <c r="M347" t="s">
        <v>201</v>
      </c>
      <c r="N347" s="79" t="s">
        <v>449</v>
      </c>
      <c r="Q347" t="s">
        <v>451</v>
      </c>
    </row>
    <row r="348" spans="2:36" x14ac:dyDescent="0.2">
      <c r="K348" t="s">
        <v>129</v>
      </c>
      <c r="L348" t="s">
        <v>134</v>
      </c>
      <c r="Q348" t="s">
        <v>452</v>
      </c>
    </row>
    <row r="349" spans="2:36" x14ac:dyDescent="0.2">
      <c r="K349" t="s">
        <v>130</v>
      </c>
      <c r="L349" t="s">
        <v>119</v>
      </c>
    </row>
    <row r="350" spans="2:36" x14ac:dyDescent="0.2">
      <c r="K350" t="s">
        <v>131</v>
      </c>
      <c r="L350" t="s">
        <v>121</v>
      </c>
    </row>
    <row r="351" spans="2:36" ht="16" thickBot="1" x14ac:dyDescent="0.25">
      <c r="K351" t="s">
        <v>132</v>
      </c>
      <c r="L351" t="s">
        <v>119</v>
      </c>
    </row>
    <row r="352" spans="2:36" ht="16" thickBot="1" x14ac:dyDescent="0.25">
      <c r="M352" s="341" t="s">
        <v>135</v>
      </c>
      <c r="N352" s="342"/>
      <c r="O352" s="342"/>
      <c r="P352" s="343"/>
      <c r="R352" s="341" t="s">
        <v>135</v>
      </c>
      <c r="S352" s="342"/>
      <c r="T352" s="342"/>
      <c r="U352" s="343"/>
      <c r="W352" s="341" t="s">
        <v>135</v>
      </c>
      <c r="X352" s="342"/>
      <c r="Y352" s="342"/>
      <c r="Z352" s="343"/>
      <c r="AB352" s="341" t="s">
        <v>135</v>
      </c>
      <c r="AC352" s="342"/>
      <c r="AD352" s="342"/>
      <c r="AE352" s="343"/>
      <c r="AG352" s="341" t="s">
        <v>135</v>
      </c>
      <c r="AH352" s="342"/>
      <c r="AI352" s="342"/>
      <c r="AJ352" s="343"/>
    </row>
    <row r="353" spans="2:36" ht="16" thickBot="1" x14ac:dyDescent="0.25">
      <c r="M353" s="362">
        <v>27</v>
      </c>
      <c r="N353" s="363"/>
      <c r="O353" s="364"/>
      <c r="P353" s="111" t="s">
        <v>147</v>
      </c>
      <c r="R353" s="362">
        <v>28</v>
      </c>
      <c r="S353" s="363"/>
      <c r="T353" s="364"/>
      <c r="U353" s="111" t="s">
        <v>147</v>
      </c>
      <c r="W353" s="362">
        <v>29</v>
      </c>
      <c r="X353" s="363"/>
      <c r="Y353" s="364"/>
      <c r="Z353" s="111" t="s">
        <v>147</v>
      </c>
      <c r="AB353" s="362">
        <v>30</v>
      </c>
      <c r="AC353" s="363"/>
      <c r="AD353" s="364"/>
      <c r="AE353" s="111" t="s">
        <v>147</v>
      </c>
      <c r="AG353" s="341">
        <v>31</v>
      </c>
      <c r="AH353" s="342"/>
      <c r="AI353" s="365"/>
      <c r="AJ353" s="198" t="s">
        <v>147</v>
      </c>
    </row>
    <row r="354" spans="2:36" x14ac:dyDescent="0.2">
      <c r="B354" s="217" t="s">
        <v>370</v>
      </c>
      <c r="C354" s="218" t="s">
        <v>368</v>
      </c>
      <c r="D354" s="30"/>
      <c r="E354" s="31"/>
      <c r="G354" s="217" t="s">
        <v>360</v>
      </c>
      <c r="H354" s="218" t="s">
        <v>368</v>
      </c>
      <c r="I354" s="30"/>
      <c r="J354" s="31"/>
      <c r="L354" s="49" t="s">
        <v>136</v>
      </c>
      <c r="M354" s="50">
        <v>1</v>
      </c>
      <c r="N354" s="50"/>
      <c r="O354" s="50">
        <v>0</v>
      </c>
      <c r="P354" s="51">
        <f>SUM(M354:O354)+0</f>
        <v>1</v>
      </c>
      <c r="Q354" s="49" t="s">
        <v>136</v>
      </c>
      <c r="R354" s="50"/>
      <c r="S354" s="50"/>
      <c r="T354" s="50">
        <v>0</v>
      </c>
      <c r="U354" s="51">
        <f>SUM(R354:T354)+0</f>
        <v>0</v>
      </c>
      <c r="V354" s="49" t="s">
        <v>136</v>
      </c>
      <c r="W354" s="50"/>
      <c r="X354" s="50">
        <v>0</v>
      </c>
      <c r="Y354" s="50">
        <v>0</v>
      </c>
      <c r="Z354" s="51">
        <f>SUM(W354:Y354)+0</f>
        <v>0</v>
      </c>
      <c r="AA354" s="49" t="s">
        <v>136</v>
      </c>
      <c r="AB354" s="50"/>
      <c r="AC354" s="50"/>
      <c r="AD354" s="50">
        <v>0</v>
      </c>
      <c r="AE354" s="51">
        <f>SUM(AB354:AD354)+0</f>
        <v>0</v>
      </c>
      <c r="AF354" s="49" t="s">
        <v>136</v>
      </c>
      <c r="AG354" s="50"/>
      <c r="AH354" s="50"/>
      <c r="AI354" s="50">
        <v>0</v>
      </c>
      <c r="AJ354" s="51">
        <f>SUM(AG354:AI354)+0</f>
        <v>0</v>
      </c>
    </row>
    <row r="355" spans="2:36" x14ac:dyDescent="0.2">
      <c r="B355" s="32" t="s">
        <v>361</v>
      </c>
      <c r="C355" s="219" t="s">
        <v>255</v>
      </c>
      <c r="D355" s="219" t="s">
        <v>256</v>
      </c>
      <c r="E355" s="220"/>
      <c r="G355" s="32" t="s">
        <v>361</v>
      </c>
      <c r="H355" s="219" t="s">
        <v>256</v>
      </c>
      <c r="I355" s="219" t="s">
        <v>240</v>
      </c>
      <c r="J355" s="220"/>
      <c r="L355" s="52" t="s">
        <v>94</v>
      </c>
      <c r="M355" s="46">
        <v>0.125</v>
      </c>
      <c r="N355" s="47"/>
      <c r="O355" s="47"/>
      <c r="P355" s="53">
        <f>SUM(M355:O355)</f>
        <v>0.125</v>
      </c>
      <c r="Q355" s="52" t="s">
        <v>94</v>
      </c>
      <c r="R355" s="240"/>
      <c r="S355" s="47"/>
      <c r="T355" s="47"/>
      <c r="U355" s="53">
        <f>SUM(R355:T355)</f>
        <v>0</v>
      </c>
      <c r="V355" s="52" t="s">
        <v>94</v>
      </c>
      <c r="W355" s="46"/>
      <c r="X355" s="47"/>
      <c r="Y355" s="47"/>
      <c r="Z355" s="53">
        <f>SUM(W355:Y355)</f>
        <v>0</v>
      </c>
      <c r="AA355" s="52" t="s">
        <v>94</v>
      </c>
      <c r="AB355" s="46"/>
      <c r="AC355" s="47"/>
      <c r="AD355" s="47"/>
      <c r="AE355" s="53">
        <f>SUM(AB355:AD355)</f>
        <v>0</v>
      </c>
      <c r="AF355" s="52" t="s">
        <v>94</v>
      </c>
      <c r="AG355" s="46"/>
      <c r="AH355" s="47"/>
      <c r="AI355" s="47"/>
      <c r="AJ355" s="53">
        <f>SUM(AG355:AI355)</f>
        <v>0</v>
      </c>
    </row>
    <row r="356" spans="2:36" x14ac:dyDescent="0.2">
      <c r="B356" s="32" t="s">
        <v>362</v>
      </c>
      <c r="C356" t="s">
        <v>247</v>
      </c>
      <c r="D356" t="s">
        <v>372</v>
      </c>
      <c r="E356" s="33" t="s">
        <v>256</v>
      </c>
      <c r="G356" s="32" t="s">
        <v>362</v>
      </c>
      <c r="H356" t="s">
        <v>367</v>
      </c>
      <c r="I356" t="s">
        <v>241</v>
      </c>
      <c r="J356" s="33" t="s">
        <v>240</v>
      </c>
      <c r="L356" s="52" t="s">
        <v>137</v>
      </c>
      <c r="M356" s="48">
        <v>130</v>
      </c>
      <c r="N356" s="48"/>
      <c r="O356" s="48"/>
      <c r="P356" s="54">
        <f t="shared" ref="P356:P358" si="52">SUM(M356:O356)</f>
        <v>130</v>
      </c>
      <c r="Q356" s="52" t="s">
        <v>137</v>
      </c>
      <c r="R356" s="48"/>
      <c r="S356" s="48"/>
      <c r="T356" s="48"/>
      <c r="U356" s="54">
        <f t="shared" ref="U356:U358" si="53">SUM(R356:T356)</f>
        <v>0</v>
      </c>
      <c r="V356" s="52" t="s">
        <v>137</v>
      </c>
      <c r="W356" s="48"/>
      <c r="X356" s="48"/>
      <c r="Y356" s="48"/>
      <c r="Z356" s="54">
        <f t="shared" ref="Z356:Z358" si="54">SUM(W356:Y356)</f>
        <v>0</v>
      </c>
      <c r="AA356" s="52" t="s">
        <v>137</v>
      </c>
      <c r="AB356" s="48"/>
      <c r="AC356" s="48"/>
      <c r="AD356" s="48"/>
      <c r="AE356" s="54">
        <f t="shared" ref="AE356:AE358" si="55">SUM(AB356:AD356)</f>
        <v>0</v>
      </c>
      <c r="AF356" s="52" t="s">
        <v>137</v>
      </c>
      <c r="AG356" s="48"/>
      <c r="AH356" s="48"/>
      <c r="AI356" s="48"/>
      <c r="AJ356" s="54">
        <f t="shared" ref="AJ356:AJ358" si="56">SUM(AG356:AI356)</f>
        <v>0</v>
      </c>
    </row>
    <row r="357" spans="2:36" x14ac:dyDescent="0.2">
      <c r="B357" s="32" t="s">
        <v>363</v>
      </c>
      <c r="C357" t="s">
        <v>247</v>
      </c>
      <c r="D357" t="s">
        <v>372</v>
      </c>
      <c r="E357" s="33" t="s">
        <v>256</v>
      </c>
      <c r="G357" s="32" t="s">
        <v>363</v>
      </c>
      <c r="H357" t="s">
        <v>367</v>
      </c>
      <c r="I357" t="s">
        <v>241</v>
      </c>
      <c r="J357" s="33" t="s">
        <v>256</v>
      </c>
      <c r="L357" s="52" t="s">
        <v>138</v>
      </c>
      <c r="M357" s="42">
        <v>13</v>
      </c>
      <c r="N357" s="42"/>
      <c r="O357" s="42"/>
      <c r="P357" s="54">
        <f t="shared" si="52"/>
        <v>13</v>
      </c>
      <c r="Q357" s="52" t="s">
        <v>138</v>
      </c>
      <c r="R357" s="42"/>
      <c r="S357" s="42"/>
      <c r="T357" s="42"/>
      <c r="U357" s="54">
        <f t="shared" si="53"/>
        <v>0</v>
      </c>
      <c r="V357" s="52" t="s">
        <v>138</v>
      </c>
      <c r="W357" s="42"/>
      <c r="X357" s="42"/>
      <c r="Y357" s="42"/>
      <c r="Z357" s="54">
        <f t="shared" si="54"/>
        <v>0</v>
      </c>
      <c r="AA357" s="52" t="s">
        <v>138</v>
      </c>
      <c r="AB357" s="42"/>
      <c r="AC357" s="42"/>
      <c r="AD357" s="42"/>
      <c r="AE357" s="54">
        <f t="shared" si="55"/>
        <v>0</v>
      </c>
      <c r="AF357" s="52" t="s">
        <v>138</v>
      </c>
      <c r="AG357" s="42"/>
      <c r="AH357" s="42"/>
      <c r="AI357" s="42"/>
      <c r="AJ357" s="54">
        <f t="shared" si="56"/>
        <v>0</v>
      </c>
    </row>
    <row r="358" spans="2:36" ht="16" thickBot="1" x14ac:dyDescent="0.25">
      <c r="B358" s="32" t="s">
        <v>364</v>
      </c>
      <c r="C358" t="s">
        <v>247</v>
      </c>
      <c r="D358" t="s">
        <v>372</v>
      </c>
      <c r="E358" s="33" t="s">
        <v>255</v>
      </c>
      <c r="G358" s="32" t="s">
        <v>364</v>
      </c>
      <c r="H358" t="s">
        <v>241</v>
      </c>
      <c r="I358" t="s">
        <v>241</v>
      </c>
      <c r="J358" s="33" t="s">
        <v>240</v>
      </c>
      <c r="L358" s="55" t="s">
        <v>139</v>
      </c>
      <c r="M358" s="56">
        <v>13</v>
      </c>
      <c r="N358" s="56"/>
      <c r="O358" s="56"/>
      <c r="P358" s="43">
        <f t="shared" si="52"/>
        <v>13</v>
      </c>
      <c r="Q358" s="55" t="s">
        <v>139</v>
      </c>
      <c r="R358" s="56"/>
      <c r="S358" s="56"/>
      <c r="T358" s="56"/>
      <c r="U358" s="43">
        <f t="shared" si="53"/>
        <v>0</v>
      </c>
      <c r="V358" s="55" t="s">
        <v>139</v>
      </c>
      <c r="W358" s="56"/>
      <c r="X358" s="56"/>
      <c r="Y358" s="56"/>
      <c r="Z358" s="43">
        <f t="shared" si="54"/>
        <v>0</v>
      </c>
      <c r="AA358" s="55" t="s">
        <v>139</v>
      </c>
      <c r="AB358" s="56"/>
      <c r="AC358" s="56"/>
      <c r="AD358" s="56"/>
      <c r="AE358" s="43">
        <f t="shared" si="55"/>
        <v>0</v>
      </c>
      <c r="AF358" s="55" t="s">
        <v>139</v>
      </c>
      <c r="AG358" s="56"/>
      <c r="AH358" s="56"/>
      <c r="AI358" s="56"/>
      <c r="AJ358" s="43">
        <f t="shared" si="56"/>
        <v>0</v>
      </c>
    </row>
    <row r="359" spans="2:36" ht="16" thickBot="1" x14ac:dyDescent="0.25">
      <c r="B359" s="32" t="s">
        <v>365</v>
      </c>
      <c r="C359" t="s">
        <v>367</v>
      </c>
      <c r="D359" t="s">
        <v>367</v>
      </c>
      <c r="E359" s="33"/>
      <c r="G359" s="32" t="s">
        <v>365</v>
      </c>
      <c r="H359" t="s">
        <v>367</v>
      </c>
      <c r="I359" t="s">
        <v>240</v>
      </c>
      <c r="J359" s="33"/>
      <c r="L359" s="41" t="s">
        <v>140</v>
      </c>
      <c r="Q359" s="41" t="s">
        <v>140</v>
      </c>
      <c r="V359" s="41" t="s">
        <v>140</v>
      </c>
      <c r="AA359" s="41" t="s">
        <v>140</v>
      </c>
      <c r="AF359" s="41" t="s">
        <v>140</v>
      </c>
    </row>
    <row r="360" spans="2:36" x14ac:dyDescent="0.2">
      <c r="B360" s="34" t="s">
        <v>366</v>
      </c>
      <c r="C360" s="35" t="s">
        <v>255</v>
      </c>
      <c r="D360" s="35" t="s">
        <v>255</v>
      </c>
      <c r="E360" s="36"/>
      <c r="G360" s="34" t="s">
        <v>366</v>
      </c>
      <c r="H360" s="35" t="s">
        <v>367</v>
      </c>
      <c r="I360" s="35" t="s">
        <v>256</v>
      </c>
      <c r="J360" s="36"/>
      <c r="L360" s="49" t="s">
        <v>141</v>
      </c>
      <c r="M360" s="50">
        <v>6</v>
      </c>
      <c r="N360" s="50"/>
      <c r="O360" s="195"/>
      <c r="P360" s="197">
        <f>SUM(M360:O360)</f>
        <v>6</v>
      </c>
      <c r="Q360" s="164" t="s">
        <v>141</v>
      </c>
      <c r="R360" s="50"/>
      <c r="S360" s="50"/>
      <c r="T360" s="195"/>
      <c r="U360" s="197">
        <f t="shared" ref="U360:U367" si="57">SUM(R360:T360)</f>
        <v>0</v>
      </c>
      <c r="V360" s="49" t="s">
        <v>141</v>
      </c>
      <c r="W360" s="50"/>
      <c r="X360" s="50"/>
      <c r="Y360" s="195"/>
      <c r="Z360" s="197">
        <f t="shared" ref="Z360:Z367" si="58">SUM(W360:Y360)</f>
        <v>0</v>
      </c>
      <c r="AA360" s="49" t="s">
        <v>141</v>
      </c>
      <c r="AB360" s="50"/>
      <c r="AC360" s="50"/>
      <c r="AD360" s="195"/>
      <c r="AE360" s="197">
        <f t="shared" ref="AE360:AE367" si="59">SUM(AB360:AD360)</f>
        <v>0</v>
      </c>
      <c r="AF360" s="49" t="s">
        <v>141</v>
      </c>
      <c r="AG360" s="50"/>
      <c r="AH360" s="50"/>
      <c r="AI360" s="195"/>
      <c r="AJ360" s="197">
        <f t="shared" ref="AJ360:AJ367" si="60">SUM(AG360:AI360)</f>
        <v>0</v>
      </c>
    </row>
    <row r="361" spans="2:36" x14ac:dyDescent="0.2">
      <c r="L361" s="52" t="s">
        <v>148</v>
      </c>
      <c r="M361" s="42">
        <v>4</v>
      </c>
      <c r="N361" s="42"/>
      <c r="O361" s="37"/>
      <c r="P361" s="69">
        <f t="shared" ref="P361:P367" si="61">SUM(M361:O361)</f>
        <v>4</v>
      </c>
      <c r="Q361" s="165" t="s">
        <v>148</v>
      </c>
      <c r="R361" s="42"/>
      <c r="S361" s="42"/>
      <c r="T361" s="37"/>
      <c r="U361" s="69">
        <f t="shared" si="57"/>
        <v>0</v>
      </c>
      <c r="V361" s="52" t="s">
        <v>148</v>
      </c>
      <c r="W361" s="42"/>
      <c r="X361" s="42"/>
      <c r="Y361" s="37"/>
      <c r="Z361" s="69">
        <f t="shared" si="58"/>
        <v>0</v>
      </c>
      <c r="AA361" s="52" t="s">
        <v>148</v>
      </c>
      <c r="AB361" s="42"/>
      <c r="AC361" s="42"/>
      <c r="AD361" s="37"/>
      <c r="AE361" s="69">
        <f t="shared" si="59"/>
        <v>0</v>
      </c>
      <c r="AF361" s="52" t="s">
        <v>148</v>
      </c>
      <c r="AG361" s="42"/>
      <c r="AH361" s="42"/>
      <c r="AI361" s="37"/>
      <c r="AJ361" s="69">
        <f t="shared" si="60"/>
        <v>0</v>
      </c>
    </row>
    <row r="362" spans="2:36" x14ac:dyDescent="0.2">
      <c r="B362" s="217" t="s">
        <v>371</v>
      </c>
      <c r="C362" s="218" t="s">
        <v>368</v>
      </c>
      <c r="D362" s="30"/>
      <c r="E362" s="31"/>
      <c r="G362" s="217" t="s">
        <v>369</v>
      </c>
      <c r="H362" s="218" t="s">
        <v>368</v>
      </c>
      <c r="I362" s="30"/>
      <c r="J362" s="31"/>
      <c r="L362" s="52" t="s">
        <v>149</v>
      </c>
      <c r="M362" s="42">
        <v>2</v>
      </c>
      <c r="N362" s="42"/>
      <c r="O362" s="37"/>
      <c r="P362" s="69">
        <f t="shared" si="61"/>
        <v>2</v>
      </c>
      <c r="Q362" s="165" t="s">
        <v>149</v>
      </c>
      <c r="R362" s="42"/>
      <c r="S362" s="42"/>
      <c r="T362" s="37"/>
      <c r="U362" s="69">
        <f t="shared" si="57"/>
        <v>0</v>
      </c>
      <c r="V362" s="52" t="s">
        <v>149</v>
      </c>
      <c r="W362" s="42"/>
      <c r="X362" s="42"/>
      <c r="Y362" s="37"/>
      <c r="Z362" s="69">
        <f t="shared" si="58"/>
        <v>0</v>
      </c>
      <c r="AA362" s="52" t="s">
        <v>149</v>
      </c>
      <c r="AB362" s="42"/>
      <c r="AC362" s="42"/>
      <c r="AD362" s="37"/>
      <c r="AE362" s="69">
        <f t="shared" si="59"/>
        <v>0</v>
      </c>
      <c r="AF362" s="52" t="s">
        <v>149</v>
      </c>
      <c r="AG362" s="42"/>
      <c r="AH362" s="42"/>
      <c r="AI362" s="37"/>
      <c r="AJ362" s="69">
        <f t="shared" si="60"/>
        <v>0</v>
      </c>
    </row>
    <row r="363" spans="2:36" x14ac:dyDescent="0.2">
      <c r="B363" s="32" t="s">
        <v>361</v>
      </c>
      <c r="C363" s="219" t="s">
        <v>255</v>
      </c>
      <c r="D363" s="219" t="s">
        <v>255</v>
      </c>
      <c r="E363" s="220"/>
      <c r="G363" s="32" t="s">
        <v>361</v>
      </c>
      <c r="H363" s="219" t="s">
        <v>256</v>
      </c>
      <c r="I363" s="219" t="s">
        <v>240</v>
      </c>
      <c r="J363" s="220"/>
      <c r="L363" s="52" t="s">
        <v>142</v>
      </c>
      <c r="M363" s="42">
        <v>1</v>
      </c>
      <c r="N363" s="42"/>
      <c r="O363" s="37"/>
      <c r="P363" s="69">
        <f t="shared" si="61"/>
        <v>1</v>
      </c>
      <c r="Q363" s="165" t="s">
        <v>142</v>
      </c>
      <c r="R363" s="42"/>
      <c r="S363" s="42"/>
      <c r="T363" s="37"/>
      <c r="U363" s="69">
        <f t="shared" si="57"/>
        <v>0</v>
      </c>
      <c r="V363" s="52" t="s">
        <v>142</v>
      </c>
      <c r="W363" s="42"/>
      <c r="X363" s="42"/>
      <c r="Y363" s="37"/>
      <c r="Z363" s="69">
        <f t="shared" si="58"/>
        <v>0</v>
      </c>
      <c r="AA363" s="52" t="s">
        <v>142</v>
      </c>
      <c r="AB363" s="42"/>
      <c r="AC363" s="42"/>
      <c r="AD363" s="37"/>
      <c r="AE363" s="69">
        <f t="shared" si="59"/>
        <v>0</v>
      </c>
      <c r="AF363" s="52" t="s">
        <v>142</v>
      </c>
      <c r="AG363" s="42"/>
      <c r="AH363" s="42"/>
      <c r="AI363" s="37"/>
      <c r="AJ363" s="69">
        <f t="shared" si="60"/>
        <v>0</v>
      </c>
    </row>
    <row r="364" spans="2:36" x14ac:dyDescent="0.2">
      <c r="B364" s="32" t="s">
        <v>362</v>
      </c>
      <c r="C364" t="s">
        <v>247</v>
      </c>
      <c r="D364" t="s">
        <v>373</v>
      </c>
      <c r="E364" s="33" t="s">
        <v>367</v>
      </c>
      <c r="G364" s="32" t="s">
        <v>362</v>
      </c>
      <c r="H364" t="s">
        <v>256</v>
      </c>
      <c r="I364" t="s">
        <v>254</v>
      </c>
      <c r="J364" s="33" t="s">
        <v>367</v>
      </c>
      <c r="L364" s="52" t="s">
        <v>143</v>
      </c>
      <c r="M364" s="42"/>
      <c r="N364" s="42"/>
      <c r="O364" s="37"/>
      <c r="P364" s="69">
        <f t="shared" si="61"/>
        <v>0</v>
      </c>
      <c r="Q364" s="165" t="s">
        <v>143</v>
      </c>
      <c r="R364" s="42"/>
      <c r="S364" s="42"/>
      <c r="T364" s="37"/>
      <c r="U364" s="69">
        <f t="shared" si="57"/>
        <v>0</v>
      </c>
      <c r="V364" s="52" t="s">
        <v>143</v>
      </c>
      <c r="W364" s="42"/>
      <c r="X364" s="42"/>
      <c r="Y364" s="37"/>
      <c r="Z364" s="69">
        <f t="shared" si="58"/>
        <v>0</v>
      </c>
      <c r="AA364" s="52" t="s">
        <v>143</v>
      </c>
      <c r="AB364" s="42"/>
      <c r="AC364" s="42"/>
      <c r="AD364" s="37"/>
      <c r="AE364" s="69">
        <f t="shared" si="59"/>
        <v>0</v>
      </c>
      <c r="AF364" s="52" t="s">
        <v>143</v>
      </c>
      <c r="AG364" s="42"/>
      <c r="AH364" s="42"/>
      <c r="AI364" s="37"/>
      <c r="AJ364" s="69">
        <f t="shared" si="60"/>
        <v>0</v>
      </c>
    </row>
    <row r="365" spans="2:36" x14ac:dyDescent="0.2">
      <c r="B365" s="32" t="s">
        <v>363</v>
      </c>
      <c r="C365" t="s">
        <v>256</v>
      </c>
      <c r="D365" t="s">
        <v>255</v>
      </c>
      <c r="E365" s="33" t="s">
        <v>367</v>
      </c>
      <c r="G365" s="32" t="s">
        <v>363</v>
      </c>
      <c r="H365" t="s">
        <v>240</v>
      </c>
      <c r="I365" t="s">
        <v>256</v>
      </c>
      <c r="J365" s="33" t="s">
        <v>367</v>
      </c>
      <c r="L365" s="52" t="s">
        <v>144</v>
      </c>
      <c r="M365" s="42"/>
      <c r="N365" s="42"/>
      <c r="O365" s="37"/>
      <c r="P365" s="69">
        <f t="shared" si="61"/>
        <v>0</v>
      </c>
      <c r="Q365" s="165" t="s">
        <v>144</v>
      </c>
      <c r="R365" s="42"/>
      <c r="S365" s="42"/>
      <c r="T365" s="37"/>
      <c r="U365" s="69">
        <f t="shared" si="57"/>
        <v>0</v>
      </c>
      <c r="V365" s="52" t="s">
        <v>144</v>
      </c>
      <c r="W365" s="42"/>
      <c r="X365" s="42"/>
      <c r="Y365" s="37"/>
      <c r="Z365" s="69">
        <f t="shared" si="58"/>
        <v>0</v>
      </c>
      <c r="AA365" s="52" t="s">
        <v>144</v>
      </c>
      <c r="AB365" s="42"/>
      <c r="AC365" s="42"/>
      <c r="AD365" s="37"/>
      <c r="AE365" s="69">
        <f t="shared" si="59"/>
        <v>0</v>
      </c>
      <c r="AF365" s="52" t="s">
        <v>144</v>
      </c>
      <c r="AG365" s="42"/>
      <c r="AH365" s="42"/>
      <c r="AI365" s="37"/>
      <c r="AJ365" s="69">
        <f t="shared" si="60"/>
        <v>0</v>
      </c>
    </row>
    <row r="366" spans="2:36" x14ac:dyDescent="0.2">
      <c r="B366" s="32" t="s">
        <v>364</v>
      </c>
      <c r="C366" t="s">
        <v>367</v>
      </c>
      <c r="D366" t="s">
        <v>256</v>
      </c>
      <c r="E366" s="33" t="s">
        <v>256</v>
      </c>
      <c r="G366" s="32" t="s">
        <v>364</v>
      </c>
      <c r="H366" t="s">
        <v>367</v>
      </c>
      <c r="I366" t="s">
        <v>240</v>
      </c>
      <c r="J366" s="33" t="s">
        <v>240</v>
      </c>
      <c r="L366" s="52" t="s">
        <v>145</v>
      </c>
      <c r="M366" s="42"/>
      <c r="N366" s="42"/>
      <c r="O366" s="37"/>
      <c r="P366" s="69">
        <f t="shared" si="61"/>
        <v>0</v>
      </c>
      <c r="Q366" s="165" t="s">
        <v>145</v>
      </c>
      <c r="R366" s="42"/>
      <c r="S366" s="42"/>
      <c r="T366" s="37"/>
      <c r="U366" s="69">
        <f t="shared" si="57"/>
        <v>0</v>
      </c>
      <c r="V366" s="52" t="s">
        <v>145</v>
      </c>
      <c r="W366" s="42"/>
      <c r="X366" s="42"/>
      <c r="Y366" s="37"/>
      <c r="Z366" s="69">
        <f t="shared" si="58"/>
        <v>0</v>
      </c>
      <c r="AA366" s="52" t="s">
        <v>145</v>
      </c>
      <c r="AB366" s="42"/>
      <c r="AC366" s="42"/>
      <c r="AD366" s="37"/>
      <c r="AE366" s="69">
        <f t="shared" si="59"/>
        <v>0</v>
      </c>
      <c r="AF366" s="52" t="s">
        <v>145</v>
      </c>
      <c r="AG366" s="42"/>
      <c r="AH366" s="42"/>
      <c r="AI366" s="37"/>
      <c r="AJ366" s="69">
        <f t="shared" si="60"/>
        <v>0</v>
      </c>
    </row>
    <row r="367" spans="2:36" ht="16" thickBot="1" x14ac:dyDescent="0.25">
      <c r="B367" s="32" t="s">
        <v>365</v>
      </c>
      <c r="C367" t="s">
        <v>367</v>
      </c>
      <c r="D367" t="s">
        <v>255</v>
      </c>
      <c r="E367" s="33"/>
      <c r="G367" s="32" t="s">
        <v>365</v>
      </c>
      <c r="H367" t="s">
        <v>367</v>
      </c>
      <c r="I367" t="s">
        <v>256</v>
      </c>
      <c r="J367" s="33"/>
      <c r="L367" s="55" t="s">
        <v>146</v>
      </c>
      <c r="M367" s="56"/>
      <c r="N367" s="56"/>
      <c r="O367" s="196"/>
      <c r="P367" s="70">
        <f t="shared" si="61"/>
        <v>0</v>
      </c>
      <c r="Q367" s="166" t="s">
        <v>146</v>
      </c>
      <c r="R367" s="56"/>
      <c r="S367" s="56"/>
      <c r="T367" s="196"/>
      <c r="U367" s="70">
        <f t="shared" si="57"/>
        <v>0</v>
      </c>
      <c r="V367" s="55" t="s">
        <v>146</v>
      </c>
      <c r="W367" s="56"/>
      <c r="X367" s="56"/>
      <c r="Y367" s="196"/>
      <c r="Z367" s="70">
        <f t="shared" si="58"/>
        <v>0</v>
      </c>
      <c r="AA367" s="55" t="s">
        <v>146</v>
      </c>
      <c r="AB367" s="56"/>
      <c r="AC367" s="56"/>
      <c r="AD367" s="196"/>
      <c r="AE367" s="70">
        <f t="shared" si="59"/>
        <v>0</v>
      </c>
      <c r="AF367" s="55" t="s">
        <v>146</v>
      </c>
      <c r="AG367" s="56"/>
      <c r="AH367" s="56"/>
      <c r="AI367" s="196"/>
      <c r="AJ367" s="70">
        <f t="shared" si="60"/>
        <v>0</v>
      </c>
    </row>
    <row r="368" spans="2:36" ht="16" thickBot="1" x14ac:dyDescent="0.25">
      <c r="B368" s="34" t="s">
        <v>366</v>
      </c>
      <c r="C368" s="221" t="s">
        <v>256</v>
      </c>
      <c r="D368" s="221" t="s">
        <v>373</v>
      </c>
      <c r="E368" s="222"/>
      <c r="G368" s="34" t="s">
        <v>366</v>
      </c>
      <c r="H368" s="221" t="s">
        <v>240</v>
      </c>
      <c r="I368" s="221" t="s">
        <v>254</v>
      </c>
      <c r="J368" s="222"/>
      <c r="L368" s="168" t="s">
        <v>174</v>
      </c>
      <c r="M368" s="91"/>
      <c r="N368" s="169"/>
      <c r="O368" s="81"/>
      <c r="P368" s="82"/>
      <c r="Q368" s="80" t="s">
        <v>174</v>
      </c>
      <c r="R368" s="83"/>
      <c r="S368" s="81"/>
      <c r="T368" s="81"/>
      <c r="U368" s="82"/>
      <c r="V368" s="80" t="s">
        <v>174</v>
      </c>
      <c r="W368" s="83"/>
      <c r="X368" s="81"/>
      <c r="Y368" s="81"/>
      <c r="Z368" s="82"/>
      <c r="AA368" s="80" t="s">
        <v>174</v>
      </c>
      <c r="AB368" s="83"/>
      <c r="AC368" s="81"/>
      <c r="AD368" s="81"/>
      <c r="AE368" s="82"/>
      <c r="AF368" s="80" t="s">
        <v>174</v>
      </c>
      <c r="AG368" s="83"/>
      <c r="AH368" s="81"/>
      <c r="AI368" s="81"/>
      <c r="AJ368" s="82"/>
    </row>
    <row r="369" spans="11:36" ht="16" thickBot="1" x14ac:dyDescent="0.25">
      <c r="L369" s="71" t="s">
        <v>150</v>
      </c>
      <c r="M369">
        <f>SUM(M360:M367)</f>
        <v>13</v>
      </c>
      <c r="N369" s="33">
        <f>SUM(N360:N367)</f>
        <v>0</v>
      </c>
      <c r="O369" s="33">
        <f>SUM(O360:O367)</f>
        <v>0</v>
      </c>
      <c r="Q369" s="57" t="s">
        <v>150</v>
      </c>
      <c r="R369">
        <f>SUM(R360:R367)</f>
        <v>0</v>
      </c>
      <c r="S369" s="33">
        <f>SUM(S360:S367)</f>
        <v>0</v>
      </c>
      <c r="T369" s="33">
        <f>SUM(T360:T367)</f>
        <v>0</v>
      </c>
      <c r="V369" s="57" t="s">
        <v>150</v>
      </c>
      <c r="W369">
        <f>SUM(W360:W367)</f>
        <v>0</v>
      </c>
      <c r="X369" s="33">
        <f>SUM(X360:X367)</f>
        <v>0</v>
      </c>
      <c r="Y369" s="33">
        <f>SUM(Y360:Y367)</f>
        <v>0</v>
      </c>
      <c r="AA369" s="71" t="s">
        <v>150</v>
      </c>
      <c r="AB369">
        <f>SUM(AB360:AB367)</f>
        <v>0</v>
      </c>
      <c r="AC369" s="33">
        <f>SUM(AC360:AC367)</f>
        <v>0</v>
      </c>
      <c r="AD369" s="33">
        <f>SUM(AD360:AD367)</f>
        <v>0</v>
      </c>
      <c r="AF369" s="71" t="s">
        <v>150</v>
      </c>
      <c r="AG369">
        <f>SUM(AG360:AG367)</f>
        <v>0</v>
      </c>
      <c r="AH369" s="33">
        <f>SUM(AH360:AH367)</f>
        <v>0</v>
      </c>
      <c r="AI369" s="33">
        <f>SUM(AI360:AI367)</f>
        <v>0</v>
      </c>
    </row>
    <row r="370" spans="11:36" ht="16" thickBot="1" x14ac:dyDescent="0.25">
      <c r="L370" s="74" t="s">
        <v>172</v>
      </c>
      <c r="M370" s="96"/>
      <c r="N370" s="72">
        <v>0</v>
      </c>
      <c r="O370" s="216"/>
      <c r="P370" s="114">
        <f>M370+N370</f>
        <v>0</v>
      </c>
      <c r="Q370" s="74" t="s">
        <v>172</v>
      </c>
      <c r="R370" s="96"/>
      <c r="S370" s="72"/>
      <c r="T370" s="114">
        <f>R370+S370</f>
        <v>0</v>
      </c>
      <c r="V370" s="74" t="s">
        <v>172</v>
      </c>
      <c r="W370" s="96"/>
      <c r="X370" s="72"/>
      <c r="Y370" s="114">
        <f>W370+X370</f>
        <v>0</v>
      </c>
      <c r="AA370" s="74" t="s">
        <v>172</v>
      </c>
      <c r="AB370" s="96"/>
      <c r="AC370" s="72"/>
      <c r="AD370" s="72"/>
      <c r="AE370" s="114">
        <f>AB370+AC370</f>
        <v>0</v>
      </c>
      <c r="AF370" s="74" t="s">
        <v>172</v>
      </c>
      <c r="AG370" s="72">
        <v>0</v>
      </c>
      <c r="AH370" s="72"/>
      <c r="AI370" s="72"/>
      <c r="AJ370" s="114">
        <f>AG370+AH370</f>
        <v>0</v>
      </c>
    </row>
    <row r="371" spans="11:36" ht="16" thickBot="1" x14ac:dyDescent="0.25">
      <c r="L371" s="98" t="s">
        <v>191</v>
      </c>
      <c r="M371" s="341"/>
      <c r="N371" s="342"/>
      <c r="O371" s="343"/>
      <c r="Q371" s="98" t="s">
        <v>191</v>
      </c>
      <c r="R371" s="341"/>
      <c r="S371" s="342"/>
      <c r="T371" s="343"/>
      <c r="V371" s="98" t="s">
        <v>191</v>
      </c>
      <c r="W371" s="341"/>
      <c r="X371" s="342"/>
      <c r="Y371" s="343"/>
      <c r="AA371" s="98" t="s">
        <v>191</v>
      </c>
      <c r="AB371" s="341"/>
      <c r="AC371" s="342"/>
      <c r="AD371" s="343"/>
      <c r="AF371" s="98" t="s">
        <v>191</v>
      </c>
      <c r="AG371" s="341"/>
      <c r="AH371" s="342"/>
      <c r="AI371" s="343"/>
    </row>
    <row r="372" spans="11:36" ht="16" thickBot="1" x14ac:dyDescent="0.25"/>
    <row r="373" spans="11:36" ht="16" thickBot="1" x14ac:dyDescent="0.25">
      <c r="K373" s="61" t="s">
        <v>177</v>
      </c>
      <c r="L373" s="66" t="s">
        <v>335</v>
      </c>
      <c r="M373" s="102" t="s">
        <v>166</v>
      </c>
      <c r="N373" s="103" t="s">
        <v>171</v>
      </c>
    </row>
    <row r="374" spans="11:36" x14ac:dyDescent="0.2">
      <c r="L374" s="65" t="s">
        <v>146</v>
      </c>
      <c r="M374" s="34">
        <f>P367+T367+Y367+AD367+AJ367</f>
        <v>0</v>
      </c>
      <c r="N374" s="101">
        <f>M374*13</f>
        <v>0</v>
      </c>
    </row>
    <row r="375" spans="11:36" x14ac:dyDescent="0.2">
      <c r="L375" s="45" t="s">
        <v>145</v>
      </c>
      <c r="M375" s="37">
        <f>P366+T366+Y366+AD366+AJ366</f>
        <v>0</v>
      </c>
      <c r="N375" s="69">
        <f t="shared" ref="N375:N381" si="62">M375*13</f>
        <v>0</v>
      </c>
    </row>
    <row r="376" spans="11:36" x14ac:dyDescent="0.2">
      <c r="L376" s="45" t="s">
        <v>144</v>
      </c>
      <c r="M376" s="37">
        <f>P365+T365+Y365+AD365+AJ365</f>
        <v>0</v>
      </c>
      <c r="N376" s="69">
        <f t="shared" si="62"/>
        <v>0</v>
      </c>
    </row>
    <row r="377" spans="11:36" x14ac:dyDescent="0.2">
      <c r="L377" s="45" t="s">
        <v>143</v>
      </c>
      <c r="M377" s="37">
        <f>P364+T364+Y364+AD364+AJ364</f>
        <v>0</v>
      </c>
      <c r="N377" s="69">
        <f t="shared" si="62"/>
        <v>0</v>
      </c>
    </row>
    <row r="378" spans="11:36" x14ac:dyDescent="0.2">
      <c r="L378" s="45" t="s">
        <v>142</v>
      </c>
      <c r="M378" s="37">
        <f>P363+T363+Y363+AD363+AJ363</f>
        <v>1</v>
      </c>
      <c r="N378" s="69">
        <f t="shared" si="62"/>
        <v>13</v>
      </c>
    </row>
    <row r="379" spans="11:36" x14ac:dyDescent="0.2">
      <c r="L379" s="45" t="s">
        <v>149</v>
      </c>
      <c r="M379" s="37">
        <f>P362+T362+Y362+AD362+AJ362</f>
        <v>2</v>
      </c>
      <c r="N379" s="69">
        <f t="shared" si="62"/>
        <v>26</v>
      </c>
    </row>
    <row r="380" spans="11:36" x14ac:dyDescent="0.2">
      <c r="L380" s="45" t="s">
        <v>148</v>
      </c>
      <c r="M380" s="37">
        <f>P361+T361+Y361+AD361+AJ361</f>
        <v>4</v>
      </c>
      <c r="N380" s="69">
        <f t="shared" si="62"/>
        <v>52</v>
      </c>
    </row>
    <row r="381" spans="11:36" ht="16" thickBot="1" x14ac:dyDescent="0.25">
      <c r="L381" s="45" t="s">
        <v>141</v>
      </c>
      <c r="M381" s="37">
        <f>P360+T360+Y360+AD360+AJ360</f>
        <v>6</v>
      </c>
      <c r="N381" s="70">
        <f t="shared" si="62"/>
        <v>78</v>
      </c>
    </row>
    <row r="384" spans="11:36" ht="16" thickBot="1" x14ac:dyDescent="0.25"/>
    <row r="385" spans="11:15" ht="16" thickBot="1" x14ac:dyDescent="0.25">
      <c r="K385" s="61" t="s">
        <v>178</v>
      </c>
      <c r="L385" s="66" t="s">
        <v>335</v>
      </c>
      <c r="M385" s="67" t="s">
        <v>170</v>
      </c>
      <c r="N385" s="214" t="s">
        <v>422</v>
      </c>
    </row>
    <row r="386" spans="11:15" x14ac:dyDescent="0.2">
      <c r="L386" s="65">
        <f>M353</f>
        <v>27</v>
      </c>
      <c r="M386" s="63">
        <f>P356</f>
        <v>130</v>
      </c>
    </row>
    <row r="387" spans="11:15" x14ac:dyDescent="0.2">
      <c r="L387" s="45">
        <f>R353</f>
        <v>28</v>
      </c>
      <c r="M387" s="42">
        <f>U356</f>
        <v>0</v>
      </c>
    </row>
    <row r="388" spans="11:15" x14ac:dyDescent="0.2">
      <c r="L388" s="45">
        <f>W353</f>
        <v>29</v>
      </c>
      <c r="M388" s="42">
        <f>Z356</f>
        <v>0</v>
      </c>
    </row>
    <row r="389" spans="11:15" ht="16" thickBot="1" x14ac:dyDescent="0.25">
      <c r="L389" s="104">
        <f>AB353</f>
        <v>30</v>
      </c>
      <c r="M389" s="105">
        <f>AE356</f>
        <v>0</v>
      </c>
    </row>
    <row r="390" spans="11:15" ht="16" thickBot="1" x14ac:dyDescent="0.25">
      <c r="K390" s="354" t="s">
        <v>207</v>
      </c>
      <c r="L390" s="355"/>
      <c r="M390" s="253">
        <v>1039</v>
      </c>
      <c r="N390" s="256">
        <f>O86+S86+W86+AA86</f>
        <v>0</v>
      </c>
    </row>
    <row r="391" spans="11:15" x14ac:dyDescent="0.2">
      <c r="K391" s="356" t="s">
        <v>196</v>
      </c>
      <c r="L391" s="357"/>
      <c r="M391" s="253">
        <v>400</v>
      </c>
      <c r="N391" s="257"/>
    </row>
    <row r="392" spans="11:15" x14ac:dyDescent="0.2">
      <c r="K392" s="358" t="s">
        <v>359</v>
      </c>
      <c r="L392" s="359"/>
      <c r="M392" s="254">
        <v>1312</v>
      </c>
      <c r="N392" s="257">
        <f>O141+S141+W141+AA141+AE141</f>
        <v>45</v>
      </c>
    </row>
    <row r="393" spans="11:15" ht="16" thickBot="1" x14ac:dyDescent="0.25">
      <c r="K393" s="360" t="s">
        <v>205</v>
      </c>
      <c r="L393" s="361"/>
      <c r="M393" s="255">
        <v>1165</v>
      </c>
      <c r="N393" s="257" t="e">
        <f>O211+S211+W211+AB211+AF211</f>
        <v>#VALUE!</v>
      </c>
    </row>
    <row r="394" spans="11:15" ht="16" thickBot="1" x14ac:dyDescent="0.25">
      <c r="K394" s="352" t="s">
        <v>336</v>
      </c>
      <c r="L394" s="353"/>
      <c r="M394" s="255">
        <f>M322</f>
        <v>730</v>
      </c>
      <c r="N394" s="257">
        <f>P283+U283+Z283+AE283+AJ283</f>
        <v>0.50347222222222221</v>
      </c>
      <c r="O394" t="s">
        <v>408</v>
      </c>
    </row>
    <row r="395" spans="11:15" ht="16" thickBot="1" x14ac:dyDescent="0.25">
      <c r="K395" s="352" t="s">
        <v>421</v>
      </c>
      <c r="L395" s="353"/>
      <c r="M395" s="255">
        <f>P356+U356+Z356+AE356+AJ356</f>
        <v>130</v>
      </c>
      <c r="N395" s="258">
        <f>P355+U355+Z355+AE355+AJ355</f>
        <v>0.125</v>
      </c>
      <c r="O395" t="s">
        <v>408</v>
      </c>
    </row>
    <row r="401" customFormat="1" x14ac:dyDescent="0.2"/>
    <row r="402" customFormat="1" x14ac:dyDescent="0.2"/>
    <row r="403" customFormat="1" x14ac:dyDescent="0.2"/>
    <row r="404" customFormat="1" x14ac:dyDescent="0.2"/>
  </sheetData>
  <sortState xmlns:xlrd2="http://schemas.microsoft.com/office/spreadsheetml/2017/richdata2" ref="L32:L38">
    <sortCondition descending="1" ref="L31:L38"/>
  </sortState>
  <mergeCells count="103">
    <mergeCell ref="Y137:AA137"/>
    <mergeCell ref="Y67:Z67"/>
    <mergeCell ref="M136:O136"/>
    <mergeCell ref="Q136:S136"/>
    <mergeCell ref="U136:W136"/>
    <mergeCell ref="Y136:AB136"/>
    <mergeCell ref="AG227:AI227"/>
    <mergeCell ref="AG208:AJ208"/>
    <mergeCell ref="AB208:AE208"/>
    <mergeCell ref="W208:Z208"/>
    <mergeCell ref="R208:U208"/>
    <mergeCell ref="AG209:AI209"/>
    <mergeCell ref="W209:Y209"/>
    <mergeCell ref="AB209:AD209"/>
    <mergeCell ref="R227:T227"/>
    <mergeCell ref="W227:Y227"/>
    <mergeCell ref="AB227:AD227"/>
    <mergeCell ref="K105:L105"/>
    <mergeCell ref="K106:L106"/>
    <mergeCell ref="M85:O85"/>
    <mergeCell ref="Q85:S85"/>
    <mergeCell ref="U85:W85"/>
    <mergeCell ref="M227:O227"/>
    <mergeCell ref="Y11:AA11"/>
    <mergeCell ref="Y12:Z12"/>
    <mergeCell ref="M12:N12"/>
    <mergeCell ref="M11:O11"/>
    <mergeCell ref="Q11:S11"/>
    <mergeCell ref="Q12:R12"/>
    <mergeCell ref="U11:W11"/>
    <mergeCell ref="U12:V12"/>
    <mergeCell ref="M155:O155"/>
    <mergeCell ref="Q155:S155"/>
    <mergeCell ref="M209:O209"/>
    <mergeCell ref="R209:T209"/>
    <mergeCell ref="M208:P208"/>
    <mergeCell ref="U155:W155"/>
    <mergeCell ref="Y155:AA155"/>
    <mergeCell ref="M137:N137"/>
    <mergeCell ref="Q137:R137"/>
    <mergeCell ref="U137:V137"/>
    <mergeCell ref="AC66:AE66"/>
    <mergeCell ref="AC67:AD67"/>
    <mergeCell ref="AC85:AE85"/>
    <mergeCell ref="Y85:AA85"/>
    <mergeCell ref="M66:O66"/>
    <mergeCell ref="Q66:S66"/>
    <mergeCell ref="U66:W66"/>
    <mergeCell ref="Y66:AA66"/>
    <mergeCell ref="M67:N67"/>
    <mergeCell ref="Q67:R67"/>
    <mergeCell ref="U67:V67"/>
    <mergeCell ref="K250:L250"/>
    <mergeCell ref="K249:L249"/>
    <mergeCell ref="K248:L248"/>
    <mergeCell ref="K175:L175"/>
    <mergeCell ref="K174:L174"/>
    <mergeCell ref="K246:L246"/>
    <mergeCell ref="K247:L247"/>
    <mergeCell ref="K176:L176"/>
    <mergeCell ref="K177:L177"/>
    <mergeCell ref="K323:L323"/>
    <mergeCell ref="AG280:AJ280"/>
    <mergeCell ref="AB280:AE280"/>
    <mergeCell ref="W280:Z280"/>
    <mergeCell ref="R280:U280"/>
    <mergeCell ref="M280:P280"/>
    <mergeCell ref="AG281:AI281"/>
    <mergeCell ref="AB281:AD281"/>
    <mergeCell ref="W281:Y281"/>
    <mergeCell ref="R281:T281"/>
    <mergeCell ref="M281:O281"/>
    <mergeCell ref="AG299:AI299"/>
    <mergeCell ref="AB299:AD299"/>
    <mergeCell ref="W299:Y299"/>
    <mergeCell ref="R299:T299"/>
    <mergeCell ref="M299:O299"/>
    <mergeCell ref="K322:L322"/>
    <mergeCell ref="K321:L321"/>
    <mergeCell ref="K320:L320"/>
    <mergeCell ref="K319:L319"/>
    <mergeCell ref="K318:L318"/>
    <mergeCell ref="AB371:AD371"/>
    <mergeCell ref="AG371:AI371"/>
    <mergeCell ref="M353:O353"/>
    <mergeCell ref="R353:T353"/>
    <mergeCell ref="W353:Y353"/>
    <mergeCell ref="AB353:AD353"/>
    <mergeCell ref="AG353:AI353"/>
    <mergeCell ref="M352:P352"/>
    <mergeCell ref="R352:U352"/>
    <mergeCell ref="W352:Z352"/>
    <mergeCell ref="AB352:AE352"/>
    <mergeCell ref="AG352:AJ352"/>
    <mergeCell ref="K395:L395"/>
    <mergeCell ref="K390:L390"/>
    <mergeCell ref="K391:L391"/>
    <mergeCell ref="K392:L392"/>
    <mergeCell ref="K393:L393"/>
    <mergeCell ref="K394:L394"/>
    <mergeCell ref="M371:O371"/>
    <mergeCell ref="R371:T371"/>
    <mergeCell ref="W371:Y371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FH_25 Rehab</vt:lpstr>
      <vt:lpstr>Gym 2025</vt:lpstr>
      <vt:lpstr>Climbing_Pyramid</vt:lpstr>
      <vt:lpstr>My Climb Log Aug25</vt:lpstr>
      <vt:lpstr>My ClimbRecov24_25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Josina Bernardes</dc:creator>
  <cp:lastModifiedBy>sportsmanagementjb@gmail.com</cp:lastModifiedBy>
  <dcterms:created xsi:type="dcterms:W3CDTF">2015-06-05T18:19:34Z</dcterms:created>
  <dcterms:modified xsi:type="dcterms:W3CDTF">2026-03-05T09:48:52Z</dcterms:modified>
</cp:coreProperties>
</file>
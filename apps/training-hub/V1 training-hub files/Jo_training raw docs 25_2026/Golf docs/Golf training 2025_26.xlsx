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714" firstSheet="0" activeTab="0" autoFilterDateGrouping="1"/>
  </bookViews>
  <sheets>
    <sheet xmlns:r="http://schemas.openxmlformats.org/officeDocument/2006/relationships" name="My Bag25" sheetId="1" state="visible" r:id="rId1"/>
    <sheet xmlns:r="http://schemas.openxmlformats.org/officeDocument/2006/relationships" name="ShortGame practice_26" sheetId="2" state="visible" r:id="rId2"/>
    <sheet xmlns:r="http://schemas.openxmlformats.org/officeDocument/2006/relationships" name="Short Game training25" sheetId="3" state="visible" r:id="rId3"/>
    <sheet xmlns:r="http://schemas.openxmlformats.org/officeDocument/2006/relationships" name="Long game 25" sheetId="4" state="visible" r:id="rId4"/>
    <sheet xmlns:r="http://schemas.openxmlformats.org/officeDocument/2006/relationships" name="My Games 25" sheetId="5" state="visible" r:id="rId5"/>
    <sheet xmlns:r="http://schemas.openxmlformats.org/officeDocument/2006/relationships" name="My Analyses Jb" sheetId="6" state="visible" r:id="rId6"/>
    <sheet xmlns:r="http://schemas.openxmlformats.org/officeDocument/2006/relationships" name="Course Rating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1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Tahoma"/>
      <charset val="1"/>
      <b val="1"/>
      <color indexed="8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4" tint="-0.249977111117893"/>
      <sz val="12"/>
      <scheme val="minor"/>
    </font>
    <font>
      <name val="Calibri"/>
      <family val="2"/>
      <b val="1"/>
      <color rgb="FFFF0000"/>
      <sz val="11"/>
      <u val="single"/>
      <scheme val="minor"/>
    </font>
    <font>
      <name val="Calibri"/>
      <family val="2"/>
      <b val="1"/>
      <i val="1"/>
      <color rgb="FFFF0000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</fonts>
  <fills count="15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" fontId="0" fillId="0" borderId="1" pivotButton="0" quotePrefix="0" xfId="0"/>
    <xf numFmtId="0" fontId="0" fillId="0" borderId="2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6" fillId="0" borderId="15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1" fillId="0" borderId="18" applyAlignment="1" pivotButton="0" quotePrefix="0" xfId="0">
      <alignment vertical="center" wrapText="1"/>
    </xf>
    <xf numFmtId="0" fontId="0" fillId="0" borderId="9" applyAlignment="1" pivotButton="0" quotePrefix="0" xfId="0">
      <alignment horizontal="left" vertical="center" indent="1"/>
    </xf>
    <xf numFmtId="0" fontId="0" fillId="0" borderId="10" pivotButton="0" quotePrefix="0" xfId="0"/>
    <xf numFmtId="0" fontId="0" fillId="0" borderId="11" pivotButton="0" quotePrefix="0" xfId="0"/>
    <xf numFmtId="0" fontId="0" fillId="0" borderId="20" applyAlignment="1" pivotButton="0" quotePrefix="0" xfId="0">
      <alignment horizontal="left" vertical="center" indent="1"/>
    </xf>
    <xf numFmtId="0" fontId="0" fillId="0" borderId="21" pivotButton="0" quotePrefix="0" xfId="0"/>
    <xf numFmtId="0" fontId="0" fillId="0" borderId="22" applyAlignment="1" pivotButton="0" quotePrefix="0" xfId="0">
      <alignment horizontal="left" vertical="center" inden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3" fillId="2" borderId="26" applyAlignment="1" pivotButton="0" quotePrefix="0" xfId="0">
      <alignment horizontal="center"/>
    </xf>
    <xf numFmtId="16" fontId="0" fillId="2" borderId="7" pivotButton="0" quotePrefix="0" xfId="0"/>
    <xf numFmtId="0" fontId="3" fillId="2" borderId="27" applyAlignment="1" pivotButton="0" quotePrefix="0" xfId="0">
      <alignment horizontal="center"/>
    </xf>
    <xf numFmtId="0" fontId="3" fillId="2" borderId="28" applyAlignment="1" pivotButton="0" quotePrefix="0" xfId="0">
      <alignment horizontal="center"/>
    </xf>
    <xf numFmtId="0" fontId="3" fillId="2" borderId="29" applyAlignment="1" pivotButton="0" quotePrefix="0" xfId="0">
      <alignment horizontal="center"/>
    </xf>
    <xf numFmtId="0" fontId="0" fillId="2" borderId="6" pivotButton="0" quotePrefix="0" xfId="0"/>
    <xf numFmtId="0" fontId="0" fillId="0" borderId="8" pivotButton="0" quotePrefix="0" xfId="0"/>
    <xf numFmtId="0" fontId="7" fillId="0" borderId="0" pivotButton="0" quotePrefix="0" xfId="0"/>
    <xf numFmtId="0" fontId="6" fillId="2" borderId="9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3" pivotButton="0" quotePrefix="0" xfId="0"/>
    <xf numFmtId="0" fontId="0" fillId="0" borderId="31" pivotButton="0" quotePrefix="0" xfId="0"/>
    <xf numFmtId="0" fontId="0" fillId="0" borderId="32" pivotButton="0" quotePrefix="0" xfId="0"/>
    <xf numFmtId="0" fontId="9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applyAlignment="1" pivotButton="0" quotePrefix="0" xfId="0">
      <alignment horizontal="center"/>
    </xf>
    <xf numFmtId="0" fontId="0" fillId="3" borderId="0" pivotButton="0" quotePrefix="0" xfId="0"/>
    <xf numFmtId="14" fontId="0" fillId="0" borderId="0" applyAlignment="1" pivotButton="0" quotePrefix="0" xfId="0">
      <alignment horizontal="center"/>
    </xf>
    <xf numFmtId="14" fontId="9" fillId="0" borderId="0" applyAlignment="1" pivotButton="0" quotePrefix="0" xfId="0">
      <alignment horizontal="center"/>
    </xf>
    <xf numFmtId="0" fontId="0" fillId="0" borderId="22" pivotButton="0" quotePrefix="0" xfId="0"/>
    <xf numFmtId="0" fontId="0" fillId="0" borderId="23" applyAlignment="1" pivotButton="0" quotePrefix="0" xfId="0">
      <alignment horizontal="center"/>
    </xf>
    <xf numFmtId="0" fontId="10" fillId="0" borderId="0" pivotButton="0" quotePrefix="0" xfId="0"/>
    <xf numFmtId="0" fontId="0" fillId="4" borderId="0" pivotButton="0" quotePrefix="0" xfId="0"/>
    <xf numFmtId="17" fontId="0" fillId="5" borderId="0" pivotButton="0" quotePrefix="1" xfId="0"/>
    <xf numFmtId="17" fontId="9" fillId="5" borderId="23" applyAlignment="1" pivotButton="0" quotePrefix="1" xfId="0">
      <alignment horizontal="center"/>
    </xf>
    <xf numFmtId="0" fontId="11" fillId="0" borderId="0" pivotButton="0" quotePrefix="0" xfId="0"/>
    <xf numFmtId="17" fontId="0" fillId="5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6" borderId="5" applyAlignment="1" pivotButton="0" quotePrefix="0" xfId="0">
      <alignment horizontal="center"/>
    </xf>
    <xf numFmtId="0" fontId="0" fillId="0" borderId="34" applyAlignment="1" pivotButton="0" quotePrefix="0" xfId="0">
      <alignment horizontal="center"/>
    </xf>
    <xf numFmtId="0" fontId="0" fillId="0" borderId="34" pivotButton="0" quotePrefix="0" xfId="0"/>
    <xf numFmtId="0" fontId="3" fillId="0" borderId="34" pivotButton="0" quotePrefix="0" xfId="0"/>
    <xf numFmtId="0" fontId="12" fillId="0" borderId="20" applyAlignment="1" pivotButton="0" quotePrefix="0" xfId="0">
      <alignment horizontal="center"/>
    </xf>
    <xf numFmtId="0" fontId="0" fillId="0" borderId="35" pivotButton="0" quotePrefix="0" xfId="0"/>
    <xf numFmtId="0" fontId="0" fillId="0" borderId="36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6" borderId="38" applyAlignment="1" pivotButton="0" quotePrefix="0" xfId="0">
      <alignment horizontal="center"/>
    </xf>
    <xf numFmtId="0" fontId="13" fillId="0" borderId="9" pivotButton="0" quotePrefix="0" xfId="0"/>
    <xf numFmtId="0" fontId="9" fillId="0" borderId="20" applyAlignment="1" pivotButton="0" quotePrefix="0" xfId="0">
      <alignment horizontal="center"/>
    </xf>
    <xf numFmtId="16" fontId="0" fillId="0" borderId="36" applyAlignment="1" pivotButton="0" quotePrefix="1" xfId="0">
      <alignment horizontal="center"/>
    </xf>
    <xf numFmtId="0" fontId="0" fillId="0" borderId="38" pivotButton="0" quotePrefix="0" xfId="0"/>
    <xf numFmtId="0" fontId="0" fillId="0" borderId="20" pivotButton="0" quotePrefix="0" xfId="0"/>
    <xf numFmtId="0" fontId="3" fillId="0" borderId="38" pivotButton="0" quotePrefix="0" xfId="0"/>
    <xf numFmtId="0" fontId="0" fillId="0" borderId="39" pivotButton="0" quotePrefix="0" xfId="0"/>
    <xf numFmtId="0" fontId="0" fillId="0" borderId="15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13" fillId="0" borderId="20" pivotButton="0" quotePrefix="0" xfId="0"/>
    <xf numFmtId="0" fontId="8" fillId="0" borderId="20" pivotButton="0" quotePrefix="0" xfId="0"/>
    <xf numFmtId="0" fontId="0" fillId="0" borderId="40" pivotButton="0" quotePrefix="0" xfId="0"/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41" pivotButton="0" quotePrefix="0" xfId="0"/>
    <xf numFmtId="0" fontId="0" fillId="2" borderId="7" pivotButton="0" quotePrefix="0" xfId="0"/>
    <xf numFmtId="0" fontId="9" fillId="2" borderId="7" applyAlignment="1" pivotButton="0" quotePrefix="0" xfId="0">
      <alignment horizontal="right"/>
    </xf>
    <xf numFmtId="0" fontId="0" fillId="2" borderId="5" pivotButton="0" quotePrefix="0" xfId="0"/>
    <xf numFmtId="0" fontId="0" fillId="2" borderId="5" applyAlignment="1" pivotButton="0" quotePrefix="0" xfId="0">
      <alignment horizontal="center"/>
    </xf>
    <xf numFmtId="0" fontId="0" fillId="7" borderId="5" pivotButton="0" quotePrefix="0" xfId="0"/>
    <xf numFmtId="0" fontId="0" fillId="8" borderId="6" pivotButton="0" quotePrefix="0" xfId="0"/>
    <xf numFmtId="0" fontId="0" fillId="8" borderId="7" pivotButton="0" quotePrefix="0" xfId="0"/>
    <xf numFmtId="0" fontId="9" fillId="8" borderId="7" applyAlignment="1" pivotButton="0" quotePrefix="0" xfId="0">
      <alignment horizontal="center"/>
    </xf>
    <xf numFmtId="0" fontId="0" fillId="8" borderId="8" pivotButton="0" quotePrefix="0" xfId="0"/>
    <xf numFmtId="0" fontId="12" fillId="0" borderId="38" applyAlignment="1" pivotButton="0" quotePrefix="0" xfId="0">
      <alignment horizontal="center"/>
    </xf>
    <xf numFmtId="0" fontId="9" fillId="0" borderId="38" applyAlignment="1" pivotButton="0" quotePrefix="0" xfId="0">
      <alignment horizontal="center"/>
    </xf>
    <xf numFmtId="0" fontId="9" fillId="0" borderId="41" applyAlignment="1" pivotButton="0" quotePrefix="0" xfId="0">
      <alignment horizontal="center"/>
    </xf>
    <xf numFmtId="0" fontId="9" fillId="0" borderId="22" applyAlignment="1" pivotButton="0" quotePrefix="0" xfId="0">
      <alignment horizontal="center"/>
    </xf>
    <xf numFmtId="0" fontId="3" fillId="0" borderId="10" pivotButton="0" quotePrefix="0" xfId="0"/>
    <xf numFmtId="0" fontId="3" fillId="0" borderId="23" pivotButton="0" quotePrefix="0" xfId="0"/>
    <xf numFmtId="0" fontId="3" fillId="0" borderId="9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3" fillId="0" borderId="20" pivotButton="0" quotePrefix="0" xfId="0"/>
    <xf numFmtId="0" fontId="14" fillId="0" borderId="22" applyAlignment="1" pivotButton="0" quotePrefix="1" xfId="0">
      <alignment horizontal="center"/>
    </xf>
    <xf numFmtId="0" fontId="10" fillId="0" borderId="24" applyAlignment="1" pivotButton="0" quotePrefix="1" xfId="0">
      <alignment horizontal="right"/>
    </xf>
    <xf numFmtId="0" fontId="0" fillId="0" borderId="2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7" applyAlignment="1" pivotButton="0" quotePrefix="0" xfId="0">
      <alignment horizontal="center"/>
    </xf>
    <xf numFmtId="16" fontId="11" fillId="0" borderId="34" pivotButton="0" quotePrefix="0" xfId="0"/>
    <xf numFmtId="16" fontId="11" fillId="0" borderId="5" pivotButton="0" quotePrefix="0" xfId="0"/>
    <xf numFmtId="16" fontId="11" fillId="6" borderId="5" pivotButton="0" quotePrefix="0" xfId="0"/>
    <xf numFmtId="16" fontId="11" fillId="9" borderId="5" pivotButton="0" quotePrefix="0" xfId="0"/>
    <xf numFmtId="16" fontId="11" fillId="6" borderId="34" pivotButton="0" quotePrefix="0" xfId="0"/>
    <xf numFmtId="16" fontId="11" fillId="2" borderId="6" pivotButton="0" quotePrefix="0" xfId="0"/>
    <xf numFmtId="0" fontId="0" fillId="0" borderId="30" pivotButton="0" quotePrefix="0" xfId="0"/>
    <xf numFmtId="0" fontId="0" fillId="6" borderId="33" pivotButton="0" quotePrefix="0" xfId="0"/>
    <xf numFmtId="1" fontId="0" fillId="0" borderId="30" pivotButton="0" quotePrefix="0" xfId="0"/>
    <xf numFmtId="0" fontId="0" fillId="6" borderId="30" pivotButton="0" quotePrefix="0" xfId="0"/>
    <xf numFmtId="1" fontId="0" fillId="2" borderId="35" pivotButton="0" quotePrefix="0" xfId="0"/>
    <xf numFmtId="1" fontId="0" fillId="0" borderId="34" pivotButton="0" quotePrefix="0" xfId="0"/>
    <xf numFmtId="0" fontId="0" fillId="6" borderId="31" pivotButton="0" quotePrefix="0" xfId="0"/>
    <xf numFmtId="1" fontId="0" fillId="0" borderId="31" pivotButton="0" quotePrefix="0" xfId="0"/>
    <xf numFmtId="0" fontId="0" fillId="6" borderId="32" pivotButton="0" quotePrefix="0" xfId="0"/>
    <xf numFmtId="1" fontId="0" fillId="0" borderId="32" pivotButton="0" quotePrefix="0" xfId="0"/>
    <xf numFmtId="0" fontId="9" fillId="2" borderId="7" applyAlignment="1" pivotButton="0" quotePrefix="0" xfId="0">
      <alignment horizontal="center"/>
    </xf>
    <xf numFmtId="0" fontId="0" fillId="6" borderId="5" pivotButton="0" quotePrefix="0" xfId="0"/>
    <xf numFmtId="1" fontId="0" fillId="2" borderId="5" pivotButton="0" quotePrefix="0" xfId="0"/>
    <xf numFmtId="164" fontId="0" fillId="2" borderId="5" pivotButton="0" quotePrefix="0" xfId="0"/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right"/>
    </xf>
    <xf numFmtId="0" fontId="0" fillId="0" borderId="9" applyAlignment="1" pivotButton="0" quotePrefix="0" xfId="0">
      <alignment horizontal="left"/>
    </xf>
    <xf numFmtId="0" fontId="0" fillId="0" borderId="10" applyAlignment="1" pivotButton="0" quotePrefix="0" xfId="0">
      <alignment horizontal="left"/>
    </xf>
    <xf numFmtId="0" fontId="0" fillId="0" borderId="11" applyAlignment="1" pivotButton="0" quotePrefix="0" xfId="0">
      <alignment horizontal="left"/>
    </xf>
    <xf numFmtId="1" fontId="0" fillId="0" borderId="0" pivotButton="0" quotePrefix="0" xfId="0"/>
    <xf numFmtId="0" fontId="0" fillId="0" borderId="22" applyAlignment="1" pivotButton="0" quotePrefix="0" xfId="0">
      <alignment horizontal="left"/>
    </xf>
    <xf numFmtId="0" fontId="0" fillId="0" borderId="23" applyAlignment="1" pivotButton="0" quotePrefix="0" xfId="0">
      <alignment horizontal="left"/>
    </xf>
    <xf numFmtId="0" fontId="0" fillId="0" borderId="24" applyAlignment="1" pivotButton="0" quotePrefix="0" xfId="0">
      <alignment horizontal="left"/>
    </xf>
    <xf numFmtId="0" fontId="3" fillId="0" borderId="5" pivotButton="0" quotePrefix="0" xfId="0"/>
    <xf numFmtId="0" fontId="0" fillId="0" borderId="0" applyAlignment="1" pivotButton="0" quotePrefix="0" xfId="0">
      <alignment horizontal="right"/>
    </xf>
    <xf numFmtId="0" fontId="3" fillId="2" borderId="42" applyAlignment="1" pivotButton="0" quotePrefix="0" xfId="0">
      <alignment horizontal="center"/>
    </xf>
    <xf numFmtId="0" fontId="0" fillId="0" borderId="43" pivotButton="0" quotePrefix="0" xfId="0"/>
    <xf numFmtId="0" fontId="0" fillId="7" borderId="1" pivotButton="0" quotePrefix="0" xfId="0"/>
    <xf numFmtId="0" fontId="0" fillId="6" borderId="1" pivotButton="0" quotePrefix="0" xfId="0"/>
    <xf numFmtId="0" fontId="0" fillId="10" borderId="1" pivotButton="0" quotePrefix="0" xfId="0"/>
    <xf numFmtId="0" fontId="3" fillId="2" borderId="4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8" fillId="0" borderId="39" pivotButton="0" quotePrefix="0" xfId="0"/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0" fillId="0" borderId="45" pivotButton="0" quotePrefix="0" xfId="0"/>
    <xf numFmtId="0" fontId="0" fillId="0" borderId="18" pivotButton="0" quotePrefix="0" xfId="0"/>
    <xf numFmtId="0" fontId="8" fillId="0" borderId="1" pivotButton="0" quotePrefix="0" xfId="0"/>
    <xf numFmtId="0" fontId="8" fillId="0" borderId="2" pivotButton="0" quotePrefix="0" xfId="0"/>
    <xf numFmtId="0" fontId="7" fillId="0" borderId="43" pivotButton="0" quotePrefix="0" xfId="0"/>
    <xf numFmtId="0" fontId="7" fillId="0" borderId="2" pivotButton="0" quotePrefix="0" xfId="0"/>
    <xf numFmtId="0" fontId="7" fillId="0" borderId="46" pivotButton="0" quotePrefix="0" xfId="0"/>
    <xf numFmtId="0" fontId="0" fillId="0" borderId="4" pivotButton="0" quotePrefix="0" xfId="0"/>
    <xf numFmtId="0" fontId="8" fillId="0" borderId="4" pivotButton="0" quotePrefix="0" xfId="0"/>
    <xf numFmtId="16" fontId="0" fillId="2" borderId="6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15" pivotButton="0" quotePrefix="0" xfId="0"/>
    <xf numFmtId="0" fontId="0" fillId="0" borderId="16" pivotButton="0" quotePrefix="0" xfId="0"/>
    <xf numFmtId="0" fontId="8" fillId="0" borderId="15" pivotButton="0" quotePrefix="0" xfId="0"/>
    <xf numFmtId="0" fontId="8" fillId="0" borderId="16" pivotButton="0" quotePrefix="0" xfId="0"/>
    <xf numFmtId="0" fontId="0" fillId="0" borderId="19" pivotButton="0" quotePrefix="0" xfId="0"/>
    <xf numFmtId="0" fontId="0" fillId="6" borderId="36" pivotButton="0" quotePrefix="0" xfId="0"/>
    <xf numFmtId="0" fontId="0" fillId="10" borderId="15" pivotButton="0" quotePrefix="0" xfId="0"/>
    <xf numFmtId="0" fontId="0" fillId="6" borderId="15" pivotButton="0" quotePrefix="0" xfId="0"/>
    <xf numFmtId="0" fontId="0" fillId="7" borderId="15" pivotButton="0" quotePrefix="0" xfId="0"/>
    <xf numFmtId="0" fontId="0" fillId="7" borderId="17" pivotButton="0" quotePrefix="0" xfId="0"/>
    <xf numFmtId="164" fontId="0" fillId="0" borderId="6" pivotButton="0" quotePrefix="0" xfId="0"/>
    <xf numFmtId="164" fontId="0" fillId="0" borderId="8" pivotButton="0" quotePrefix="0" xfId="0"/>
    <xf numFmtId="0" fontId="8" fillId="0" borderId="17" pivotButton="0" quotePrefix="0" xfId="0"/>
    <xf numFmtId="0" fontId="8" fillId="0" borderId="19" pivotButton="0" quotePrefix="0" xfId="0"/>
    <xf numFmtId="0" fontId="8" fillId="0" borderId="47" pivotButton="0" quotePrefix="0" xfId="0"/>
    <xf numFmtId="0" fontId="8" fillId="0" borderId="46" pivotButton="0" quotePrefix="0" xfId="0"/>
    <xf numFmtId="0" fontId="8" fillId="0" borderId="18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164" fontId="0" fillId="2" borderId="7" applyAlignment="1" pivotButton="0" quotePrefix="0" xfId="0">
      <alignment horizontal="left"/>
    </xf>
    <xf numFmtId="16" fontId="0" fillId="14" borderId="1" pivotButton="0" quotePrefix="0" xfId="0"/>
    <xf numFmtId="0" fontId="0" fillId="0" borderId="48" applyAlignment="1" pivotButton="0" quotePrefix="0" xfId="0">
      <alignment horizontal="center"/>
    </xf>
    <xf numFmtId="0" fontId="0" fillId="0" borderId="49" applyAlignment="1" pivotButton="0" quotePrefix="0" xfId="0">
      <alignment horizontal="center"/>
    </xf>
    <xf numFmtId="0" fontId="0" fillId="0" borderId="45" applyAlignment="1" pivotButton="0" quotePrefix="0" xfId="0">
      <alignment horizontal="center"/>
    </xf>
    <xf numFmtId="0" fontId="0" fillId="0" borderId="3" pivotButton="0" quotePrefix="0" xfId="0"/>
    <xf numFmtId="0" fontId="0" fillId="0" borderId="17" pivotButton="0" quotePrefix="0" xfId="0"/>
    <xf numFmtId="20" fontId="0" fillId="0" borderId="2" pivotButton="0" quotePrefix="0" xfId="0"/>
    <xf numFmtId="16" fontId="0" fillId="0" borderId="15" pivotButton="0" quotePrefix="0" xfId="0"/>
    <xf numFmtId="20" fontId="0" fillId="14" borderId="2" pivotButton="0" quotePrefix="0" xfId="0"/>
    <xf numFmtId="0" fontId="0" fillId="14" borderId="15" pivotButton="0" quotePrefix="0" xfId="0"/>
    <xf numFmtId="0" fontId="0" fillId="14" borderId="16" pivotButton="0" quotePrefix="0" xfId="0"/>
    <xf numFmtId="0" fontId="0" fillId="14" borderId="3" pivotButton="0" quotePrefix="0" xfId="0"/>
    <xf numFmtId="0" fontId="0" fillId="14" borderId="1" applyAlignment="1" pivotButton="0" quotePrefix="0" xfId="0">
      <alignment horizontal="center" vertical="center"/>
    </xf>
    <xf numFmtId="0" fontId="0" fillId="14" borderId="2" applyAlignment="1" pivotButton="0" quotePrefix="0" xfId="0">
      <alignment horizontal="center" vertical="center"/>
    </xf>
    <xf numFmtId="0" fontId="0" fillId="14" borderId="2" pivotButton="0" quotePrefix="0" xfId="0"/>
    <xf numFmtId="0" fontId="0" fillId="14" borderId="0" pivotButton="0" quotePrefix="0" xfId="0"/>
    <xf numFmtId="0" fontId="0" fillId="14" borderId="36" pivotButton="0" quotePrefix="0" xfId="0"/>
    <xf numFmtId="0" fontId="0" fillId="14" borderId="25" pivotButton="0" quotePrefix="0" xfId="0"/>
    <xf numFmtId="0" fontId="0" fillId="14" borderId="37" pivotButton="0" quotePrefix="0" xfId="0"/>
    <xf numFmtId="0" fontId="0" fillId="0" borderId="16" applyAlignment="1" pivotButton="0" quotePrefix="0" xfId="0">
      <alignment horizontal="center" vertical="center"/>
    </xf>
    <xf numFmtId="0" fontId="0" fillId="2" borderId="1" pivotButton="0" quotePrefix="0" xfId="0"/>
    <xf numFmtId="20" fontId="0" fillId="2" borderId="2" pivotButton="0" quotePrefix="0" xfId="0"/>
    <xf numFmtId="0" fontId="0" fillId="2" borderId="36" pivotButton="0" quotePrefix="0" xfId="0"/>
    <xf numFmtId="0" fontId="0" fillId="2" borderId="25" pivotButton="0" quotePrefix="0" xfId="0"/>
    <xf numFmtId="0" fontId="0" fillId="2" borderId="43" pivotButton="0" quotePrefix="0" xfId="0"/>
    <xf numFmtId="0" fontId="0" fillId="2" borderId="53" pivotButton="0" quotePrefix="0" xfId="0"/>
    <xf numFmtId="0" fontId="0" fillId="2" borderId="16" pivotButton="0" quotePrefix="0" xfId="0"/>
    <xf numFmtId="0" fontId="0" fillId="2" borderId="45" pivotButton="0" quotePrefix="0" xfId="0"/>
    <xf numFmtId="0" fontId="0" fillId="2" borderId="22" pivotButton="0" quotePrefix="0" xfId="0"/>
    <xf numFmtId="0" fontId="0" fillId="2" borderId="54" pivotButton="0" quotePrefix="0" xfId="0"/>
    <xf numFmtId="0" fontId="0" fillId="2" borderId="18" pivotButton="0" quotePrefix="0" xfId="0"/>
    <xf numFmtId="0" fontId="0" fillId="2" borderId="19" pivotButton="0" quotePrefix="0" xfId="0"/>
    <xf numFmtId="16" fontId="0" fillId="0" borderId="0" pivotButton="0" quotePrefix="0" xfId="0"/>
    <xf numFmtId="16" fontId="0" fillId="14" borderId="0" pivotButton="0" quotePrefix="0" xfId="0"/>
    <xf numFmtId="0" fontId="0" fillId="2" borderId="44" pivotButton="0" quotePrefix="0" xfId="0"/>
    <xf numFmtId="20" fontId="0" fillId="2" borderId="29" pivotButton="0" quotePrefix="0" xfId="0"/>
    <xf numFmtId="0" fontId="0" fillId="2" borderId="55" pivotButton="0" quotePrefix="0" xfId="0"/>
    <xf numFmtId="0" fontId="0" fillId="2" borderId="20" pivotButton="0" quotePrefix="0" xfId="0"/>
    <xf numFmtId="0" fontId="0" fillId="2" borderId="56" pivotButton="0" quotePrefix="0" xfId="0"/>
    <xf numFmtId="0" fontId="0" fillId="2" borderId="0" pivotButton="0" quotePrefix="0" xfId="0"/>
    <xf numFmtId="20" fontId="0" fillId="2" borderId="43" pivotButton="0" quotePrefix="0" xfId="0"/>
    <xf numFmtId="0" fontId="0" fillId="2" borderId="57" pivotButton="0" quotePrefix="0" xfId="0"/>
    <xf numFmtId="0" fontId="0" fillId="2" borderId="58" pivotButton="0" quotePrefix="0" xfId="0"/>
    <xf numFmtId="0" fontId="0" fillId="2" borderId="3" pivotButton="0" quotePrefix="0" xfId="0"/>
    <xf numFmtId="0" fontId="0" fillId="2" borderId="12" pivotButton="0" quotePrefix="0" xfId="0"/>
    <xf numFmtId="0" fontId="0" fillId="2" borderId="13" pivotButton="0" quotePrefix="0" xfId="0"/>
    <xf numFmtId="0" fontId="0" fillId="2" borderId="14" pivotButton="0" quotePrefix="0" xfId="0"/>
    <xf numFmtId="0" fontId="0" fillId="2" borderId="15" pivotButton="0" quotePrefix="0" xfId="0"/>
    <xf numFmtId="0" fontId="0" fillId="2" borderId="17" pivotButton="0" quotePrefix="0" xfId="0"/>
    <xf numFmtId="0" fontId="0" fillId="2" borderId="2" pivotButton="0" quotePrefix="0" xfId="0"/>
    <xf numFmtId="0" fontId="0" fillId="2" borderId="37" pivotButton="0" quotePrefix="0" xfId="0"/>
    <xf numFmtId="0" fontId="0" fillId="2" borderId="6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 wrapText="1"/>
    </xf>
    <xf numFmtId="0" fontId="6" fillId="2" borderId="1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16" fontId="0" fillId="4" borderId="2" applyAlignment="1" pivotButton="0" quotePrefix="1" xfId="0">
      <alignment horizontal="center"/>
    </xf>
    <xf numFmtId="16" fontId="0" fillId="4" borderId="4" applyAlignment="1" pivotButton="0" quotePrefix="0" xfId="0">
      <alignment horizontal="center"/>
    </xf>
    <xf numFmtId="16" fontId="0" fillId="4" borderId="0" applyAlignment="1" pivotButton="0" quotePrefix="0" xfId="0">
      <alignment horizontal="center"/>
    </xf>
    <xf numFmtId="16" fontId="0" fillId="4" borderId="59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52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/>
    </xf>
    <xf numFmtId="0" fontId="0" fillId="0" borderId="51" applyAlignment="1" pivotButton="0" quotePrefix="0" xfId="0">
      <alignment horizontal="center" vertical="center"/>
    </xf>
    <xf numFmtId="0" fontId="0" fillId="14" borderId="2" applyAlignment="1" pivotButton="0" quotePrefix="0" xfId="0">
      <alignment horizontal="center" vertical="center"/>
    </xf>
    <xf numFmtId="0" fontId="0" fillId="14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0" fillId="0" borderId="9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0" fontId="0" fillId="0" borderId="2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21" applyAlignment="1" pivotButton="0" quotePrefix="0" xfId="0">
      <alignment vertical="top" wrapText="1"/>
    </xf>
    <xf numFmtId="0" fontId="0" fillId="0" borderId="22" applyAlignment="1" pivotButton="0" quotePrefix="0" xfId="0">
      <alignment vertical="top" wrapText="1"/>
    </xf>
    <xf numFmtId="0" fontId="0" fillId="0" borderId="23" applyAlignment="1" pivotButton="0" quotePrefix="0" xfId="0">
      <alignment vertical="top" wrapText="1"/>
    </xf>
    <xf numFmtId="0" fontId="0" fillId="0" borderId="24" applyAlignment="1" pivotButton="0" quotePrefix="0" xfId="0">
      <alignment vertical="top" wrapText="1"/>
    </xf>
    <xf numFmtId="14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0" fillId="0" borderId="6" applyAlignment="1" pivotButton="0" quotePrefix="0" xfId="0">
      <alignment horizontal="center"/>
    </xf>
    <xf numFmtId="1" fontId="0" fillId="0" borderId="8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55" applyAlignment="1" pivotButton="0" quotePrefix="0" xfId="0">
      <alignment horizontal="center" wrapText="1"/>
    </xf>
    <xf numFmtId="0" fontId="0" fillId="0" borderId="29" applyAlignment="1" pivotButton="0" quotePrefix="0" xfId="0">
      <alignment horizontal="center" wrapText="1"/>
    </xf>
    <xf numFmtId="0" fontId="0" fillId="2" borderId="29" pivotButton="0" quotePrefix="0" xfId="0"/>
    <xf numFmtId="0" fontId="0" fillId="2" borderId="61" pivotButton="0" quotePrefix="0" xfId="0"/>
    <xf numFmtId="0" fontId="0" fillId="2" borderId="46" pivotButton="0" quotePrefix="0" xfId="0"/>
    <xf numFmtId="0" fontId="0" fillId="0" borderId="50" pivotButton="0" quotePrefix="0" xfId="0"/>
    <xf numFmtId="0" fontId="0" fillId="0" borderId="64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30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52" pivotButton="0" quotePrefix="0" xfId="0"/>
    <xf numFmtId="0" fontId="0" fillId="0" borderId="55" pivotButton="0" quotePrefix="0" xfId="0"/>
    <xf numFmtId="0" fontId="1" fillId="0" borderId="1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/>
    </xf>
    <xf numFmtId="0" fontId="0" fillId="0" borderId="5" applyAlignment="1" pivotButton="0" quotePrefix="0" xfId="0">
      <alignment vertical="top" wrapText="1"/>
    </xf>
    <xf numFmtId="0" fontId="0" fillId="0" borderId="7" pivotButton="0" quotePrefix="0" xfId="0"/>
    <xf numFmtId="0" fontId="0" fillId="0" borderId="5" applyAlignment="1" pivotButton="0" quotePrefix="0" xfId="0">
      <alignment horizontal="center"/>
    </xf>
    <xf numFmtId="1" fontId="0" fillId="0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Josina Bernardes</author>
  </authors>
  <commentList>
    <comment ref="P5" authorId="0" shapeId="0">
      <text>
        <t>Carry</t>
      </text>
    </comment>
    <comment ref="Q5" authorId="0" shapeId="0">
      <text>
        <t>Total</t>
      </text>
    </comment>
    <comment ref="X5" authorId="0" shapeId="0">
      <text>
        <t>Carry</t>
      </text>
    </comment>
    <comment ref="Y5" authorId="0" shapeId="0">
      <text>
        <t>Total</t>
      </text>
    </comment>
  </commentList>
</comments>
</file>

<file path=xl/comments/comment2.xml><?xml version="1.0" encoding="utf-8"?>
<comments xmlns="http://schemas.openxmlformats.org/spreadsheetml/2006/main">
  <authors>
    <author>Josina Bernardes</author>
  </authors>
  <commentList>
    <comment ref="O8" authorId="0" shapeId="0">
      <text>
        <t>1 shank</t>
      </text>
    </comment>
    <comment ref="U8" authorId="0" shapeId="0">
      <text>
        <t xml:space="preserve">+-1m
</t>
      </text>
    </comment>
    <comment ref="V8" authorId="0" shapeId="0">
      <text>
        <t>2-6m</t>
      </text>
    </comment>
    <comment ref="F16" authorId="0" shapeId="0">
      <text>
        <t>Garmin: 30.8
NG: 27.7</t>
      </text>
    </comment>
  </commentList>
</comments>
</file>

<file path=xl/comments/comment3.xml><?xml version="1.0" encoding="utf-8"?>
<comments xmlns="http://schemas.openxmlformats.org/spreadsheetml/2006/main">
  <authors>
    <author>Josina Bernardes</author>
  </authors>
  <commentList>
    <comment ref="L7" authorId="0" shapeId="0">
      <text>
        <t>Inside a Putt
(inside 1m)</t>
      </text>
    </comment>
    <comment ref="L10" authorId="0" shapeId="0">
      <text>
        <t>N - S - E - W
diferent slopes</t>
      </text>
    </comment>
  </commentList>
</comments>
</file>

<file path=xl/comments/comment4.xml><?xml version="1.0" encoding="utf-8"?>
<comments xmlns="http://schemas.openxmlformats.org/spreadsheetml/2006/main">
  <authors>
    <author>Josina Bernardes</author>
  </authors>
  <commentList>
    <comment ref="CR9" authorId="0" shapeId="0">
      <text>
        <t>was 2, but think was wrong</t>
      </text>
    </comment>
    <comment ref="DG9" authorId="0" shapeId="0">
      <text>
        <t>was 2, but think was wrong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E47"/>
  <sheetViews>
    <sheetView tabSelected="1" topLeftCell="O12" zoomScale="96" zoomScaleNormal="115" workbookViewId="0">
      <selection activeCell="U28" sqref="U28"/>
    </sheetView>
  </sheetViews>
  <sheetFormatPr baseColWidth="8" defaultRowHeight="14.5"/>
  <cols>
    <col width="9.81640625" customWidth="1" min="1" max="1"/>
    <col width="8.6328125" bestFit="1" customWidth="1" min="5" max="5"/>
    <col width="18.453125" bestFit="1" customWidth="1" min="13" max="13"/>
    <col width="7.08984375" bestFit="1" customWidth="1" min="15" max="15"/>
    <col width="9.54296875" bestFit="1" customWidth="1" min="18" max="18"/>
    <col width="18.453125" bestFit="1" customWidth="1" min="20" max="20"/>
    <col width="7.08984375" bestFit="1" customWidth="1" min="23" max="23"/>
    <col width="9.54296875" bestFit="1" customWidth="1" min="26" max="26"/>
    <col width="18.453125" bestFit="1" customWidth="1" min="28" max="28"/>
  </cols>
  <sheetData>
    <row r="2" ht="18.5" customHeight="1">
      <c r="A2" s="12" t="inlineStr">
        <is>
          <t>My bag 2025</t>
        </is>
      </c>
    </row>
    <row r="3" ht="15" customHeight="1" thickBot="1"/>
    <row r="4" ht="15" customHeight="1" thickBot="1">
      <c r="B4" s="34" t="inlineStr">
        <is>
          <t>Date</t>
        </is>
      </c>
      <c r="C4" s="35" t="inlineStr">
        <is>
          <t>Goal:</t>
        </is>
      </c>
      <c r="D4" s="184" t="n">
        <v>20</v>
      </c>
      <c r="E4" s="36" t="inlineStr">
        <is>
          <t>Hcp: 52.8</t>
        </is>
      </c>
      <c r="F4" s="34" t="inlineStr">
        <is>
          <t>Date</t>
        </is>
      </c>
      <c r="G4" s="35" t="inlineStr">
        <is>
          <t>Goal:</t>
        </is>
      </c>
      <c r="H4" s="184" t="n">
        <v>20</v>
      </c>
      <c r="I4" s="36" t="inlineStr">
        <is>
          <t>Hcp: 44.6</t>
        </is>
      </c>
      <c r="J4" s="34" t="inlineStr">
        <is>
          <t>Date</t>
        </is>
      </c>
      <c r="K4" s="35" t="inlineStr">
        <is>
          <t>Goal:</t>
        </is>
      </c>
      <c r="L4" s="184" t="n">
        <v>20</v>
      </c>
      <c r="M4" s="36" t="inlineStr">
        <is>
          <t>Hcp: 44.6</t>
        </is>
      </c>
      <c r="P4" s="34" t="inlineStr">
        <is>
          <t>Date</t>
        </is>
      </c>
      <c r="Q4" s="35" t="inlineStr">
        <is>
          <t>Goal:</t>
        </is>
      </c>
      <c r="R4" s="35" t="inlineStr">
        <is>
          <t>Goal:</t>
        </is>
      </c>
      <c r="S4" s="184" t="n">
        <v>20</v>
      </c>
      <c r="T4" s="36" t="inlineStr">
        <is>
          <t>Hcp: 44.6</t>
        </is>
      </c>
      <c r="X4" s="34" t="inlineStr">
        <is>
          <t>Date</t>
        </is>
      </c>
      <c r="Y4" s="35" t="inlineStr">
        <is>
          <t>Goal:</t>
        </is>
      </c>
      <c r="Z4" s="184" t="n">
        <v>20</v>
      </c>
      <c r="AA4" s="36" t="inlineStr">
        <is>
          <t>Hcp: 27.6</t>
        </is>
      </c>
      <c r="AB4" s="145" t="inlineStr">
        <is>
          <t>Direction:</t>
        </is>
      </c>
    </row>
    <row r="5" ht="15" customHeight="1" thickBot="1">
      <c r="A5" s="30" t="inlineStr">
        <is>
          <t>Clubs</t>
        </is>
      </c>
      <c r="B5" s="31" t="n">
        <v>45929</v>
      </c>
      <c r="C5" s="32" t="inlineStr">
        <is>
          <t>Total</t>
        </is>
      </c>
      <c r="D5" s="33" t="inlineStr">
        <is>
          <t>Goal</t>
        </is>
      </c>
      <c r="E5" s="30" t="inlineStr">
        <is>
          <t>Clubs</t>
        </is>
      </c>
      <c r="F5" s="31" t="n">
        <v>45929</v>
      </c>
      <c r="G5" s="32" t="inlineStr">
        <is>
          <t>Total</t>
        </is>
      </c>
      <c r="H5" s="33" t="inlineStr">
        <is>
          <t>Goal</t>
        </is>
      </c>
      <c r="I5" s="30" t="inlineStr">
        <is>
          <t>Clubs</t>
        </is>
      </c>
      <c r="J5" s="31" t="n">
        <v>45963</v>
      </c>
      <c r="K5" s="32" t="inlineStr">
        <is>
          <t>Total</t>
        </is>
      </c>
      <c r="L5" s="140" t="inlineStr">
        <is>
          <t>Goal</t>
        </is>
      </c>
      <c r="M5" s="146" t="inlineStr">
        <is>
          <t>AVG: Center-right</t>
        </is>
      </c>
      <c r="N5" s="30" t="inlineStr">
        <is>
          <t>Clubs</t>
        </is>
      </c>
      <c r="O5" s="150" t="inlineStr">
        <is>
          <t>Brand</t>
        </is>
      </c>
      <c r="P5" s="160" t="n">
        <v>45994</v>
      </c>
      <c r="Q5" s="33" t="inlineStr">
        <is>
          <t>Total</t>
        </is>
      </c>
      <c r="R5" s="150" t="inlineStr">
        <is>
          <t>Goal Carry</t>
        </is>
      </c>
      <c r="S5" s="140" t="inlineStr">
        <is>
          <t>Goal Total</t>
        </is>
      </c>
      <c r="T5" s="146" t="inlineStr">
        <is>
          <t>AVG: Center-right</t>
        </is>
      </c>
      <c r="V5" s="30" t="inlineStr">
        <is>
          <t>Clubs</t>
        </is>
      </c>
      <c r="W5" s="150" t="inlineStr">
        <is>
          <t>Brand</t>
        </is>
      </c>
      <c r="X5" s="160" t="n">
        <v>46023</v>
      </c>
      <c r="Y5" s="33" t="inlineStr">
        <is>
          <t>Total</t>
        </is>
      </c>
      <c r="Z5" s="150" t="inlineStr">
        <is>
          <t>Goal Carry</t>
        </is>
      </c>
      <c r="AA5" s="140" t="inlineStr">
        <is>
          <t>Goal Total</t>
        </is>
      </c>
      <c r="AB5" s="146" t="inlineStr">
        <is>
          <t>AVG: Center-right</t>
        </is>
      </c>
    </row>
    <row r="6">
      <c r="A6" s="29" t="inlineStr">
        <is>
          <t>Drive</t>
        </is>
      </c>
      <c r="B6" s="29" t="n"/>
      <c r="C6" s="29" t="n"/>
      <c r="D6" s="29" t="inlineStr">
        <is>
          <t>160-175</t>
        </is>
      </c>
      <c r="E6" s="29" t="inlineStr">
        <is>
          <t>Drive</t>
        </is>
      </c>
      <c r="F6" s="29" t="n"/>
      <c r="G6" s="29" t="n"/>
      <c r="H6" s="29" t="inlineStr">
        <is>
          <t>160-175</t>
        </is>
      </c>
      <c r="I6" s="29" t="inlineStr">
        <is>
          <t>Drive</t>
        </is>
      </c>
      <c r="J6" s="29" t="n"/>
      <c r="K6" s="29" t="n"/>
      <c r="L6" s="141" t="inlineStr">
        <is>
          <t>160-175</t>
        </is>
      </c>
      <c r="M6" s="29" t="n"/>
      <c r="N6" s="29" t="inlineStr">
        <is>
          <t>Drive</t>
        </is>
      </c>
      <c r="O6" s="155" t="inlineStr">
        <is>
          <t>Spalding</t>
        </is>
      </c>
      <c r="P6" s="161" t="n">
        <v>93</v>
      </c>
      <c r="Q6" s="162" t="n">
        <v>128.3</v>
      </c>
      <c r="R6" s="151" t="inlineStr">
        <is>
          <t>137-151</t>
        </is>
      </c>
      <c r="S6" s="141" t="inlineStr">
        <is>
          <t>146-165</t>
        </is>
      </c>
      <c r="T6" s="29" t="inlineStr">
        <is>
          <t>C 30% R 60%</t>
        </is>
      </c>
      <c r="V6" s="29" t="inlineStr">
        <is>
          <t>Drive</t>
        </is>
      </c>
      <c r="W6" s="155" t="inlineStr">
        <is>
          <t>Spalding</t>
        </is>
      </c>
      <c r="X6" s="161" t="n"/>
      <c r="Y6" s="162" t="n"/>
      <c r="Z6" s="151" t="inlineStr">
        <is>
          <t>137-151</t>
        </is>
      </c>
      <c r="AA6" s="141" t="inlineStr">
        <is>
          <t>146-165</t>
        </is>
      </c>
      <c r="AB6" s="29" t="inlineStr">
        <is>
          <t>C 30% R 60%</t>
        </is>
      </c>
      <c r="AD6" s="45" t="n">
        <v>89</v>
      </c>
      <c r="AE6" s="23" t="n">
        <v>70</v>
      </c>
    </row>
    <row r="7">
      <c r="A7" s="7" t="inlineStr">
        <is>
          <t>3w</t>
        </is>
      </c>
      <c r="B7" s="7" t="n"/>
      <c r="C7" s="7" t="n"/>
      <c r="D7" s="7" t="n"/>
      <c r="E7" s="7" t="inlineStr">
        <is>
          <t>3w</t>
        </is>
      </c>
      <c r="F7" s="7" t="n"/>
      <c r="G7" s="7" t="n"/>
      <c r="H7" s="7" t="n"/>
      <c r="I7" s="7" t="inlineStr">
        <is>
          <t>7h V2</t>
        </is>
      </c>
      <c r="J7" s="143" t="n">
        <v>109</v>
      </c>
      <c r="K7" s="7" t="n">
        <v>133</v>
      </c>
      <c r="L7" s="40" t="inlineStr">
        <is>
          <t>125-130</t>
        </is>
      </c>
      <c r="M7" s="7" t="inlineStr">
        <is>
          <t>L 17% - C 50%  R 33%</t>
        </is>
      </c>
      <c r="N7" s="7" t="inlineStr">
        <is>
          <t>3 wood</t>
        </is>
      </c>
      <c r="O7" s="156" t="inlineStr">
        <is>
          <t>Spalding</t>
        </is>
      </c>
      <c r="P7" s="163" t="n">
        <v>96</v>
      </c>
      <c r="Q7" s="164" t="n">
        <v>129</v>
      </c>
      <c r="R7" s="158" t="inlineStr">
        <is>
          <t>123-137</t>
        </is>
      </c>
      <c r="S7" s="40" t="inlineStr">
        <is>
          <t>133-146</t>
        </is>
      </c>
      <c r="T7" s="7" t="inlineStr">
        <is>
          <t>L 17% C83%</t>
        </is>
      </c>
      <c r="V7" s="7" t="inlineStr">
        <is>
          <t>3 wood</t>
        </is>
      </c>
      <c r="W7" s="156" t="inlineStr">
        <is>
          <t>Spalding</t>
        </is>
      </c>
      <c r="X7" s="163" t="n"/>
      <c r="Y7" s="164" t="n"/>
      <c r="Z7" s="158" t="inlineStr">
        <is>
          <t>123-137</t>
        </is>
      </c>
      <c r="AA7" s="40" t="inlineStr">
        <is>
          <t>133-146</t>
        </is>
      </c>
      <c r="AB7" s="7" t="inlineStr">
        <is>
          <t>L 17% C83%</t>
        </is>
      </c>
      <c r="AD7" s="74" t="n">
        <v>82</v>
      </c>
      <c r="AE7" s="25" t="n">
        <v>129</v>
      </c>
    </row>
    <row r="8">
      <c r="A8" s="7" t="inlineStr">
        <is>
          <t>5w</t>
        </is>
      </c>
      <c r="B8" s="7" t="n"/>
      <c r="C8" s="7" t="n"/>
      <c r="D8" s="7" t="inlineStr">
        <is>
          <t>140-150</t>
        </is>
      </c>
      <c r="E8" s="7" t="inlineStr">
        <is>
          <t>5w</t>
        </is>
      </c>
      <c r="F8" s="7" t="n"/>
      <c r="G8" s="7" t="n"/>
      <c r="H8" s="7" t="inlineStr">
        <is>
          <t>140-150</t>
        </is>
      </c>
      <c r="I8" s="7" t="inlineStr">
        <is>
          <t>5w</t>
        </is>
      </c>
      <c r="J8" s="144" t="n">
        <v>98.8</v>
      </c>
      <c r="K8" s="7" t="n">
        <v>122.4</v>
      </c>
      <c r="L8" s="40" t="inlineStr">
        <is>
          <t>140-150</t>
        </is>
      </c>
      <c r="M8" s="7" t="inlineStr">
        <is>
          <t>L 25%-C 62% R 12%</t>
        </is>
      </c>
      <c r="N8" s="7" t="inlineStr">
        <is>
          <t>5 wood</t>
        </is>
      </c>
      <c r="O8" s="156" t="inlineStr">
        <is>
          <t>Cobra</t>
        </is>
      </c>
      <c r="P8" s="163" t="n">
        <v>105</v>
      </c>
      <c r="Q8" s="164" t="n">
        <v>140</v>
      </c>
      <c r="R8" s="158" t="inlineStr">
        <is>
          <t>114-128</t>
        </is>
      </c>
      <c r="S8" s="40" t="inlineStr">
        <is>
          <t>124-137</t>
        </is>
      </c>
      <c r="T8" s="7" t="inlineStr">
        <is>
          <t>L 23&amp; C62% R16%</t>
        </is>
      </c>
      <c r="V8" s="7" t="inlineStr">
        <is>
          <t>5 wood</t>
        </is>
      </c>
      <c r="W8" s="156" t="inlineStr">
        <is>
          <t>Cobra</t>
        </is>
      </c>
      <c r="X8" s="163" t="n"/>
      <c r="Y8" s="164" t="n"/>
      <c r="Z8" s="158" t="inlineStr">
        <is>
          <t>114-128</t>
        </is>
      </c>
      <c r="AA8" s="40" t="inlineStr">
        <is>
          <t>124-137</t>
        </is>
      </c>
      <c r="AB8" s="7" t="inlineStr">
        <is>
          <t>L 23&amp; C62% R16%</t>
        </is>
      </c>
      <c r="AD8" s="74" t="n">
        <v>107</v>
      </c>
      <c r="AE8" s="25" t="n">
        <v>118</v>
      </c>
    </row>
    <row r="9">
      <c r="A9" s="7" t="inlineStr">
        <is>
          <t>7h</t>
        </is>
      </c>
      <c r="B9" s="7" t="n"/>
      <c r="C9" s="7" t="n"/>
      <c r="D9" s="7" t="inlineStr">
        <is>
          <t>125-130</t>
        </is>
      </c>
      <c r="E9" s="7" t="inlineStr">
        <is>
          <t>7h</t>
        </is>
      </c>
      <c r="F9" s="7" t="n"/>
      <c r="G9" s="7" t="n"/>
      <c r="H9" s="7" t="inlineStr">
        <is>
          <t>125-130</t>
        </is>
      </c>
      <c r="I9" s="7" t="inlineStr">
        <is>
          <t>7h</t>
        </is>
      </c>
      <c r="J9" s="144" t="n">
        <v>94.7</v>
      </c>
      <c r="K9" s="7" t="n">
        <v>121.4</v>
      </c>
      <c r="L9" s="40" t="inlineStr">
        <is>
          <t>125-130</t>
        </is>
      </c>
      <c r="M9" s="7" t="inlineStr">
        <is>
          <t>L 17% C-R 67%</t>
        </is>
      </c>
      <c r="N9" s="7" t="inlineStr">
        <is>
          <t>4 hybrid</t>
        </is>
      </c>
      <c r="O9" s="156" t="inlineStr">
        <is>
          <t>Spalding</t>
        </is>
      </c>
      <c r="P9" s="163" t="n">
        <v>101</v>
      </c>
      <c r="Q9" s="164" t="n">
        <v>133</v>
      </c>
      <c r="R9" s="158" t="inlineStr">
        <is>
          <t>110-123</t>
        </is>
      </c>
      <c r="S9" s="40" t="inlineStr">
        <is>
          <t>119-133</t>
        </is>
      </c>
      <c r="T9" s="7" t="inlineStr">
        <is>
          <t>C 66% R 33%</t>
        </is>
      </c>
      <c r="V9" s="7" t="inlineStr">
        <is>
          <t>4 hybrid</t>
        </is>
      </c>
      <c r="W9" s="156" t="inlineStr">
        <is>
          <t>Spalding</t>
        </is>
      </c>
      <c r="X9" s="163" t="n"/>
      <c r="Y9" s="164" t="n"/>
      <c r="Z9" s="158" t="inlineStr">
        <is>
          <t>110-123</t>
        </is>
      </c>
      <c r="AA9" s="40" t="inlineStr">
        <is>
          <t>119-133</t>
        </is>
      </c>
      <c r="AB9" s="7" t="inlineStr">
        <is>
          <t>C 66% R 33%</t>
        </is>
      </c>
      <c r="AD9" s="74" t="n">
        <v>97</v>
      </c>
      <c r="AE9" s="25" t="n">
        <v>140</v>
      </c>
    </row>
    <row r="10">
      <c r="A10" s="7" t="inlineStr">
        <is>
          <t>5i</t>
        </is>
      </c>
      <c r="B10" s="7" t="n"/>
      <c r="C10" s="7" t="n"/>
      <c r="D10" s="7" t="inlineStr">
        <is>
          <t>115-120</t>
        </is>
      </c>
      <c r="E10" s="7" t="inlineStr">
        <is>
          <t>5i</t>
        </is>
      </c>
      <c r="F10" s="7" t="n"/>
      <c r="G10" s="7" t="n"/>
      <c r="H10" s="7" t="inlineStr">
        <is>
          <t>115-120</t>
        </is>
      </c>
      <c r="I10" s="7" t="inlineStr">
        <is>
          <t>5i</t>
        </is>
      </c>
      <c r="J10" s="144" t="n">
        <v>80.8</v>
      </c>
      <c r="K10" s="7" t="n">
        <v>104.2</v>
      </c>
      <c r="L10" s="40" t="inlineStr">
        <is>
          <t>115-120</t>
        </is>
      </c>
      <c r="M10" s="7" t="inlineStr">
        <is>
          <t>C 18% R 82%</t>
        </is>
      </c>
      <c r="N10" s="7" t="inlineStr">
        <is>
          <t>5i</t>
        </is>
      </c>
      <c r="O10" s="156" t="inlineStr">
        <is>
          <t>500inesis</t>
        </is>
      </c>
      <c r="P10" s="163" t="n">
        <v>106</v>
      </c>
      <c r="Q10" s="164" t="n">
        <v>130</v>
      </c>
      <c r="R10" s="158" t="inlineStr">
        <is>
          <t>101-110</t>
        </is>
      </c>
      <c r="S10" s="40" t="inlineStr">
        <is>
          <t>110-119</t>
        </is>
      </c>
      <c r="T10" s="7" t="inlineStr">
        <is>
          <t>C67% R33%</t>
        </is>
      </c>
      <c r="V10" s="7" t="inlineStr">
        <is>
          <t>5i</t>
        </is>
      </c>
      <c r="W10" s="156" t="inlineStr">
        <is>
          <t>500inesis</t>
        </is>
      </c>
      <c r="X10" s="163" t="n"/>
      <c r="Y10" s="164" t="n"/>
      <c r="Z10" s="158" t="inlineStr">
        <is>
          <t>101-110</t>
        </is>
      </c>
      <c r="AA10" s="40" t="inlineStr">
        <is>
          <t>110-119</t>
        </is>
      </c>
      <c r="AB10" s="7" t="inlineStr">
        <is>
          <t>C67% R33%</t>
        </is>
      </c>
      <c r="AD10" s="74" t="n">
        <v>100</v>
      </c>
      <c r="AE10" s="25" t="n">
        <v>138</v>
      </c>
    </row>
    <row r="11">
      <c r="A11" s="7" t="inlineStr">
        <is>
          <t>7i</t>
        </is>
      </c>
      <c r="B11" s="142" t="n">
        <v>94</v>
      </c>
      <c r="C11" s="7" t="n">
        <v>113</v>
      </c>
      <c r="D11" s="7" t="inlineStr">
        <is>
          <t>80-105</t>
        </is>
      </c>
      <c r="E11" s="7" t="inlineStr">
        <is>
          <t>7i</t>
        </is>
      </c>
      <c r="F11" s="142" t="n">
        <v>94</v>
      </c>
      <c r="G11" s="7" t="n">
        <v>113</v>
      </c>
      <c r="H11" s="7" t="inlineStr">
        <is>
          <t>80-105</t>
        </is>
      </c>
      <c r="I11" s="7" t="inlineStr">
        <is>
          <t>7i</t>
        </is>
      </c>
      <c r="J11" s="143" t="n">
        <v>88.40000000000001</v>
      </c>
      <c r="K11" s="7" t="n">
        <v>102</v>
      </c>
      <c r="L11" s="40" t="inlineStr">
        <is>
          <t>80-105</t>
        </is>
      </c>
      <c r="M11" s="7" t="inlineStr">
        <is>
          <t>C 8% R 92%</t>
        </is>
      </c>
      <c r="N11" s="7" t="inlineStr">
        <is>
          <t>6i</t>
        </is>
      </c>
      <c r="O11" s="156" t="inlineStr">
        <is>
          <t>Spalding</t>
        </is>
      </c>
      <c r="P11" s="163" t="n">
        <v>82</v>
      </c>
      <c r="Q11" s="164" t="n">
        <v>94</v>
      </c>
      <c r="R11" s="158" t="inlineStr">
        <is>
          <t>91-101</t>
        </is>
      </c>
      <c r="S11" s="40" t="inlineStr">
        <is>
          <t>101-110</t>
        </is>
      </c>
      <c r="T11" s="7" t="inlineStr">
        <is>
          <t>L 17% C 17% R 67%</t>
        </is>
      </c>
      <c r="V11" s="7" t="inlineStr">
        <is>
          <t>6i</t>
        </is>
      </c>
      <c r="W11" s="156" t="inlineStr">
        <is>
          <t>Spalding</t>
        </is>
      </c>
      <c r="X11" s="163" t="n"/>
      <c r="Y11" s="164" t="n"/>
      <c r="Z11" s="158" t="inlineStr">
        <is>
          <t>91-101</t>
        </is>
      </c>
      <c r="AA11" s="40" t="inlineStr">
        <is>
          <t>101-110</t>
        </is>
      </c>
      <c r="AB11" s="7" t="inlineStr">
        <is>
          <t>L 17% C 17% R 67%</t>
        </is>
      </c>
      <c r="AD11" s="74" t="n">
        <v>105</v>
      </c>
      <c r="AE11" s="25" t="n">
        <v>132</v>
      </c>
    </row>
    <row r="12">
      <c r="A12" s="7" t="inlineStr">
        <is>
          <t>9i</t>
        </is>
      </c>
      <c r="B12" s="142" t="n">
        <v>80</v>
      </c>
      <c r="C12" s="7" t="n">
        <v>97</v>
      </c>
      <c r="D12" s="7" t="inlineStr">
        <is>
          <t>65-90</t>
        </is>
      </c>
      <c r="E12" s="7" t="inlineStr">
        <is>
          <t>9i</t>
        </is>
      </c>
      <c r="F12" s="142" t="n">
        <v>80</v>
      </c>
      <c r="G12" s="7" t="n">
        <v>97</v>
      </c>
      <c r="H12" s="7" t="inlineStr">
        <is>
          <t>65-90</t>
        </is>
      </c>
      <c r="I12" s="7" t="inlineStr">
        <is>
          <t>9i</t>
        </is>
      </c>
      <c r="J12" s="142" t="n">
        <v>71</v>
      </c>
      <c r="K12" s="7" t="n">
        <v>92.3</v>
      </c>
      <c r="L12" s="40" t="inlineStr">
        <is>
          <t>65-90</t>
        </is>
      </c>
      <c r="M12" s="7" t="inlineStr">
        <is>
          <t>C 18% R 82%</t>
        </is>
      </c>
      <c r="N12" s="7" t="inlineStr">
        <is>
          <t>7i</t>
        </is>
      </c>
      <c r="O12" s="156" t="inlineStr">
        <is>
          <t>Spalding</t>
        </is>
      </c>
      <c r="P12" s="163" t="n">
        <v>91.09999999999999</v>
      </c>
      <c r="Q12" s="164" t="n">
        <v>104.7</v>
      </c>
      <c r="R12" s="158" t="inlineStr">
        <is>
          <t>82-91</t>
        </is>
      </c>
      <c r="S12" s="40" t="inlineStr">
        <is>
          <t>87-101</t>
        </is>
      </c>
      <c r="T12" s="7" t="inlineStr">
        <is>
          <t>L 17% C 17% R 67%</t>
        </is>
      </c>
      <c r="V12" s="7" t="inlineStr">
        <is>
          <t>7i</t>
        </is>
      </c>
      <c r="W12" s="156" t="inlineStr">
        <is>
          <t>Spalding</t>
        </is>
      </c>
      <c r="X12" s="163" t="n"/>
      <c r="Y12" s="164" t="n"/>
      <c r="Z12" s="158" t="inlineStr">
        <is>
          <t>82-91</t>
        </is>
      </c>
      <c r="AA12" s="40" t="inlineStr">
        <is>
          <t>87-101</t>
        </is>
      </c>
      <c r="AB12" s="7" t="inlineStr">
        <is>
          <t>L 17% C 17% R 67%</t>
        </is>
      </c>
      <c r="AD12" s="74" t="n">
        <v>84</v>
      </c>
      <c r="AE12" s="25" t="n">
        <v>136</v>
      </c>
    </row>
    <row r="13">
      <c r="A13" s="7" t="inlineStr">
        <is>
          <t>Pw</t>
        </is>
      </c>
      <c r="B13" s="142" t="n">
        <v>68</v>
      </c>
      <c r="C13" s="7" t="n">
        <v>90</v>
      </c>
      <c r="D13" s="7" t="inlineStr">
        <is>
          <t>55-75</t>
        </is>
      </c>
      <c r="E13" s="7" t="inlineStr">
        <is>
          <t>Pw</t>
        </is>
      </c>
      <c r="F13" s="142" t="n">
        <v>68</v>
      </c>
      <c r="G13" s="7" t="n">
        <v>90</v>
      </c>
      <c r="H13" s="7" t="inlineStr">
        <is>
          <t>55-75</t>
        </is>
      </c>
      <c r="I13" s="7" t="inlineStr">
        <is>
          <t>Pw</t>
        </is>
      </c>
      <c r="J13" s="142" t="n">
        <v>71</v>
      </c>
      <c r="K13" s="7" t="n">
        <v>89.2</v>
      </c>
      <c r="L13" s="40" t="inlineStr">
        <is>
          <t>55-75</t>
        </is>
      </c>
      <c r="M13" s="7" t="inlineStr">
        <is>
          <t>C 8% R 92%</t>
        </is>
      </c>
      <c r="N13" s="7" t="inlineStr">
        <is>
          <t>8i</t>
        </is>
      </c>
      <c r="O13" s="156" t="inlineStr">
        <is>
          <t>Spalding</t>
        </is>
      </c>
      <c r="P13" s="163" t="n">
        <v>87</v>
      </c>
      <c r="Q13" s="164" t="n">
        <v>102</v>
      </c>
      <c r="R13" s="158" t="inlineStr">
        <is>
          <t>73-82</t>
        </is>
      </c>
      <c r="S13" s="40" t="inlineStr">
        <is>
          <t>78-87</t>
        </is>
      </c>
      <c r="T13" s="7" t="inlineStr">
        <is>
          <t>L 17% C17% R67%</t>
        </is>
      </c>
      <c r="V13" s="7" t="inlineStr">
        <is>
          <t>8i</t>
        </is>
      </c>
      <c r="W13" s="156" t="inlineStr">
        <is>
          <t>Spalding</t>
        </is>
      </c>
      <c r="X13" s="163" t="n"/>
      <c r="Y13" s="164" t="n"/>
      <c r="Z13" s="158" t="inlineStr">
        <is>
          <t>73-82</t>
        </is>
      </c>
      <c r="AA13" s="40" t="inlineStr">
        <is>
          <t>78-87</t>
        </is>
      </c>
      <c r="AB13" s="7" t="inlineStr">
        <is>
          <t>L 17% C17% R67%</t>
        </is>
      </c>
      <c r="AD13" s="74" t="n">
        <v>104</v>
      </c>
      <c r="AE13" s="25" t="n">
        <v>127</v>
      </c>
    </row>
    <row r="14" ht="15" customHeight="1" thickBot="1">
      <c r="A14" s="7" t="inlineStr">
        <is>
          <t>Sw 56º</t>
        </is>
      </c>
      <c r="B14" s="142" t="n">
        <v>53</v>
      </c>
      <c r="C14" s="7" t="n">
        <v>62</v>
      </c>
      <c r="D14" s="7" t="inlineStr">
        <is>
          <t>40-60</t>
        </is>
      </c>
      <c r="E14" s="7" t="inlineStr">
        <is>
          <t>Sw 56º</t>
        </is>
      </c>
      <c r="F14" s="142" t="n">
        <v>53</v>
      </c>
      <c r="G14" s="7" t="n">
        <v>62</v>
      </c>
      <c r="H14" s="7" t="inlineStr">
        <is>
          <t>40-60</t>
        </is>
      </c>
      <c r="I14" s="7" t="inlineStr">
        <is>
          <t>Sw 56º</t>
        </is>
      </c>
      <c r="J14" s="142" t="n">
        <v>46.7</v>
      </c>
      <c r="K14" s="7" t="n">
        <v>56</v>
      </c>
      <c r="L14" s="40" t="inlineStr">
        <is>
          <t>40-60</t>
        </is>
      </c>
      <c r="M14" s="7" t="inlineStr">
        <is>
          <t>C 18% R 82%</t>
        </is>
      </c>
      <c r="N14" s="7" t="inlineStr">
        <is>
          <t>9i</t>
        </is>
      </c>
      <c r="O14" s="156" t="inlineStr">
        <is>
          <t>Spalding</t>
        </is>
      </c>
      <c r="P14" s="163" t="n">
        <v>82</v>
      </c>
      <c r="Q14" s="164" t="n">
        <v>94</v>
      </c>
      <c r="R14" s="158" t="inlineStr">
        <is>
          <t>64-73</t>
        </is>
      </c>
      <c r="S14" s="40" t="inlineStr">
        <is>
          <t>69-78</t>
        </is>
      </c>
      <c r="T14" s="7" t="inlineStr">
        <is>
          <t>C34% R67%</t>
        </is>
      </c>
      <c r="V14" s="7" t="inlineStr">
        <is>
          <t>9i</t>
        </is>
      </c>
      <c r="W14" s="156" t="inlineStr">
        <is>
          <t>Spalding</t>
        </is>
      </c>
      <c r="X14" s="163" t="n"/>
      <c r="Y14" s="164" t="n"/>
      <c r="Z14" s="158" t="inlineStr">
        <is>
          <t>64-73</t>
        </is>
      </c>
      <c r="AA14" s="40" t="inlineStr">
        <is>
          <t>69-78</t>
        </is>
      </c>
      <c r="AB14" s="7" t="inlineStr">
        <is>
          <t>C34% R67%</t>
        </is>
      </c>
      <c r="AD14" s="50" t="n">
        <v>109</v>
      </c>
      <c r="AE14" s="28" t="n">
        <v>146</v>
      </c>
    </row>
    <row r="15" ht="15" customHeight="1" thickBot="1">
      <c r="B15" s="37" t="inlineStr">
        <is>
          <t>Good gap</t>
        </is>
      </c>
      <c r="C15" s="37" t="n"/>
      <c r="D15" s="37" t="n"/>
      <c r="F15" s="37" t="inlineStr">
        <is>
          <t>Good gap</t>
        </is>
      </c>
      <c r="G15" s="37" t="n"/>
      <c r="H15" s="37" t="n"/>
      <c r="J15" s="37" t="inlineStr">
        <is>
          <t>Wasnt a good day practice.</t>
        </is>
      </c>
      <c r="N15" s="7" t="inlineStr">
        <is>
          <t>PW</t>
        </is>
      </c>
      <c r="O15" s="156" t="inlineStr">
        <is>
          <t>Spalding</t>
        </is>
      </c>
      <c r="P15" s="163" t="n">
        <v>74</v>
      </c>
      <c r="Q15" s="164" t="n">
        <v>85</v>
      </c>
      <c r="R15" s="158" t="inlineStr">
        <is>
          <t>52-69</t>
        </is>
      </c>
      <c r="S15" s="40" t="inlineStr">
        <is>
          <t>60-73</t>
        </is>
      </c>
      <c r="T15" s="7" t="inlineStr">
        <is>
          <t>C17% R 83%</t>
        </is>
      </c>
      <c r="V15" s="7" t="inlineStr">
        <is>
          <t>PW</t>
        </is>
      </c>
      <c r="W15" s="156" t="inlineStr">
        <is>
          <t>Spalding</t>
        </is>
      </c>
      <c r="X15" s="163" t="n"/>
      <c r="Y15" s="164" t="n"/>
      <c r="Z15" s="158" t="inlineStr">
        <is>
          <t>52-69</t>
        </is>
      </c>
      <c r="AA15" s="40" t="inlineStr">
        <is>
          <t>60-73</t>
        </is>
      </c>
      <c r="AB15" s="7" t="inlineStr">
        <is>
          <t>C17% R 83%</t>
        </is>
      </c>
      <c r="AE15" s="25" t="n">
        <v>74</v>
      </c>
    </row>
    <row r="16" ht="15" customHeight="1" thickBot="1">
      <c r="B16" s="37" t="inlineStr">
        <is>
          <t>Good for Par 3</t>
        </is>
      </c>
      <c r="C16" s="37" t="n"/>
      <c r="D16" s="37" t="n"/>
      <c r="F16" s="37" t="inlineStr">
        <is>
          <t>Good for Par 3</t>
        </is>
      </c>
      <c r="G16" s="37" t="n"/>
      <c r="H16" s="37" t="n"/>
      <c r="N16" s="7" t="inlineStr">
        <is>
          <t xml:space="preserve">SW  </t>
        </is>
      </c>
      <c r="O16" s="156" t="inlineStr">
        <is>
          <t>Spalding</t>
        </is>
      </c>
      <c r="P16" s="165" t="n">
        <v>56</v>
      </c>
      <c r="Q16" s="166" t="n">
        <v>70</v>
      </c>
      <c r="R16" s="159" t="inlineStr">
        <is>
          <t>46-60</t>
        </is>
      </c>
      <c r="S16" s="154" t="inlineStr">
        <is>
          <t>50-64</t>
        </is>
      </c>
      <c r="T16" s="153" t="inlineStr">
        <is>
          <t>C 54% R45%</t>
        </is>
      </c>
      <c r="V16" s="7" t="inlineStr">
        <is>
          <t xml:space="preserve">SW  </t>
        </is>
      </c>
      <c r="W16" s="156" t="inlineStr">
        <is>
          <t>Spalding</t>
        </is>
      </c>
      <c r="X16" s="165" t="n"/>
      <c r="Y16" s="166" t="n"/>
      <c r="Z16" s="159" t="inlineStr">
        <is>
          <t>46-60</t>
        </is>
      </c>
      <c r="AA16" s="154" t="inlineStr">
        <is>
          <t>50-64</t>
        </is>
      </c>
      <c r="AB16" s="153" t="inlineStr">
        <is>
          <t>C 54% R45%</t>
        </is>
      </c>
      <c r="AD16" s="173">
        <f>AVERAGE(AD6:AD14)</f>
        <v/>
      </c>
      <c r="AE16" s="174">
        <f>AVERAGE(AE6:AE15)</f>
        <v/>
      </c>
    </row>
    <row r="17" ht="15" customHeight="1" thickBot="1">
      <c r="B17" s="37" t="inlineStr">
        <is>
          <t>Good btw 50-95m</t>
        </is>
      </c>
      <c r="C17" s="37" t="n"/>
      <c r="D17" s="37" t="n"/>
      <c r="F17" s="37" t="inlineStr">
        <is>
          <t>Good btw 50-95m</t>
        </is>
      </c>
      <c r="G17" s="37" t="n"/>
      <c r="H17" s="37" t="n"/>
      <c r="N17" s="152" t="inlineStr">
        <is>
          <t>Sw 56º</t>
        </is>
      </c>
      <c r="O17" s="157" t="inlineStr">
        <is>
          <t>500inesis</t>
        </is>
      </c>
      <c r="P17" s="175" t="n">
        <v>57</v>
      </c>
      <c r="Q17" s="176" t="n">
        <v>66</v>
      </c>
      <c r="R17" s="177" t="inlineStr">
        <is>
          <t>45-55</t>
        </is>
      </c>
      <c r="S17" s="178" t="inlineStr">
        <is>
          <t>50-60</t>
        </is>
      </c>
      <c r="T17" s="179" t="inlineStr">
        <is>
          <t>C 54% R45%</t>
        </is>
      </c>
      <c r="V17" s="152" t="inlineStr">
        <is>
          <t>Sw 56º</t>
        </is>
      </c>
      <c r="W17" s="157" t="inlineStr">
        <is>
          <t>500inesis</t>
        </is>
      </c>
      <c r="X17" s="175" t="n"/>
      <c r="Y17" s="176" t="n"/>
      <c r="Z17" s="177" t="inlineStr">
        <is>
          <t>45-55</t>
        </is>
      </c>
      <c r="AA17" s="178" t="inlineStr">
        <is>
          <t>50-60</t>
        </is>
      </c>
      <c r="AB17" s="179" t="inlineStr">
        <is>
          <t>C 54% R45%</t>
        </is>
      </c>
    </row>
    <row r="18">
      <c r="B18" s="37" t="n"/>
      <c r="C18" s="37" t="n"/>
      <c r="D18" s="37" t="n"/>
      <c r="N18" s="29" t="inlineStr">
        <is>
          <t>7h V2</t>
        </is>
      </c>
      <c r="O18" s="155" t="n"/>
      <c r="P18" s="168" t="n">
        <v>109</v>
      </c>
      <c r="Q18" s="162" t="n">
        <v>133</v>
      </c>
      <c r="R18" s="151" t="inlineStr">
        <is>
          <t>96-105</t>
        </is>
      </c>
      <c r="S18" s="141" t="inlineStr">
        <is>
          <t>101-110</t>
        </is>
      </c>
      <c r="T18" s="29" t="inlineStr">
        <is>
          <t>L 17% - C 50%  R 33%</t>
        </is>
      </c>
      <c r="V18" s="29" t="inlineStr">
        <is>
          <t>7h V2</t>
        </is>
      </c>
      <c r="W18" s="155" t="n"/>
      <c r="X18" s="168" t="n"/>
      <c r="Y18" s="162" t="n"/>
      <c r="Z18" s="151" t="inlineStr">
        <is>
          <t>96-105</t>
        </is>
      </c>
      <c r="AA18" s="141" t="inlineStr">
        <is>
          <t>101-110</t>
        </is>
      </c>
      <c r="AB18" s="29" t="inlineStr">
        <is>
          <t>L 17% - C 50%  R 33%</t>
        </is>
      </c>
    </row>
    <row r="19">
      <c r="A19" s="11" t="inlineStr">
        <is>
          <t>What to improve:</t>
        </is>
      </c>
      <c r="N19" s="7" t="inlineStr">
        <is>
          <t>5w</t>
        </is>
      </c>
      <c r="O19" s="156" t="n"/>
      <c r="P19" s="169" t="n">
        <v>98.8</v>
      </c>
      <c r="Q19" s="164" t="n">
        <v>122.4</v>
      </c>
      <c r="R19" s="158" t="inlineStr">
        <is>
          <t>114-128</t>
        </is>
      </c>
      <c r="S19" s="40" t="inlineStr">
        <is>
          <t>124-137</t>
        </is>
      </c>
      <c r="T19" s="7" t="inlineStr">
        <is>
          <t>L 25%-C 62% R 12%</t>
        </is>
      </c>
      <c r="V19" s="7" t="inlineStr">
        <is>
          <t>5w</t>
        </is>
      </c>
      <c r="W19" s="156" t="n"/>
      <c r="X19" s="169" t="n"/>
      <c r="Y19" s="164" t="n"/>
      <c r="Z19" s="158" t="inlineStr">
        <is>
          <t>114-128</t>
        </is>
      </c>
      <c r="AA19" s="40" t="inlineStr">
        <is>
          <t>124-137</t>
        </is>
      </c>
      <c r="AB19" s="7" t="inlineStr">
        <is>
          <t>L 25%-C 62% R 12%</t>
        </is>
      </c>
    </row>
    <row r="20">
      <c r="A20" t="inlineStr">
        <is>
          <t>Pw:</t>
        </is>
      </c>
      <c r="B20" s="13" t="inlineStr">
        <is>
          <t xml:space="preserve">68m </t>
        </is>
      </c>
      <c r="C20" t="inlineStr">
        <is>
          <t>For approaches on shorter par-4</t>
        </is>
      </c>
      <c r="N20" s="7" t="inlineStr">
        <is>
          <t>7h</t>
        </is>
      </c>
      <c r="O20" s="156" t="n"/>
      <c r="P20" s="169" t="n">
        <v>94.7</v>
      </c>
      <c r="Q20" s="164" t="n">
        <v>121.4</v>
      </c>
      <c r="R20" s="158" t="inlineStr">
        <is>
          <t>96-105</t>
        </is>
      </c>
      <c r="S20" s="40" t="inlineStr">
        <is>
          <t>101-110</t>
        </is>
      </c>
      <c r="T20" s="7" t="inlineStr">
        <is>
          <t>L 17% C-R 67%</t>
        </is>
      </c>
      <c r="V20" s="7" t="inlineStr">
        <is>
          <t>7h</t>
        </is>
      </c>
      <c r="W20" s="156" t="n"/>
      <c r="X20" s="169" t="n"/>
      <c r="Y20" s="164" t="n"/>
      <c r="Z20" s="158" t="inlineStr">
        <is>
          <t>96-105</t>
        </is>
      </c>
      <c r="AA20" s="40" t="inlineStr">
        <is>
          <t>101-110</t>
        </is>
      </c>
      <c r="AB20" s="7" t="inlineStr">
        <is>
          <t>L 17% C-R 67%</t>
        </is>
      </c>
    </row>
    <row r="21">
      <c r="A21" t="inlineStr">
        <is>
          <t>Sw:</t>
        </is>
      </c>
      <c r="B21" s="13" t="inlineStr">
        <is>
          <t>53m</t>
        </is>
      </c>
      <c r="C21" t="inlineStr">
        <is>
          <t>Learn half Sw for 35-40m shots</t>
        </is>
      </c>
      <c r="N21" s="7" t="inlineStr">
        <is>
          <t>5i</t>
        </is>
      </c>
      <c r="O21" s="156" t="n"/>
      <c r="P21" s="169" t="n">
        <v>80.8</v>
      </c>
      <c r="Q21" s="164" t="n">
        <v>104.2</v>
      </c>
      <c r="R21" s="158" t="inlineStr">
        <is>
          <t>101-110</t>
        </is>
      </c>
      <c r="S21" s="40" t="inlineStr">
        <is>
          <t>110-119</t>
        </is>
      </c>
      <c r="T21" s="7" t="inlineStr">
        <is>
          <t>C 18% R 82%</t>
        </is>
      </c>
      <c r="V21" s="7" t="inlineStr">
        <is>
          <t>5i</t>
        </is>
      </c>
      <c r="W21" s="156" t="n"/>
      <c r="X21" s="169" t="n"/>
      <c r="Y21" s="164" t="n"/>
      <c r="Z21" s="158" t="inlineStr">
        <is>
          <t>101-110</t>
        </is>
      </c>
      <c r="AA21" s="40" t="inlineStr">
        <is>
          <t>110-119</t>
        </is>
      </c>
      <c r="AB21" s="7" t="inlineStr">
        <is>
          <t>C 18% R 82%</t>
        </is>
      </c>
    </row>
    <row r="22">
      <c r="A22" t="inlineStr">
        <is>
          <t>7i:</t>
        </is>
      </c>
      <c r="B22" s="13" t="inlineStr">
        <is>
          <t>94m</t>
        </is>
      </c>
      <c r="C22" t="inlineStr">
        <is>
          <t>Perfect for shorter par-3s. Focus accuracy/height</t>
        </is>
      </c>
      <c r="N22" s="7" t="inlineStr">
        <is>
          <t>7i</t>
        </is>
      </c>
      <c r="O22" s="156" t="n"/>
      <c r="P22" s="170" t="n">
        <v>88.40000000000001</v>
      </c>
      <c r="Q22" s="164" t="n">
        <v>102</v>
      </c>
      <c r="R22" s="158" t="inlineStr">
        <is>
          <t>82-91</t>
        </is>
      </c>
      <c r="S22" s="40" t="inlineStr">
        <is>
          <t>87-101</t>
        </is>
      </c>
      <c r="T22" s="7" t="inlineStr">
        <is>
          <t>C 8% R 92%</t>
        </is>
      </c>
      <c r="V22" s="7" t="inlineStr">
        <is>
          <t>7i</t>
        </is>
      </c>
      <c r="W22" s="156" t="n"/>
      <c r="X22" s="170" t="n"/>
      <c r="Y22" s="164" t="n"/>
      <c r="Z22" s="158" t="inlineStr">
        <is>
          <t>82-91</t>
        </is>
      </c>
      <c r="AA22" s="40" t="inlineStr">
        <is>
          <t>87-101</t>
        </is>
      </c>
      <c r="AB22" s="7" t="inlineStr">
        <is>
          <t>C 8% R 92%</t>
        </is>
      </c>
    </row>
    <row r="23">
      <c r="N23" s="7" t="inlineStr">
        <is>
          <t>9i</t>
        </is>
      </c>
      <c r="O23" s="156" t="n"/>
      <c r="P23" s="171" t="n">
        <v>71</v>
      </c>
      <c r="Q23" s="164" t="n">
        <v>92.3</v>
      </c>
      <c r="R23" s="158" t="inlineStr">
        <is>
          <t>64-73</t>
        </is>
      </c>
      <c r="S23" s="40" t="inlineStr">
        <is>
          <t>69-78</t>
        </is>
      </c>
      <c r="T23" s="7" t="inlineStr">
        <is>
          <t>C 18% R 82%</t>
        </is>
      </c>
      <c r="V23" s="7" t="inlineStr">
        <is>
          <t>9i</t>
        </is>
      </c>
      <c r="W23" s="156" t="n"/>
      <c r="X23" s="171" t="n"/>
      <c r="Y23" s="164" t="n"/>
      <c r="Z23" s="158" t="inlineStr">
        <is>
          <t>64-73</t>
        </is>
      </c>
      <c r="AA23" s="40" t="inlineStr">
        <is>
          <t>69-78</t>
        </is>
      </c>
      <c r="AB23" s="7" t="inlineStr">
        <is>
          <t>C 18% R 82%</t>
        </is>
      </c>
    </row>
    <row r="24">
      <c r="N24" s="7" t="inlineStr">
        <is>
          <t>Pw</t>
        </is>
      </c>
      <c r="O24" s="156" t="n"/>
      <c r="P24" s="171" t="n">
        <v>71</v>
      </c>
      <c r="Q24" s="164" t="n">
        <v>89.2</v>
      </c>
      <c r="R24" s="158" t="inlineStr">
        <is>
          <t>52-69</t>
        </is>
      </c>
      <c r="S24" s="40" t="inlineStr">
        <is>
          <t>60-73</t>
        </is>
      </c>
      <c r="T24" s="7" t="inlineStr">
        <is>
          <t>C 8% R 92%</t>
        </is>
      </c>
      <c r="V24" s="7" t="inlineStr">
        <is>
          <t>Pw</t>
        </is>
      </c>
      <c r="W24" s="156" t="n"/>
      <c r="X24" s="171" t="n"/>
      <c r="Y24" s="164" t="n"/>
      <c r="Z24" s="158" t="inlineStr">
        <is>
          <t>52-69</t>
        </is>
      </c>
      <c r="AA24" s="40" t="inlineStr">
        <is>
          <t>60-73</t>
        </is>
      </c>
      <c r="AB24" s="7" t="inlineStr">
        <is>
          <t>C 8% R 92%</t>
        </is>
      </c>
    </row>
    <row r="25" ht="15" customHeight="1" thickBot="1">
      <c r="N25" s="7" t="inlineStr">
        <is>
          <t>Sw 56º</t>
        </is>
      </c>
      <c r="O25" s="156" t="n"/>
      <c r="P25" s="172" t="n">
        <v>46.7</v>
      </c>
      <c r="Q25" s="167" t="n">
        <v>56</v>
      </c>
      <c r="R25" s="158" t="inlineStr">
        <is>
          <t>45-55</t>
        </is>
      </c>
      <c r="S25" s="40" t="inlineStr">
        <is>
          <t>50-60</t>
        </is>
      </c>
      <c r="T25" s="7" t="inlineStr">
        <is>
          <t>C 18% R 82%</t>
        </is>
      </c>
      <c r="V25" s="7" t="inlineStr">
        <is>
          <t>Sw 56º</t>
        </is>
      </c>
      <c r="W25" s="156" t="n"/>
      <c r="X25" s="172" t="n"/>
      <c r="Y25" s="167" t="n"/>
      <c r="Z25" s="158" t="inlineStr">
        <is>
          <t>45-55</t>
        </is>
      </c>
      <c r="AA25" s="40" t="inlineStr">
        <is>
          <t>50-60</t>
        </is>
      </c>
      <c r="AB25" s="7" t="inlineStr">
        <is>
          <t>C 18% R 82%</t>
        </is>
      </c>
    </row>
    <row r="26" ht="24" customHeight="1" thickBot="1">
      <c r="A26" s="14" t="inlineStr">
        <is>
          <t>Your Yardage Book (Carry Distances in Meters)</t>
        </is>
      </c>
      <c r="V26" s="27" t="n"/>
      <c r="W26" s="27" t="n"/>
      <c r="X26" s="27" t="n"/>
      <c r="Y26" s="27" t="n"/>
      <c r="Z26" s="27" t="n"/>
      <c r="AA26" s="27" t="n"/>
    </row>
    <row r="27" ht="15" customHeight="1" thickBot="1">
      <c r="V27" t="inlineStr">
        <is>
          <t>In the real course we have average of less 10% distance</t>
        </is>
      </c>
    </row>
    <row r="28" ht="42" customHeight="1" thickBot="1">
      <c r="A28" s="38" t="inlineStr">
        <is>
          <t>Distance to Target</t>
        </is>
      </c>
      <c r="B28" s="39" t="inlineStr">
        <is>
          <t>Best Club Choice</t>
        </is>
      </c>
      <c r="C28" s="247" t="inlineStr">
        <is>
          <t>Notes</t>
        </is>
      </c>
      <c r="D28" s="22" t="n"/>
      <c r="E28" s="23" t="n"/>
    </row>
    <row r="29" ht="31.5" customHeight="1">
      <c r="A29" s="16" t="inlineStr">
        <is>
          <t>50–55 m</t>
        </is>
      </c>
      <c r="B29" s="17" t="inlineStr">
        <is>
          <t>SW (full)</t>
        </is>
      </c>
      <c r="C29" s="252" t="inlineStr">
        <is>
          <t>You carry 53 m — perfect for pins around 50–55.</t>
        </is>
      </c>
      <c r="D29" s="294" t="n"/>
      <c r="E29" s="295" t="n"/>
    </row>
    <row r="30" ht="29" customHeight="1">
      <c r="A30" s="18" t="inlineStr">
        <is>
          <t>56–62 m</t>
        </is>
      </c>
      <c r="B30" s="15" t="inlineStr">
        <is>
          <t>SW (¾ swing)</t>
        </is>
      </c>
      <c r="C30" s="248" t="inlineStr">
        <is>
          <t>A controlled swing gives ~60 m.</t>
        </is>
      </c>
      <c r="D30" s="158" t="n"/>
      <c r="E30" s="189" t="n"/>
    </row>
    <row r="31" ht="23" customHeight="1">
      <c r="A31" s="18" t="inlineStr">
        <is>
          <t>63–70 m</t>
        </is>
      </c>
      <c r="B31" s="15" t="inlineStr">
        <is>
          <t>PW (full)</t>
        </is>
      </c>
      <c r="C31" s="248" t="inlineStr">
        <is>
          <t>You carry 68 m — good for flags ~65–70.</t>
        </is>
      </c>
      <c r="D31" s="158" t="n"/>
      <c r="E31" s="189" t="n"/>
    </row>
    <row r="32" ht="29" customHeight="1">
      <c r="A32" s="18" t="inlineStr">
        <is>
          <t>71–77 m</t>
        </is>
      </c>
      <c r="B32" s="15" t="inlineStr">
        <is>
          <t>PW (¾ swing)</t>
        </is>
      </c>
      <c r="C32" s="248" t="inlineStr">
        <is>
          <t>Smooth swing lands ~74 m.</t>
        </is>
      </c>
      <c r="D32" s="158" t="n"/>
      <c r="E32" s="189" t="n"/>
    </row>
    <row r="33" ht="26" customHeight="1">
      <c r="A33" s="18" t="inlineStr">
        <is>
          <t>78–83 m</t>
        </is>
      </c>
      <c r="B33" s="15" t="inlineStr">
        <is>
          <t>9i (full)</t>
        </is>
      </c>
      <c r="C33" s="248" t="inlineStr">
        <is>
          <t>You carry 80 m — great for mid par-3s.</t>
        </is>
      </c>
      <c r="D33" s="158" t="n"/>
      <c r="E33" s="189" t="n"/>
    </row>
    <row r="34" ht="29" customHeight="1">
      <c r="A34" s="18" t="inlineStr">
        <is>
          <t>84–90 m</t>
        </is>
      </c>
      <c r="B34" s="15" t="inlineStr">
        <is>
          <t>9i (¾ swing)</t>
        </is>
      </c>
      <c r="C34" s="248" t="inlineStr">
        <is>
          <t>For slightly shorter than your full 9i.</t>
        </is>
      </c>
      <c r="D34" s="158" t="n"/>
      <c r="E34" s="189" t="n"/>
    </row>
    <row r="35" ht="23" customHeight="1">
      <c r="A35" s="18" t="inlineStr">
        <is>
          <t>91–97 m</t>
        </is>
      </c>
      <c r="B35" s="15" t="inlineStr">
        <is>
          <t>7i (full)</t>
        </is>
      </c>
      <c r="C35" s="248" t="inlineStr">
        <is>
          <t>You carry 94 m — fits perfectly here.</t>
        </is>
      </c>
      <c r="D35" s="158" t="n"/>
      <c r="E35" s="189" t="n"/>
    </row>
    <row r="36" ht="29" customHeight="1" thickBot="1">
      <c r="A36" s="19" t="inlineStr">
        <is>
          <t>98–105 m</t>
        </is>
      </c>
      <c r="B36" s="20" t="inlineStr">
        <is>
          <t>7i (¾ swing)</t>
        </is>
      </c>
      <c r="C36" s="250" t="inlineStr">
        <is>
          <t>Smooth swing gets you just over 100 m.</t>
        </is>
      </c>
      <c r="D36" s="296" t="n"/>
      <c r="E36" s="297" t="n"/>
    </row>
    <row r="39" ht="15" customHeight="1" thickBot="1">
      <c r="A39" s="11" t="inlineStr">
        <is>
          <t>Adjust for conditions:</t>
        </is>
      </c>
    </row>
    <row r="40">
      <c r="A40" s="21" t="n"/>
      <c r="B40" s="22" t="n"/>
      <c r="C40" s="22" t="n"/>
      <c r="D40" s="22" t="n"/>
      <c r="E40" s="22" t="n"/>
      <c r="F40" s="23" t="n"/>
    </row>
    <row r="41">
      <c r="A41" s="24" t="inlineStr">
        <is>
          <t>Into wind: take 1 extra club.</t>
        </is>
      </c>
      <c r="F41" s="25" t="n"/>
    </row>
    <row r="42">
      <c r="A42" s="24" t="n"/>
      <c r="F42" s="25" t="n"/>
    </row>
    <row r="43">
      <c r="A43" s="24" t="inlineStr">
        <is>
          <t>Downwind: take 1 less club.</t>
        </is>
      </c>
      <c r="F43" s="25" t="n"/>
    </row>
    <row r="44">
      <c r="A44" s="24" t="n"/>
      <c r="F44" s="25" t="n"/>
    </row>
    <row r="45">
      <c r="A45" s="24" t="inlineStr">
        <is>
          <t>Wet greens: ball stops quickly → trust carry.</t>
        </is>
      </c>
      <c r="F45" s="25" t="n"/>
    </row>
    <row r="46">
      <c r="A46" s="24" t="n"/>
      <c r="F46" s="25" t="n"/>
    </row>
    <row r="47" ht="15" customHeight="1" thickBot="1">
      <c r="A47" s="26" t="inlineStr">
        <is>
          <t>Firm greens: allow for more roll (especially with 7i and 9i).</t>
        </is>
      </c>
      <c r="B47" s="27" t="n"/>
      <c r="C47" s="27" t="n"/>
      <c r="D47" s="27" t="n"/>
      <c r="E47" s="27" t="n"/>
      <c r="F47" s="28" t="n"/>
    </row>
  </sheetData>
  <mergeCells count="9">
    <mergeCell ref="C36:E36"/>
    <mergeCell ref="C28:E28"/>
    <mergeCell ref="C33:E33"/>
    <mergeCell ref="C31:E31"/>
    <mergeCell ref="C29:E29"/>
    <mergeCell ref="C30:E30"/>
    <mergeCell ref="C34:E34"/>
    <mergeCell ref="C35:E35"/>
    <mergeCell ref="C32:E32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Z27"/>
  <sheetViews>
    <sheetView topLeftCell="A7" workbookViewId="0">
      <selection activeCell="G19" sqref="G19"/>
    </sheetView>
  </sheetViews>
  <sheetFormatPr baseColWidth="8" defaultRowHeight="14.5"/>
  <cols>
    <col width="11.6328125" bestFit="1" customWidth="1" min="2" max="2"/>
    <col width="2.81640625" bestFit="1" customWidth="1" min="8" max="8"/>
    <col width="5.26953125" bestFit="1" customWidth="1" min="9" max="9"/>
    <col width="4.7265625" bestFit="1" customWidth="1" min="10" max="10"/>
    <col width="5.7265625" bestFit="1" customWidth="1" min="11" max="11"/>
    <col width="3.6328125" bestFit="1" customWidth="1" min="12" max="12"/>
    <col width="4.453125" bestFit="1" customWidth="1" min="13" max="13"/>
    <col width="2.81640625" bestFit="1" customWidth="1" min="14" max="14"/>
    <col width="5.26953125" bestFit="1" customWidth="1" min="15" max="15"/>
    <col width="4.7265625" bestFit="1" customWidth="1" min="16" max="16"/>
    <col width="5.7265625" bestFit="1" customWidth="1" min="17" max="17"/>
    <col width="3.90625" bestFit="1" customWidth="1" min="18" max="18"/>
    <col width="4.453125" bestFit="1" customWidth="1" min="19" max="19"/>
    <col width="2.81640625" bestFit="1" customWidth="1" min="20" max="20"/>
    <col width="5.26953125" bestFit="1" customWidth="1" min="21" max="21"/>
    <col width="4.7265625" bestFit="1" customWidth="1" min="22" max="22"/>
    <col width="5.7265625" bestFit="1" customWidth="1" min="23" max="23"/>
    <col width="3.6328125" bestFit="1" customWidth="1" min="24" max="24"/>
    <col width="4.453125" bestFit="1" customWidth="1" min="25" max="25"/>
  </cols>
  <sheetData>
    <row r="3" ht="15" customHeight="1" thickBot="1">
      <c r="K3" s="262" t="inlineStr">
        <is>
          <t>Up &amp; Down drill</t>
        </is>
      </c>
      <c r="L3" s="158" t="n"/>
      <c r="M3" s="158" t="n"/>
      <c r="N3" s="158" t="n"/>
      <c r="O3" s="158" t="n"/>
      <c r="P3" s="158" t="n"/>
      <c r="Q3" s="158" t="n"/>
      <c r="R3" s="158" t="n"/>
      <c r="S3" s="158" t="n"/>
      <c r="T3" s="158" t="n"/>
      <c r="U3" s="158" t="n"/>
      <c r="V3" s="158" t="n"/>
      <c r="W3" s="158" t="n"/>
      <c r="X3" s="158" t="n"/>
      <c r="Y3" s="189" t="n"/>
    </row>
    <row r="4" ht="15" customHeight="1" thickBot="1">
      <c r="H4" s="298" t="inlineStr">
        <is>
          <t>n. shots</t>
        </is>
      </c>
      <c r="I4" s="294" t="n"/>
      <c r="J4" s="294" t="n"/>
      <c r="K4" s="294" t="n"/>
      <c r="L4" s="294" t="n"/>
      <c r="M4" s="299" t="n"/>
      <c r="N4" s="298" t="inlineStr">
        <is>
          <t>n. shots</t>
        </is>
      </c>
      <c r="O4" s="294" t="n"/>
      <c r="P4" s="294" t="n"/>
      <c r="Q4" s="294" t="n"/>
      <c r="R4" s="294" t="n"/>
      <c r="S4" s="299" t="n"/>
      <c r="T4" s="298" t="inlineStr">
        <is>
          <t>n. shots</t>
        </is>
      </c>
      <c r="U4" s="294" t="n"/>
      <c r="V4" s="294" t="n"/>
      <c r="W4" s="294" t="n"/>
      <c r="X4" s="294" t="n"/>
      <c r="Y4" s="299" t="n"/>
      <c r="Z4" s="290" t="inlineStr">
        <is>
          <t>Total balls shots</t>
        </is>
      </c>
    </row>
    <row r="5">
      <c r="D5" s="258" t="inlineStr">
        <is>
          <t>Golf Course</t>
        </is>
      </c>
      <c r="E5" s="294" t="n"/>
      <c r="F5" s="295" t="n"/>
      <c r="G5" s="188" t="n"/>
      <c r="K5" s="204" t="inlineStr">
        <is>
          <t>40m: H1</t>
        </is>
      </c>
      <c r="L5" s="158" t="n"/>
      <c r="M5" s="300" t="n"/>
      <c r="Q5" s="204" t="inlineStr">
        <is>
          <t>12m</t>
        </is>
      </c>
      <c r="R5" s="158" t="n"/>
      <c r="S5" s="300" t="n"/>
      <c r="W5" s="240" t="inlineStr">
        <is>
          <t>Fringe</t>
        </is>
      </c>
      <c r="X5" s="158" t="n"/>
      <c r="Y5" s="189" t="n"/>
      <c r="Z5" s="301" t="n"/>
    </row>
    <row r="6" ht="15" customHeight="1" thickBot="1">
      <c r="A6" s="262" t="inlineStr">
        <is>
          <t>Date:</t>
        </is>
      </c>
      <c r="B6" s="262" t="inlineStr">
        <is>
          <t>Club</t>
        </is>
      </c>
      <c r="C6" s="242" t="inlineStr">
        <is>
          <t>Time:</t>
        </is>
      </c>
      <c r="D6" s="82" t="inlineStr">
        <is>
          <t>Course</t>
        </is>
      </c>
      <c r="E6" s="186" t="inlineStr">
        <is>
          <t>Result</t>
        </is>
      </c>
      <c r="F6" s="187" t="inlineStr">
        <is>
          <t>Hcp:</t>
        </is>
      </c>
      <c r="G6" s="242" t="inlineStr">
        <is>
          <t>nºballs</t>
        </is>
      </c>
      <c r="H6" s="77" t="inlineStr">
        <is>
          <t>In</t>
        </is>
      </c>
      <c r="I6" s="262" t="inlineStr">
        <is>
          <t>Short</t>
        </is>
      </c>
      <c r="J6" s="262" t="inlineStr">
        <is>
          <t>Long</t>
        </is>
      </c>
      <c r="K6" s="239" t="inlineStr">
        <is>
          <t>Down</t>
        </is>
      </c>
      <c r="L6" s="240" t="inlineStr">
        <is>
          <t>par</t>
        </is>
      </c>
      <c r="M6" s="204" t="inlineStr">
        <is>
          <t>1 up</t>
        </is>
      </c>
      <c r="N6" s="77" t="inlineStr">
        <is>
          <t>In</t>
        </is>
      </c>
      <c r="O6" s="262" t="inlineStr">
        <is>
          <t>Short</t>
        </is>
      </c>
      <c r="P6" s="262" t="inlineStr">
        <is>
          <t>Long</t>
        </is>
      </c>
      <c r="Q6" s="239" t="inlineStr">
        <is>
          <t>Down</t>
        </is>
      </c>
      <c r="R6" s="240" t="inlineStr">
        <is>
          <t>par</t>
        </is>
      </c>
      <c r="S6" s="204" t="inlineStr">
        <is>
          <t>1 up</t>
        </is>
      </c>
      <c r="T6" s="243" t="inlineStr">
        <is>
          <t>In</t>
        </is>
      </c>
      <c r="U6" s="262" t="inlineStr">
        <is>
          <t>Short</t>
        </is>
      </c>
      <c r="V6" s="262" t="inlineStr">
        <is>
          <t>Long</t>
        </is>
      </c>
      <c r="W6" s="239" t="inlineStr">
        <is>
          <t>Down</t>
        </is>
      </c>
      <c r="X6" s="240" t="inlineStr">
        <is>
          <t>par</t>
        </is>
      </c>
      <c r="Y6" s="240" t="inlineStr">
        <is>
          <t>1 up</t>
        </is>
      </c>
      <c r="Z6" s="301" t="n"/>
    </row>
    <row r="7">
      <c r="A7" s="185" t="n">
        <v>45999</v>
      </c>
      <c r="B7" s="205" t="inlineStr">
        <is>
          <t>SGU</t>
        </is>
      </c>
      <c r="C7" s="206" t="n">
        <v>0.04166666666666666</v>
      </c>
      <c r="D7" s="207" t="n"/>
      <c r="E7" s="208" t="n"/>
      <c r="F7" s="235" t="n"/>
      <c r="G7" s="212" t="n">
        <v>14</v>
      </c>
      <c r="H7" s="210" t="n">
        <v>8</v>
      </c>
      <c r="I7" s="209" t="n">
        <v>3</v>
      </c>
      <c r="J7" s="209" t="n">
        <v>3</v>
      </c>
      <c r="K7" s="205" t="n">
        <v>1</v>
      </c>
      <c r="L7" s="205">
        <f>5+3</f>
        <v/>
      </c>
      <c r="M7" s="211">
        <f>4+1</f>
        <v/>
      </c>
      <c r="N7" s="210" t="n"/>
      <c r="O7" s="209" t="n"/>
      <c r="P7" s="209" t="n"/>
      <c r="Q7" s="205" t="n"/>
      <c r="R7" s="205" t="n"/>
      <c r="S7" s="211" t="n"/>
      <c r="T7" s="212" t="n"/>
      <c r="U7" s="209" t="n"/>
      <c r="V7" s="209" t="n"/>
      <c r="W7" s="205" t="n"/>
      <c r="X7" s="205" t="n"/>
      <c r="Y7" s="234" t="n"/>
      <c r="Z7" s="115" t="n"/>
    </row>
    <row r="8" ht="15" customHeight="1" thickBot="1">
      <c r="A8" s="185" t="n">
        <v>46000</v>
      </c>
      <c r="B8" s="205" t="inlineStr">
        <is>
          <t>SGU</t>
        </is>
      </c>
      <c r="C8" s="206" t="n">
        <v>0.0625</v>
      </c>
      <c r="D8" s="207" t="n"/>
      <c r="E8" s="208" t="n"/>
      <c r="F8" s="235" t="n"/>
      <c r="G8" s="212" t="n">
        <v>19</v>
      </c>
      <c r="H8" s="213" t="n">
        <v>14</v>
      </c>
      <c r="I8" s="214" t="n">
        <v>3</v>
      </c>
      <c r="J8" s="214" t="n">
        <v>2</v>
      </c>
      <c r="K8" s="215" t="n">
        <v>8</v>
      </c>
      <c r="L8" s="215" t="n">
        <v>10</v>
      </c>
      <c r="M8" s="216">
        <f>0+1</f>
        <v/>
      </c>
      <c r="N8" s="213" t="n">
        <v>16</v>
      </c>
      <c r="O8" s="214" t="n">
        <v>4</v>
      </c>
      <c r="P8" s="214" t="n">
        <v>0</v>
      </c>
      <c r="Q8" s="215">
        <f>5+0</f>
        <v/>
      </c>
      <c r="R8" s="215">
        <f>10+1</f>
        <v/>
      </c>
      <c r="S8" s="216">
        <f>1+2</f>
        <v/>
      </c>
      <c r="T8" s="212" t="n">
        <v>19</v>
      </c>
      <c r="U8" s="209" t="n">
        <v>11</v>
      </c>
      <c r="V8" s="209" t="n">
        <v>4</v>
      </c>
      <c r="W8" s="205" t="n">
        <v>14</v>
      </c>
      <c r="X8" s="205" t="n">
        <v>4</v>
      </c>
      <c r="Y8" s="234" t="n">
        <v>0</v>
      </c>
      <c r="Z8" s="42" t="n"/>
    </row>
    <row r="9" ht="15" customHeight="1" thickBot="1">
      <c r="A9" s="218" t="n">
        <v>46382</v>
      </c>
      <c r="B9" s="219" t="inlineStr">
        <is>
          <t>Campo Real</t>
        </is>
      </c>
      <c r="C9" s="220" t="n"/>
      <c r="D9" s="236" t="inlineStr">
        <is>
          <t>Over bunker</t>
        </is>
      </c>
      <c r="E9" s="226" t="n"/>
      <c r="F9" s="227" t="n"/>
      <c r="G9" s="224" t="n">
        <v>13</v>
      </c>
      <c r="H9" s="222" t="n"/>
      <c r="I9" s="221" t="n"/>
      <c r="J9" s="221" t="n"/>
      <c r="K9" s="219" t="n"/>
      <c r="L9" s="219" t="n"/>
      <c r="M9" s="223" t="n"/>
      <c r="N9" s="222" t="n">
        <v>12</v>
      </c>
      <c r="O9" s="221" t="n">
        <v>1</v>
      </c>
      <c r="P9" s="221" t="n">
        <v>0</v>
      </c>
      <c r="Q9" s="219" t="n">
        <v>3</v>
      </c>
      <c r="R9" s="219" t="n">
        <v>9</v>
      </c>
      <c r="S9" s="223" t="n">
        <v>1</v>
      </c>
      <c r="T9" s="224" t="n">
        <v>10</v>
      </c>
      <c r="U9" s="221" t="n">
        <v>2</v>
      </c>
      <c r="V9" s="221" t="n">
        <v>1</v>
      </c>
      <c r="W9" s="219" t="n">
        <v>1</v>
      </c>
      <c r="X9" s="219" t="n">
        <v>9</v>
      </c>
      <c r="Y9" s="291" t="n">
        <v>3</v>
      </c>
      <c r="Z9" s="42" t="n"/>
    </row>
    <row r="10" ht="15" customHeight="1" thickBot="1">
      <c r="A10" s="254" t="inlineStr">
        <is>
          <t>2026: 27.7 / Garmin: 30.8</t>
        </is>
      </c>
      <c r="B10" s="158" t="n"/>
      <c r="C10" s="158" t="n"/>
      <c r="D10" s="158" t="n"/>
      <c r="E10" s="158" t="n"/>
      <c r="F10" s="158" t="n"/>
      <c r="G10" s="158" t="n"/>
      <c r="H10" s="158" t="n"/>
      <c r="I10" s="158" t="n"/>
      <c r="J10" s="158" t="n"/>
      <c r="K10" s="158" t="n"/>
      <c r="L10" s="158" t="n"/>
      <c r="M10" s="158" t="n"/>
      <c r="N10" s="158" t="n"/>
      <c r="O10" s="158" t="n"/>
      <c r="P10" s="158" t="n"/>
      <c r="Q10" s="158" t="n"/>
      <c r="R10" s="158" t="n"/>
      <c r="S10" s="158" t="n"/>
      <c r="T10" s="158" t="n"/>
      <c r="U10" s="158" t="n"/>
      <c r="V10" s="158" t="n"/>
      <c r="W10" s="158" t="n"/>
      <c r="X10" s="158" t="n"/>
      <c r="Y10" s="158" t="n"/>
      <c r="Z10" s="42" t="n"/>
    </row>
    <row r="11">
      <c r="A11" s="217" t="n">
        <v>46045</v>
      </c>
      <c r="B11" s="208" t="inlineStr">
        <is>
          <t>SGU</t>
        </is>
      </c>
      <c r="C11" s="225" t="n">
        <v>0.04166666666666666</v>
      </c>
      <c r="D11" s="229" t="inlineStr">
        <is>
          <t>H1</t>
        </is>
      </c>
      <c r="E11" s="230" t="n"/>
      <c r="F11" s="231" t="n"/>
      <c r="G11" s="212" t="n">
        <v>13</v>
      </c>
      <c r="H11" s="229" t="n">
        <v>7</v>
      </c>
      <c r="I11" s="230" t="n">
        <v>6</v>
      </c>
      <c r="J11" s="230" t="n">
        <v>2</v>
      </c>
      <c r="K11" s="230" t="n">
        <v>0</v>
      </c>
      <c r="L11" s="230" t="n">
        <v>7</v>
      </c>
      <c r="M11" s="231" t="n">
        <v>6</v>
      </c>
      <c r="N11" s="228" t="n"/>
      <c r="O11" s="205" t="n"/>
      <c r="P11" s="205" t="n"/>
      <c r="Q11" s="205" t="n"/>
      <c r="R11" s="205" t="n"/>
      <c r="S11" s="234" t="n"/>
      <c r="T11" s="229" t="n"/>
      <c r="U11" s="230" t="n"/>
      <c r="V11" s="230" t="n"/>
      <c r="W11" s="230" t="n"/>
      <c r="X11" s="230" t="n"/>
      <c r="Y11" s="292" t="n"/>
      <c r="Z11" s="42" t="n"/>
    </row>
    <row r="12">
      <c r="A12" s="217" t="n">
        <v>46045</v>
      </c>
      <c r="B12" s="205" t="inlineStr">
        <is>
          <t>SGU</t>
        </is>
      </c>
      <c r="C12" s="206" t="n">
        <v>0.04166666666666666</v>
      </c>
      <c r="D12" s="207" t="inlineStr">
        <is>
          <t>H2: 56m</t>
        </is>
      </c>
      <c r="E12" s="208" t="n"/>
      <c r="F12" s="235" t="n"/>
      <c r="G12" s="212" t="n">
        <v>13</v>
      </c>
      <c r="H12" s="232" t="n">
        <v>6</v>
      </c>
      <c r="I12" s="205" t="n">
        <v>5</v>
      </c>
      <c r="J12" s="205" t="n">
        <v>3</v>
      </c>
      <c r="K12" s="205" t="n">
        <v>2</v>
      </c>
      <c r="L12" s="205" t="n">
        <v>3</v>
      </c>
      <c r="M12" s="211" t="n">
        <v>8</v>
      </c>
      <c r="N12" s="228" t="n"/>
      <c r="O12" s="205" t="n"/>
      <c r="P12" s="205" t="n"/>
      <c r="Q12" s="205" t="n"/>
      <c r="R12" s="205" t="n"/>
      <c r="S12" s="234" t="n"/>
      <c r="T12" s="232" t="n"/>
      <c r="U12" s="205" t="n"/>
      <c r="V12" s="205" t="n"/>
      <c r="W12" s="205" t="n"/>
      <c r="X12" s="205" t="n"/>
      <c r="Y12" s="234" t="n"/>
      <c r="Z12" s="42" t="n"/>
    </row>
    <row r="13">
      <c r="A13" s="217" t="n">
        <v>46045</v>
      </c>
      <c r="B13" s="205" t="inlineStr">
        <is>
          <t>SGU</t>
        </is>
      </c>
      <c r="C13" s="206" t="n">
        <v>1</v>
      </c>
      <c r="D13" s="207" t="inlineStr">
        <is>
          <t>H9: 50m</t>
        </is>
      </c>
      <c r="E13" s="208" t="n"/>
      <c r="F13" s="235" t="n"/>
      <c r="G13" s="212" t="n">
        <v>13</v>
      </c>
      <c r="H13" s="232" t="n">
        <v>2</v>
      </c>
      <c r="I13" s="205" t="n">
        <v>6</v>
      </c>
      <c r="J13" s="205" t="n">
        <v>7</v>
      </c>
      <c r="K13" s="205" t="n">
        <v>2</v>
      </c>
      <c r="L13" s="205" t="n">
        <v>2</v>
      </c>
      <c r="M13" s="211" t="n">
        <v>9</v>
      </c>
      <c r="N13" s="228" t="n"/>
      <c r="O13" s="205" t="n"/>
      <c r="P13" s="205" t="n"/>
      <c r="Q13" s="205" t="n"/>
      <c r="R13" s="205" t="n"/>
      <c r="S13" s="234" t="n"/>
      <c r="T13" s="232" t="n"/>
      <c r="U13" s="205" t="n"/>
      <c r="V13" s="205" t="n"/>
      <c r="W13" s="205" t="n"/>
      <c r="X13" s="205" t="n"/>
      <c r="Y13" s="234" t="n"/>
      <c r="Z13" s="42" t="n"/>
    </row>
    <row r="14">
      <c r="A14" s="217" t="n">
        <v>46083</v>
      </c>
      <c r="B14" s="205" t="inlineStr">
        <is>
          <t>SGU</t>
        </is>
      </c>
      <c r="C14" s="206" t="n">
        <v>0.04166666666666666</v>
      </c>
      <c r="D14" s="207" t="n"/>
      <c r="E14" s="208" t="n"/>
      <c r="F14" s="235" t="n"/>
      <c r="G14" s="212" t="n">
        <v>23</v>
      </c>
      <c r="H14" s="232" t="n">
        <v>9</v>
      </c>
      <c r="I14" s="205" t="n">
        <v>4</v>
      </c>
      <c r="J14" s="205" t="n">
        <v>3</v>
      </c>
      <c r="K14" s="205" t="n">
        <v>5</v>
      </c>
      <c r="L14" s="205" t="n">
        <v>7</v>
      </c>
      <c r="M14" s="211" t="n">
        <v>6</v>
      </c>
      <c r="N14" s="228" t="n"/>
      <c r="O14" s="205" t="n"/>
      <c r="P14" s="205" t="n"/>
      <c r="Q14" s="205" t="n"/>
      <c r="R14" s="205" t="n"/>
      <c r="S14" s="234" t="n"/>
      <c r="T14" s="232" t="n"/>
      <c r="U14" s="205" t="n"/>
      <c r="V14" s="205" t="n"/>
      <c r="W14" s="205" t="n"/>
      <c r="X14" s="205" t="n"/>
      <c r="Y14" s="234" t="n"/>
      <c r="Z14" s="42" t="n"/>
    </row>
    <row r="15">
      <c r="A15" s="217" t="n">
        <v>46056</v>
      </c>
      <c r="B15" s="205" t="inlineStr">
        <is>
          <t>SGU</t>
        </is>
      </c>
      <c r="C15" s="206" t="n">
        <v>0.04166666666666666</v>
      </c>
      <c r="D15" s="207" t="inlineStr">
        <is>
          <t>par 3</t>
        </is>
      </c>
      <c r="E15" s="208" t="n">
        <v>32</v>
      </c>
      <c r="F15" s="235" t="n">
        <v>30.5</v>
      </c>
      <c r="G15" s="212" t="n">
        <v>14</v>
      </c>
      <c r="H15" s="232" t="n">
        <v>7</v>
      </c>
      <c r="I15" s="205" t="n">
        <v>4</v>
      </c>
      <c r="J15" s="205" t="n">
        <v>3</v>
      </c>
      <c r="K15" s="205" t="n">
        <v>1</v>
      </c>
      <c r="L15" s="205" t="n">
        <v>4</v>
      </c>
      <c r="M15" s="211" t="n">
        <v>9</v>
      </c>
      <c r="N15" s="228" t="n">
        <v>11</v>
      </c>
      <c r="O15" s="205" t="n">
        <v>1</v>
      </c>
      <c r="P15" s="205" t="n">
        <v>2</v>
      </c>
      <c r="Q15" s="205" t="n">
        <v>3</v>
      </c>
      <c r="R15" s="205" t="n">
        <v>10</v>
      </c>
      <c r="S15" s="234" t="n">
        <v>1</v>
      </c>
      <c r="T15" s="232" t="n">
        <v>7</v>
      </c>
      <c r="U15" s="205" t="n">
        <v>3</v>
      </c>
      <c r="V15" s="205" t="n">
        <v>2</v>
      </c>
      <c r="W15" s="205" t="n">
        <v>1</v>
      </c>
      <c r="X15" s="205" t="n">
        <v>9</v>
      </c>
      <c r="Y15" s="234" t="n">
        <v>2</v>
      </c>
      <c r="Z15" s="42" t="n"/>
    </row>
    <row r="16">
      <c r="A16" s="217" t="n">
        <v>46058</v>
      </c>
      <c r="B16" s="205" t="inlineStr">
        <is>
          <t>Haverleij</t>
        </is>
      </c>
      <c r="C16" s="206" t="n">
        <v>0.1666666666666667</v>
      </c>
      <c r="D16" s="207" t="inlineStr">
        <is>
          <t>9 holes</t>
        </is>
      </c>
      <c r="E16" s="208" t="n">
        <v>65</v>
      </c>
      <c r="F16" s="235" t="n">
        <v>30.8</v>
      </c>
      <c r="G16" s="212" t="n"/>
      <c r="H16" s="232" t="n"/>
      <c r="I16" s="205" t="n"/>
      <c r="J16" s="205" t="n"/>
      <c r="K16" s="205" t="n"/>
      <c r="L16" s="205" t="n"/>
      <c r="M16" s="211" t="n"/>
      <c r="N16" s="228" t="n"/>
      <c r="O16" s="205" t="n"/>
      <c r="P16" s="205" t="n"/>
      <c r="Q16" s="205" t="n"/>
      <c r="R16" s="205" t="n"/>
      <c r="S16" s="234" t="n"/>
      <c r="T16" s="232" t="n"/>
      <c r="U16" s="205" t="n"/>
      <c r="V16" s="205" t="n"/>
      <c r="W16" s="205" t="n"/>
      <c r="X16" s="205" t="n"/>
      <c r="Y16" s="234" t="n"/>
      <c r="Z16" s="42" t="n"/>
    </row>
    <row r="17">
      <c r="A17" s="217" t="n">
        <v>46063</v>
      </c>
      <c r="B17" s="205" t="inlineStr">
        <is>
          <t>SGU</t>
        </is>
      </c>
      <c r="C17" s="206" t="n">
        <v>0.04166666666666666</v>
      </c>
      <c r="D17" s="207" t="inlineStr">
        <is>
          <t>DR+Chip</t>
        </is>
      </c>
      <c r="E17" s="208" t="n"/>
      <c r="F17" s="235" t="n"/>
      <c r="G17" s="212" t="n"/>
      <c r="H17" s="232" t="n"/>
      <c r="I17" s="205" t="n"/>
      <c r="J17" s="205" t="n"/>
      <c r="K17" s="205" t="n"/>
      <c r="L17" s="205" t="n"/>
      <c r="M17" s="211" t="n"/>
      <c r="N17" s="228" t="n"/>
      <c r="O17" s="205" t="n"/>
      <c r="P17" s="205" t="n"/>
      <c r="Q17" s="205" t="n"/>
      <c r="R17" s="205" t="n"/>
      <c r="S17" s="234" t="n"/>
      <c r="T17" s="232" t="n"/>
      <c r="U17" s="205" t="n"/>
      <c r="V17" s="205" t="n"/>
      <c r="W17" s="205" t="n"/>
      <c r="X17" s="205" t="n"/>
      <c r="Y17" s="234" t="n"/>
      <c r="Z17" s="42">
        <f>(6*14)+(30+30)</f>
        <v/>
      </c>
    </row>
    <row r="18">
      <c r="A18" s="217" t="n">
        <v>46066</v>
      </c>
      <c r="B18" s="205" t="inlineStr">
        <is>
          <t>SGU</t>
        </is>
      </c>
      <c r="C18" s="206" t="n">
        <v>0.01388888888888889</v>
      </c>
      <c r="D18" s="207" t="inlineStr">
        <is>
          <t>DR</t>
        </is>
      </c>
      <c r="E18" s="208" t="n"/>
      <c r="F18" s="235" t="n"/>
      <c r="G18" s="212" t="n"/>
      <c r="H18" s="232" t="n"/>
      <c r="I18" s="205" t="n"/>
      <c r="J18" s="205" t="n"/>
      <c r="K18" s="205" t="n"/>
      <c r="L18" s="205" t="n"/>
      <c r="M18" s="211" t="n"/>
      <c r="N18" s="228" t="n"/>
      <c r="O18" s="205" t="n"/>
      <c r="P18" s="205" t="n"/>
      <c r="Q18" s="205" t="n"/>
      <c r="R18" s="205" t="n"/>
      <c r="S18" s="234" t="n"/>
      <c r="T18" s="232" t="n"/>
      <c r="U18" s="205" t="n"/>
      <c r="V18" s="205" t="n"/>
      <c r="W18" s="205" t="n"/>
      <c r="X18" s="205" t="n"/>
      <c r="Y18" s="234" t="n"/>
      <c r="Z18" s="42" t="n">
        <v>60</v>
      </c>
    </row>
    <row r="19">
      <c r="A19" s="217" t="n">
        <v>46070</v>
      </c>
      <c r="B19" s="205" t="inlineStr">
        <is>
          <t>SGU</t>
        </is>
      </c>
      <c r="C19" s="206" t="n">
        <v>0.02083333333333333</v>
      </c>
      <c r="D19" s="207" t="n"/>
      <c r="E19" s="208" t="n"/>
      <c r="F19" s="235" t="n"/>
      <c r="G19" s="212" t="n">
        <v>16</v>
      </c>
      <c r="H19" s="232" t="n">
        <v>8</v>
      </c>
      <c r="I19" s="205" t="n">
        <v>6</v>
      </c>
      <c r="J19" s="205" t="n">
        <v>2</v>
      </c>
      <c r="K19" s="205" t="n">
        <v>1</v>
      </c>
      <c r="L19" s="205" t="n">
        <v>9</v>
      </c>
      <c r="M19" s="211" t="n">
        <v>7</v>
      </c>
      <c r="N19" s="228" t="n"/>
      <c r="O19" s="205" t="n"/>
      <c r="P19" s="205" t="n"/>
      <c r="Q19" s="205" t="n"/>
      <c r="R19" s="205" t="n"/>
      <c r="S19" s="234" t="n"/>
      <c r="T19" s="232" t="n"/>
      <c r="U19" s="205" t="n"/>
      <c r="V19" s="205" t="n"/>
      <c r="W19" s="205" t="n"/>
      <c r="X19" s="205" t="n"/>
      <c r="Y19" s="234" t="n"/>
      <c r="Z19" s="42">
        <f>9*6+(16*3)</f>
        <v/>
      </c>
    </row>
    <row r="20">
      <c r="A20" s="217" t="n">
        <v>46072</v>
      </c>
      <c r="B20" s="205" t="inlineStr">
        <is>
          <t>SGU</t>
        </is>
      </c>
      <c r="C20" s="206" t="n">
        <v>0.03125</v>
      </c>
      <c r="D20" s="207" t="n"/>
      <c r="E20" s="208" t="n"/>
      <c r="F20" s="235" t="n"/>
      <c r="G20" s="212" t="n"/>
      <c r="H20" s="232" t="n"/>
      <c r="I20" s="205" t="n"/>
      <c r="J20" s="205" t="n"/>
      <c r="K20" s="205" t="n"/>
      <c r="L20" s="205" t="n"/>
      <c r="M20" s="211" t="n"/>
      <c r="N20" s="228" t="n"/>
      <c r="O20" s="205" t="n"/>
      <c r="P20" s="205" t="n"/>
      <c r="Q20" s="205" t="n"/>
      <c r="R20" s="205" t="n"/>
      <c r="S20" s="234" t="n"/>
      <c r="T20" s="232" t="n"/>
      <c r="U20" s="205" t="n"/>
      <c r="V20" s="205" t="n"/>
      <c r="W20" s="205" t="n"/>
      <c r="X20" s="205" t="n"/>
      <c r="Y20" s="234" t="n"/>
      <c r="Z20" s="42" t="n">
        <v>89</v>
      </c>
    </row>
    <row r="21" ht="15" customHeight="1" thickBot="1">
      <c r="A21" s="217" t="n">
        <v>46073</v>
      </c>
      <c r="B21" s="205" t="inlineStr">
        <is>
          <t>SGU</t>
        </is>
      </c>
      <c r="C21" s="206" t="n">
        <v>0.02777777777777778</v>
      </c>
      <c r="D21" s="236" t="inlineStr">
        <is>
          <t>Chip+putt</t>
        </is>
      </c>
      <c r="E21" s="226" t="n"/>
      <c r="F21" s="227" t="n"/>
      <c r="G21" s="212" t="n"/>
      <c r="H21" s="233" t="n"/>
      <c r="I21" s="215" t="n"/>
      <c r="J21" s="215" t="n"/>
      <c r="K21" s="215" t="n"/>
      <c r="L21" s="215" t="n"/>
      <c r="M21" s="216" t="n"/>
      <c r="N21" s="228" t="n"/>
      <c r="O21" s="205" t="n"/>
      <c r="P21" s="205" t="n"/>
      <c r="Q21" s="205" t="n"/>
      <c r="R21" s="205" t="n"/>
      <c r="S21" s="234" t="n"/>
      <c r="T21" s="233" t="n"/>
      <c r="U21" s="215" t="n"/>
      <c r="V21" s="215" t="n"/>
      <c r="W21" s="215" t="n"/>
      <c r="X21" s="215" t="n"/>
      <c r="Y21" s="293" t="n"/>
      <c r="Z21" s="42">
        <f>3*15</f>
        <v/>
      </c>
    </row>
    <row r="22" ht="15" customHeight="1" thickBot="1">
      <c r="A22" s="217" t="n">
        <v>46077</v>
      </c>
      <c r="B22" s="205" t="inlineStr">
        <is>
          <t>SGU</t>
        </is>
      </c>
      <c r="C22" s="206" t="n">
        <v>0.02430555555555556</v>
      </c>
      <c r="D22" s="207" t="inlineStr">
        <is>
          <t>DR</t>
        </is>
      </c>
      <c r="E22" s="226" t="inlineStr">
        <is>
          <t>H1 (40m)</t>
        </is>
      </c>
      <c r="F22" s="235" t="inlineStr">
        <is>
          <t>H9 (50m)</t>
        </is>
      </c>
      <c r="G22" s="212" t="n">
        <v>16</v>
      </c>
      <c r="H22" s="232" t="n">
        <v>7</v>
      </c>
      <c r="I22" s="205" t="n">
        <v>4</v>
      </c>
      <c r="J22" s="205" t="n">
        <v>4</v>
      </c>
      <c r="K22" s="205" t="n">
        <v>0</v>
      </c>
      <c r="L22" s="205" t="n">
        <v>7</v>
      </c>
      <c r="M22" s="211" t="n">
        <v>8</v>
      </c>
      <c r="N22" s="228" t="n"/>
      <c r="O22" s="205" t="n"/>
      <c r="P22" s="205" t="n"/>
      <c r="Q22" s="205" t="n"/>
      <c r="R22" s="205" t="n"/>
      <c r="S22" s="234" t="n"/>
      <c r="T22" s="232" t="n"/>
      <c r="U22" s="205" t="n"/>
      <c r="V22" s="205" t="n"/>
      <c r="W22" s="205" t="n"/>
      <c r="X22" s="205" t="n"/>
      <c r="Y22" s="234" t="n"/>
      <c r="Z22" s="42">
        <f>9*5</f>
        <v/>
      </c>
    </row>
    <row r="23" ht="15" customHeight="1" thickBot="1">
      <c r="A23" s="217" t="n">
        <v>46078</v>
      </c>
      <c r="B23" s="205" t="inlineStr">
        <is>
          <t>SGU</t>
        </is>
      </c>
      <c r="C23" s="206" t="n">
        <v>0.02430555555555556</v>
      </c>
      <c r="D23" s="236" t="inlineStr">
        <is>
          <t>DR+Chip+putt</t>
        </is>
      </c>
      <c r="E23" s="226" t="n"/>
      <c r="F23" s="227" t="n"/>
      <c r="G23" s="212" t="n"/>
      <c r="H23" s="233" t="n"/>
      <c r="I23" s="215" t="n"/>
      <c r="J23" s="215" t="n"/>
      <c r="K23" s="215" t="n"/>
      <c r="L23" s="215" t="n"/>
      <c r="M23" s="216" t="n"/>
      <c r="N23" s="228" t="n"/>
      <c r="O23" s="205" t="n"/>
      <c r="P23" s="205" t="n"/>
      <c r="Q23" s="205" t="n"/>
      <c r="R23" s="205" t="n"/>
      <c r="S23" s="234" t="n"/>
      <c r="T23" s="233" t="n"/>
      <c r="U23" s="215" t="n"/>
      <c r="V23" s="215" t="n"/>
      <c r="W23" s="215" t="n"/>
      <c r="X23" s="215" t="n"/>
      <c r="Y23" s="293" t="n"/>
      <c r="Z23" s="42">
        <f>(9*8)+48</f>
        <v/>
      </c>
    </row>
    <row r="24">
      <c r="A24" s="217" t="n">
        <v>46083</v>
      </c>
      <c r="B24" s="205" t="inlineStr">
        <is>
          <t>SGU</t>
        </is>
      </c>
      <c r="C24" s="206" t="n">
        <v>0.02083333333333333</v>
      </c>
      <c r="D24" s="207" t="inlineStr">
        <is>
          <t>DR</t>
        </is>
      </c>
      <c r="E24" s="208" t="n"/>
      <c r="F24" s="235" t="n"/>
      <c r="G24" s="212" t="n"/>
      <c r="H24" s="232" t="n"/>
      <c r="I24" s="205" t="n"/>
      <c r="J24" s="205" t="n"/>
      <c r="K24" s="205" t="n"/>
      <c r="L24" s="205" t="n"/>
      <c r="M24" s="211" t="n"/>
      <c r="N24" s="228" t="n"/>
      <c r="O24" s="205" t="n"/>
      <c r="P24" s="205" t="n"/>
      <c r="Q24" s="205" t="n"/>
      <c r="R24" s="205" t="n"/>
      <c r="S24" s="234" t="n"/>
      <c r="T24" s="232" t="n"/>
      <c r="U24" s="205" t="n"/>
      <c r="V24" s="205" t="n"/>
      <c r="W24" s="205" t="n"/>
      <c r="X24" s="205" t="n"/>
      <c r="Y24" s="234" t="n"/>
      <c r="Z24" s="42" t="n">
        <v>48</v>
      </c>
    </row>
    <row r="25" ht="15" customHeight="1" thickBot="1">
      <c r="B25" s="205" t="n"/>
      <c r="C25" s="206" t="n"/>
      <c r="D25" s="236" t="n"/>
      <c r="E25" s="226" t="n"/>
      <c r="F25" s="227" t="n"/>
      <c r="G25" s="212" t="n"/>
      <c r="H25" s="233" t="n"/>
      <c r="I25" s="215" t="n"/>
      <c r="J25" s="215" t="n"/>
      <c r="K25" s="215" t="n"/>
      <c r="L25" s="215" t="n"/>
      <c r="M25" s="216" t="n"/>
      <c r="N25" s="228" t="n"/>
      <c r="O25" s="205" t="n"/>
      <c r="P25" s="205" t="n"/>
      <c r="Q25" s="205" t="n"/>
      <c r="R25" s="205" t="n"/>
      <c r="S25" s="234" t="n"/>
      <c r="T25" s="233" t="n"/>
      <c r="U25" s="215" t="n"/>
      <c r="V25" s="215" t="n"/>
      <c r="W25" s="215" t="n"/>
      <c r="X25" s="215" t="n"/>
      <c r="Y25" s="293" t="n"/>
      <c r="Z25" s="42" t="n"/>
    </row>
    <row r="26">
      <c r="B26" s="205" t="n"/>
      <c r="C26" s="206" t="n"/>
      <c r="D26" s="207" t="n"/>
      <c r="E26" s="208" t="n"/>
      <c r="F26" s="235" t="n"/>
      <c r="G26" s="212" t="n"/>
      <c r="H26" s="232" t="n"/>
      <c r="I26" s="205" t="n"/>
      <c r="J26" s="205" t="n"/>
      <c r="K26" s="205" t="n"/>
      <c r="L26" s="205" t="n"/>
      <c r="M26" s="211" t="n"/>
      <c r="N26" s="228" t="n"/>
      <c r="O26" s="205" t="n"/>
      <c r="P26" s="205" t="n"/>
      <c r="Q26" s="205" t="n"/>
      <c r="R26" s="205" t="n"/>
      <c r="S26" s="234" t="n"/>
      <c r="T26" s="232" t="n"/>
      <c r="U26" s="205" t="n"/>
      <c r="V26" s="205" t="n"/>
      <c r="W26" s="205" t="n"/>
      <c r="X26" s="205" t="n"/>
      <c r="Y26" s="234" t="n"/>
      <c r="Z26" s="42" t="n"/>
    </row>
    <row r="27" ht="15" customHeight="1" thickBot="1">
      <c r="B27" s="205" t="n"/>
      <c r="C27" s="206" t="n"/>
      <c r="D27" s="236" t="n"/>
      <c r="E27" s="226" t="n"/>
      <c r="F27" s="227" t="n"/>
      <c r="G27" s="212" t="n"/>
      <c r="H27" s="233" t="n"/>
      <c r="I27" s="215" t="n"/>
      <c r="J27" s="215" t="n"/>
      <c r="K27" s="215" t="n"/>
      <c r="L27" s="215" t="n"/>
      <c r="M27" s="216" t="n"/>
      <c r="N27" s="228" t="n"/>
      <c r="O27" s="205" t="n"/>
      <c r="P27" s="205" t="n"/>
      <c r="Q27" s="205" t="n"/>
      <c r="R27" s="205" t="n"/>
      <c r="S27" s="234" t="n"/>
      <c r="T27" s="233" t="n"/>
      <c r="U27" s="215" t="n"/>
      <c r="V27" s="215" t="n"/>
      <c r="W27" s="215" t="n"/>
      <c r="X27" s="215" t="n"/>
      <c r="Y27" s="293" t="n"/>
      <c r="Z27" s="43" t="n"/>
    </row>
  </sheetData>
  <mergeCells count="10">
    <mergeCell ref="K3:Y3"/>
    <mergeCell ref="Z4:Z6"/>
    <mergeCell ref="Q5:S5"/>
    <mergeCell ref="A10:Y10"/>
    <mergeCell ref="D5:F5"/>
    <mergeCell ref="K5:M5"/>
    <mergeCell ref="H4:M4"/>
    <mergeCell ref="W5:Y5"/>
    <mergeCell ref="T4:Y4"/>
    <mergeCell ref="N4:S4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F40"/>
  <sheetViews>
    <sheetView zoomScaleNormal="100" workbookViewId="0">
      <pane ySplit="7" topLeftCell="A8" activePane="bottomLeft" state="frozen"/>
      <selection pane="bottomLeft" activeCell="S37" sqref="S37"/>
    </sheetView>
  </sheetViews>
  <sheetFormatPr baseColWidth="8" defaultRowHeight="14.5"/>
  <cols>
    <col width="11.6328125" bestFit="1" customWidth="1" min="2" max="2"/>
    <col width="5.453125" bestFit="1" customWidth="1" min="3" max="3"/>
    <col width="17.36328125" bestFit="1" customWidth="1" min="4" max="4"/>
    <col width="6.6328125" customWidth="1" min="5" max="6"/>
    <col width="13.36328125" bestFit="1" customWidth="1" min="7" max="7"/>
    <col width="4.36328125" customWidth="1" style="2" min="8" max="13"/>
    <col width="5.36328125" bestFit="1" customWidth="1" style="2" min="14" max="15"/>
    <col width="4.36328125" customWidth="1" style="2" min="16" max="33"/>
    <col width="6.90625" customWidth="1" style="2" min="34" max="34"/>
    <col width="1.1796875" customWidth="1" style="2" min="35" max="35"/>
    <col width="4.36328125" customWidth="1" style="2" min="36" max="41"/>
    <col width="6.90625" customWidth="1" style="2" min="42" max="42"/>
    <col width="1.1796875" customWidth="1" style="2" min="43" max="43"/>
    <col width="4.36328125" customWidth="1" style="2" min="44" max="45"/>
  </cols>
  <sheetData>
    <row r="2">
      <c r="A2" t="inlineStr">
        <is>
          <t>1 putt = 0.82m</t>
        </is>
      </c>
    </row>
    <row r="3">
      <c r="A3">
        <f>2*0.82</f>
        <v/>
      </c>
      <c r="B3">
        <f>3*0.82</f>
        <v/>
      </c>
      <c r="H3" s="240" t="inlineStr">
        <is>
          <t>Putting</t>
        </is>
      </c>
      <c r="I3" s="158" t="n"/>
      <c r="J3" s="158" t="n"/>
      <c r="K3" s="158" t="n"/>
      <c r="L3" s="158" t="n"/>
      <c r="M3" s="158" t="n"/>
      <c r="N3" s="158" t="n"/>
      <c r="O3" s="158" t="n"/>
      <c r="P3" s="158" t="n"/>
      <c r="Q3" s="189" t="n"/>
    </row>
    <row r="4">
      <c r="H4" s="240" t="inlineStr">
        <is>
          <t>Short Putts</t>
        </is>
      </c>
      <c r="I4" s="158" t="n"/>
      <c r="J4" s="158" t="n"/>
      <c r="K4" s="189" t="n"/>
      <c r="L4" s="240" t="inlineStr">
        <is>
          <t>Lag Putting</t>
        </is>
      </c>
      <c r="M4" s="158" t="n"/>
      <c r="N4" s="158" t="n"/>
      <c r="O4" s="158" t="n"/>
      <c r="P4" s="158" t="n"/>
      <c r="Q4" s="189" t="n"/>
      <c r="R4" s="240" t="inlineStr">
        <is>
          <t>Pressure Drill</t>
        </is>
      </c>
      <c r="S4" s="158" t="n"/>
      <c r="T4" s="158" t="n"/>
      <c r="U4" s="158" t="n"/>
      <c r="V4" s="158" t="n"/>
      <c r="W4" s="158" t="n"/>
      <c r="X4" s="158" t="n"/>
      <c r="Y4" s="158" t="n"/>
      <c r="Z4" s="158" t="n"/>
      <c r="AA4" s="158" t="n"/>
      <c r="AB4" s="158" t="n"/>
      <c r="AC4" s="189" t="n"/>
      <c r="AD4" s="262" t="inlineStr">
        <is>
          <t>Chipping &amp; Pitching</t>
        </is>
      </c>
      <c r="AE4" s="158" t="n"/>
      <c r="AF4" s="158" t="n"/>
      <c r="AG4" s="158" t="n"/>
      <c r="AH4" s="158" t="n"/>
      <c r="AI4" s="158" t="n"/>
      <c r="AJ4" s="158" t="n"/>
      <c r="AK4" s="189" t="n"/>
      <c r="AL4" s="262" t="inlineStr">
        <is>
          <t>Chipping &amp; Pitching</t>
        </is>
      </c>
      <c r="AM4" s="158" t="n"/>
      <c r="AN4" s="158" t="n"/>
      <c r="AO4" s="158" t="n"/>
      <c r="AP4" s="158" t="n"/>
      <c r="AQ4" s="158" t="n"/>
      <c r="AR4" s="158" t="n"/>
      <c r="AS4" s="158" t="n"/>
      <c r="AT4" s="158" t="n"/>
      <c r="AU4" s="158" t="n"/>
      <c r="AV4" s="158" t="n"/>
      <c r="AW4" s="158" t="n"/>
      <c r="AX4" s="158" t="n"/>
      <c r="AY4" s="189" t="n"/>
      <c r="AZ4" s="262" t="inlineStr">
        <is>
          <t>Chipping &amp; Pitching</t>
        </is>
      </c>
      <c r="BA4" s="158" t="n"/>
      <c r="BB4" s="158" t="n"/>
      <c r="BC4" s="158" t="n"/>
      <c r="BD4" s="158" t="n"/>
      <c r="BE4" s="189" t="n"/>
    </row>
    <row r="5" ht="15" customHeight="1" thickBot="1">
      <c r="A5" t="n">
        <v>2025</v>
      </c>
      <c r="H5" s="240" t="inlineStr">
        <is>
          <t>25 shots</t>
        </is>
      </c>
      <c r="I5" s="189" t="n"/>
      <c r="J5" s="240" t="inlineStr">
        <is>
          <t>15 shots</t>
        </is>
      </c>
      <c r="K5" s="189" t="n"/>
      <c r="L5" s="240" t="inlineStr">
        <is>
          <t>10 shots</t>
        </is>
      </c>
      <c r="M5" s="158" t="n"/>
      <c r="N5" s="158" t="n"/>
      <c r="O5" s="158" t="n"/>
      <c r="P5" s="158" t="n"/>
      <c r="Q5" s="189" t="n"/>
      <c r="R5" s="240" t="inlineStr">
        <is>
          <t>Ladder</t>
        </is>
      </c>
      <c r="S5" s="158" t="n"/>
      <c r="T5" s="158" t="n"/>
      <c r="U5" s="158" t="n"/>
      <c r="V5" s="158" t="n"/>
      <c r="W5" s="189" t="n"/>
      <c r="X5" s="302" t="inlineStr">
        <is>
          <t>North - South 36 shots/12 each</t>
        </is>
      </c>
      <c r="Y5" s="158" t="n"/>
      <c r="Z5" s="158" t="n"/>
      <c r="AA5" s="158" t="n"/>
      <c r="AB5" s="158" t="n"/>
      <c r="AC5" s="189" t="n"/>
      <c r="AD5" s="240" t="inlineStr">
        <is>
          <t>Basic Chips</t>
        </is>
      </c>
      <c r="AE5" s="158" t="n"/>
      <c r="AF5" s="158" t="n"/>
      <c r="AG5" s="158" t="n"/>
      <c r="AH5" s="158" t="n"/>
      <c r="AI5" s="158" t="n"/>
      <c r="AJ5" s="158" t="n"/>
      <c r="AK5" s="189" t="n"/>
      <c r="AL5" s="240" t="inlineStr">
        <is>
          <t>Pitch Shots</t>
        </is>
      </c>
      <c r="AM5" s="158" t="n"/>
      <c r="AN5" s="158" t="n"/>
      <c r="AO5" s="158" t="n"/>
      <c r="AP5" s="158" t="n"/>
      <c r="AQ5" s="158" t="n"/>
      <c r="AR5" s="158" t="n"/>
      <c r="AS5" s="189" t="n"/>
      <c r="AT5" s="240" t="inlineStr">
        <is>
          <t>Up&amp;Down Challenge (3 strokes = Par)</t>
        </is>
      </c>
      <c r="AU5" s="158" t="n"/>
      <c r="AV5" s="158" t="n"/>
      <c r="AW5" s="158" t="n"/>
      <c r="AX5" s="158" t="n"/>
      <c r="AY5" s="158" t="n"/>
      <c r="AZ5" s="158" t="n"/>
      <c r="BA5" s="158" t="n"/>
      <c r="BB5" s="158" t="n"/>
      <c r="BC5" s="158" t="n"/>
      <c r="BD5" s="158" t="n"/>
      <c r="BE5" s="189" t="n"/>
    </row>
    <row r="6">
      <c r="D6" s="258" t="inlineStr">
        <is>
          <t>Golf Course</t>
        </is>
      </c>
      <c r="E6" s="294" t="n"/>
      <c r="F6" s="295" t="n"/>
      <c r="G6" s="188" t="n"/>
      <c r="H6" s="240" t="inlineStr">
        <is>
          <t>1m</t>
        </is>
      </c>
      <c r="I6" s="189" t="n"/>
      <c r="J6" s="240" t="inlineStr">
        <is>
          <t>2m</t>
        </is>
      </c>
      <c r="K6" s="189" t="n"/>
      <c r="L6" s="240" t="inlineStr">
        <is>
          <t>8m</t>
        </is>
      </c>
      <c r="M6" s="189" t="n"/>
      <c r="N6" s="240" t="inlineStr">
        <is>
          <t>10m</t>
        </is>
      </c>
      <c r="O6" s="189" t="n"/>
      <c r="P6" s="240" t="inlineStr">
        <is>
          <t>12m</t>
        </is>
      </c>
      <c r="Q6" s="189" t="n"/>
      <c r="R6" s="240" t="inlineStr">
        <is>
          <t>1m</t>
        </is>
      </c>
      <c r="S6" s="189" t="n"/>
      <c r="T6" s="240" t="inlineStr">
        <is>
          <t>2m</t>
        </is>
      </c>
      <c r="U6" s="189" t="n"/>
      <c r="V6" s="240" t="inlineStr">
        <is>
          <t>3m</t>
        </is>
      </c>
      <c r="W6" s="189" t="n"/>
      <c r="X6" s="240" t="inlineStr">
        <is>
          <t>1m</t>
        </is>
      </c>
      <c r="Y6" s="189" t="n"/>
      <c r="Z6" s="240" t="inlineStr">
        <is>
          <t>2m</t>
        </is>
      </c>
      <c r="AA6" s="189" t="n"/>
      <c r="AB6" s="240" t="inlineStr">
        <is>
          <t>3m</t>
        </is>
      </c>
      <c r="AC6" s="189" t="n"/>
      <c r="AD6" s="240" t="inlineStr">
        <is>
          <t>10 shots - 2m</t>
        </is>
      </c>
      <c r="AE6" s="158" t="n"/>
      <c r="AF6" s="158" t="n"/>
      <c r="AG6" s="189" t="n"/>
      <c r="AH6" s="240" t="inlineStr">
        <is>
          <t>10 shots</t>
        </is>
      </c>
      <c r="AI6" s="158" t="n"/>
      <c r="AJ6" s="158" t="n"/>
      <c r="AK6" s="189" t="n"/>
      <c r="AL6" s="240" t="inlineStr">
        <is>
          <t>Low: 10 shots</t>
        </is>
      </c>
      <c r="AM6" s="158" t="n"/>
      <c r="AN6" s="158" t="n"/>
      <c r="AO6" s="189" t="n"/>
      <c r="AP6" s="240" t="inlineStr">
        <is>
          <t>High: 10 shots</t>
        </is>
      </c>
      <c r="AQ6" s="158" t="n"/>
      <c r="AR6" s="158" t="n"/>
      <c r="AS6" s="189" t="n"/>
      <c r="AT6" s="240" t="inlineStr">
        <is>
          <t>16 shots 4/each</t>
        </is>
      </c>
      <c r="AU6" s="158" t="n"/>
      <c r="AV6" s="158" t="n"/>
      <c r="AW6" s="158" t="n"/>
      <c r="AX6" s="158" t="n"/>
      <c r="AY6" s="189" t="n"/>
      <c r="AZ6" s="240" t="inlineStr">
        <is>
          <t>16 shots 4/each</t>
        </is>
      </c>
      <c r="BA6" s="158" t="n"/>
      <c r="BB6" s="158" t="n"/>
      <c r="BC6" s="158" t="n"/>
      <c r="BD6" s="158" t="n"/>
      <c r="BE6" s="189" t="n"/>
    </row>
    <row r="7" ht="15" customHeight="1" thickBot="1">
      <c r="A7" s="262" t="inlineStr">
        <is>
          <t>Date:</t>
        </is>
      </c>
      <c r="B7" s="262" t="inlineStr">
        <is>
          <t>Club</t>
        </is>
      </c>
      <c r="C7" s="242" t="inlineStr">
        <is>
          <t>Time:</t>
        </is>
      </c>
      <c r="D7" s="82" t="inlineStr">
        <is>
          <t>Course</t>
        </is>
      </c>
      <c r="E7" s="186" t="inlineStr">
        <is>
          <t>Result</t>
        </is>
      </c>
      <c r="F7" s="187" t="inlineStr">
        <is>
          <t>Hcp:</t>
        </is>
      </c>
      <c r="G7" s="243" t="inlineStr">
        <is>
          <t>Practice:</t>
        </is>
      </c>
      <c r="H7" s="239" t="inlineStr">
        <is>
          <t>In</t>
        </is>
      </c>
      <c r="I7" s="240" t="inlineStr">
        <is>
          <t>Out</t>
        </is>
      </c>
      <c r="J7" s="240" t="inlineStr">
        <is>
          <t>In</t>
        </is>
      </c>
      <c r="K7" s="240" t="inlineStr">
        <is>
          <t>Out</t>
        </is>
      </c>
      <c r="L7" s="240" t="inlineStr">
        <is>
          <t>In</t>
        </is>
      </c>
      <c r="M7" s="240" t="inlineStr">
        <is>
          <t>Out</t>
        </is>
      </c>
      <c r="N7" s="240" t="inlineStr">
        <is>
          <t>In</t>
        </is>
      </c>
      <c r="O7" s="240" t="inlineStr">
        <is>
          <t>Out</t>
        </is>
      </c>
      <c r="P7" s="240" t="inlineStr">
        <is>
          <t>In</t>
        </is>
      </c>
      <c r="Q7" s="240" t="inlineStr">
        <is>
          <t>Out</t>
        </is>
      </c>
      <c r="R7" s="240" t="inlineStr">
        <is>
          <t>In</t>
        </is>
      </c>
      <c r="S7" s="240" t="inlineStr">
        <is>
          <t>Out</t>
        </is>
      </c>
      <c r="T7" s="240" t="inlineStr">
        <is>
          <t>In</t>
        </is>
      </c>
      <c r="U7" s="240" t="inlineStr">
        <is>
          <t>Out</t>
        </is>
      </c>
      <c r="V7" s="240" t="inlineStr">
        <is>
          <t>In</t>
        </is>
      </c>
      <c r="W7" s="240" t="inlineStr">
        <is>
          <t>Out</t>
        </is>
      </c>
      <c r="X7" s="240" t="inlineStr">
        <is>
          <t>In</t>
        </is>
      </c>
      <c r="Y7" s="240" t="inlineStr">
        <is>
          <t>Out</t>
        </is>
      </c>
      <c r="Z7" s="240" t="inlineStr">
        <is>
          <t>In</t>
        </is>
      </c>
      <c r="AA7" s="240" t="inlineStr">
        <is>
          <t>Out</t>
        </is>
      </c>
      <c r="AB7" s="240" t="inlineStr">
        <is>
          <t>In</t>
        </is>
      </c>
      <c r="AC7" s="240" t="inlineStr">
        <is>
          <t>Out</t>
        </is>
      </c>
      <c r="AD7" s="240" t="inlineStr">
        <is>
          <t>Club</t>
        </is>
      </c>
      <c r="AE7" s="189" t="n"/>
      <c r="AF7" s="240" t="inlineStr">
        <is>
          <t>In</t>
        </is>
      </c>
      <c r="AG7" s="240" t="inlineStr">
        <is>
          <t>Out</t>
        </is>
      </c>
      <c r="AH7" s="240" t="inlineStr">
        <is>
          <t>Club</t>
        </is>
      </c>
      <c r="AI7" s="189" t="n"/>
      <c r="AJ7" s="240" t="inlineStr">
        <is>
          <t>In</t>
        </is>
      </c>
      <c r="AK7" s="240" t="inlineStr">
        <is>
          <t>Out</t>
        </is>
      </c>
      <c r="AL7" s="240" t="inlineStr">
        <is>
          <t>Club</t>
        </is>
      </c>
      <c r="AM7" s="189" t="n"/>
      <c r="AN7" s="240" t="inlineStr">
        <is>
          <t>In</t>
        </is>
      </c>
      <c r="AO7" s="240" t="inlineStr">
        <is>
          <t>Out</t>
        </is>
      </c>
      <c r="AP7" s="240" t="inlineStr">
        <is>
          <t>Club</t>
        </is>
      </c>
      <c r="AQ7" s="189" t="n"/>
      <c r="AR7" s="240" t="inlineStr">
        <is>
          <t>In</t>
        </is>
      </c>
      <c r="AS7" s="240" t="inlineStr">
        <is>
          <t>Out</t>
        </is>
      </c>
      <c r="AT7" s="237" t="inlineStr">
        <is>
          <t>Shot</t>
        </is>
      </c>
      <c r="AU7" s="240" t="inlineStr">
        <is>
          <t>Up</t>
        </is>
      </c>
      <c r="AV7" s="240" t="inlineStr">
        <is>
          <t>Down</t>
        </is>
      </c>
      <c r="AW7" s="10" t="inlineStr">
        <is>
          <t>Shot</t>
        </is>
      </c>
      <c r="AX7" s="240" t="inlineStr">
        <is>
          <t>Up</t>
        </is>
      </c>
      <c r="AY7" s="240" t="inlineStr">
        <is>
          <t>Down</t>
        </is>
      </c>
      <c r="AZ7" s="237" t="inlineStr">
        <is>
          <t>Shot</t>
        </is>
      </c>
      <c r="BA7" s="240" t="inlineStr">
        <is>
          <t>Up</t>
        </is>
      </c>
      <c r="BB7" s="240" t="inlineStr">
        <is>
          <t>Down</t>
        </is>
      </c>
      <c r="BC7" s="10" t="inlineStr">
        <is>
          <t>Shot</t>
        </is>
      </c>
      <c r="BD7" s="240" t="inlineStr">
        <is>
          <t>Up</t>
        </is>
      </c>
      <c r="BE7" s="240" t="inlineStr">
        <is>
          <t>Down</t>
        </is>
      </c>
      <c r="BF7" s="237" t="inlineStr">
        <is>
          <t>Notes:</t>
        </is>
      </c>
    </row>
    <row r="8" customFormat="1" s="200">
      <c r="A8" s="185" t="n">
        <v>45919</v>
      </c>
      <c r="B8" s="183" t="inlineStr">
        <is>
          <t>Amalieswerd</t>
        </is>
      </c>
      <c r="C8" s="199" t="n"/>
      <c r="D8" s="201" t="n"/>
      <c r="E8" s="202" t="n"/>
      <c r="F8" s="203" t="inlineStr">
        <is>
          <t>BP</t>
        </is>
      </c>
      <c r="G8" s="196" t="n"/>
      <c r="H8" s="197" t="n">
        <v>17</v>
      </c>
      <c r="I8" s="197" t="n">
        <v>3</v>
      </c>
      <c r="J8" s="197" t="n">
        <v>4</v>
      </c>
      <c r="K8" s="197" t="n">
        <v>11</v>
      </c>
      <c r="L8" s="197" t="n"/>
      <c r="M8" s="197" t="n"/>
      <c r="N8" s="197" t="n"/>
      <c r="O8" s="197" t="n"/>
      <c r="P8" s="197" t="n"/>
      <c r="Q8" s="197" t="n"/>
      <c r="R8" s="197" t="n"/>
      <c r="S8" s="197" t="n"/>
      <c r="T8" s="197" t="n"/>
      <c r="U8" s="197" t="n"/>
      <c r="V8" s="197" t="n"/>
      <c r="W8" s="197" t="n"/>
      <c r="X8" s="197" t="n">
        <v>11</v>
      </c>
      <c r="Y8" s="197" t="n">
        <v>1</v>
      </c>
      <c r="Z8" s="197" t="n">
        <v>7</v>
      </c>
      <c r="AA8" s="197" t="n">
        <v>5</v>
      </c>
      <c r="AB8" s="197" t="n">
        <v>8</v>
      </c>
      <c r="AC8" s="197" t="n">
        <v>4</v>
      </c>
      <c r="AD8" s="197" t="n"/>
      <c r="AE8" s="189" t="n"/>
      <c r="AF8" s="197" t="n"/>
      <c r="AG8" s="197" t="n"/>
      <c r="AH8" s="197" t="n"/>
      <c r="AI8" s="189" t="n"/>
      <c r="AJ8" s="197" t="n"/>
      <c r="AK8" s="197" t="n"/>
      <c r="AL8" s="197" t="n"/>
      <c r="AM8" s="189" t="n"/>
      <c r="AN8" s="197" t="n"/>
      <c r="AO8" s="197" t="n"/>
      <c r="AP8" s="197" t="n"/>
      <c r="AQ8" s="189" t="n"/>
      <c r="AR8" s="197" t="n"/>
      <c r="AS8" s="197" t="n"/>
      <c r="AT8" s="267" t="inlineStr">
        <is>
          <t>Chip</t>
        </is>
      </c>
      <c r="AU8" s="197" t="n"/>
      <c r="AV8" s="197" t="n"/>
      <c r="AW8" s="267" t="inlineStr">
        <is>
          <t>Pitch</t>
        </is>
      </c>
      <c r="AX8" s="197" t="n"/>
      <c r="AY8" s="197" t="n"/>
      <c r="AZ8" s="267" t="inlineStr">
        <is>
          <t>Lob</t>
        </is>
      </c>
      <c r="BA8" s="197" t="n"/>
      <c r="BB8" s="197" t="n"/>
      <c r="BC8" s="267" t="inlineStr">
        <is>
          <t>Bunker</t>
        </is>
      </c>
      <c r="BD8" s="197" t="n"/>
      <c r="BE8" s="197" t="n"/>
      <c r="BF8" s="199" t="n"/>
    </row>
    <row r="9">
      <c r="A9" s="9" t="n">
        <v>45923</v>
      </c>
      <c r="B9" s="7" t="inlineStr">
        <is>
          <t>Amalieswerd</t>
        </is>
      </c>
      <c r="C9" s="191" t="n">
        <v>0.04166666666666666</v>
      </c>
      <c r="D9" s="161" t="inlineStr">
        <is>
          <t>9H, Par 3</t>
        </is>
      </c>
      <c r="E9" s="29" t="n">
        <v>36</v>
      </c>
      <c r="F9" s="162" t="n">
        <v>52.8</v>
      </c>
      <c r="G9" s="189" t="n"/>
      <c r="H9" s="240" t="n"/>
      <c r="I9" s="240" t="n"/>
      <c r="J9" s="240" t="n"/>
      <c r="K9" s="240" t="n"/>
      <c r="L9" s="240" t="n"/>
      <c r="M9" s="240" t="n"/>
      <c r="N9" s="240" t="n"/>
      <c r="O9" s="240" t="n"/>
      <c r="P9" s="240" t="n"/>
      <c r="Q9" s="240" t="n"/>
      <c r="R9" s="240" t="n"/>
      <c r="S9" s="240" t="n"/>
      <c r="T9" s="240" t="n"/>
      <c r="U9" s="240" t="n"/>
      <c r="V9" s="240" t="n"/>
      <c r="W9" s="240" t="n"/>
      <c r="X9" s="240" t="n"/>
      <c r="Y9" s="240" t="n"/>
      <c r="Z9" s="240" t="n"/>
      <c r="AA9" s="240" t="n"/>
      <c r="AB9" s="240" t="n"/>
      <c r="AC9" s="240" t="n"/>
      <c r="AD9" s="237" t="n"/>
      <c r="AE9" s="239" t="n"/>
      <c r="AF9" s="240" t="n"/>
      <c r="AG9" s="240" t="n"/>
      <c r="AH9" s="237" t="n"/>
      <c r="AI9" s="239" t="n"/>
      <c r="AJ9" s="240" t="n"/>
      <c r="AK9" s="240" t="n"/>
      <c r="AL9" s="237" t="n"/>
      <c r="AM9" s="239" t="n"/>
      <c r="AN9" s="240" t="n"/>
      <c r="AO9" s="240" t="n"/>
      <c r="AP9" s="237" t="n"/>
      <c r="AQ9" s="239" t="n"/>
      <c r="AR9" s="240" t="n"/>
      <c r="AS9" s="240" t="n"/>
      <c r="AT9" s="237" t="n"/>
      <c r="AU9" s="240" t="n"/>
      <c r="AV9" s="240" t="n"/>
      <c r="AW9" s="237" t="n"/>
      <c r="AX9" s="240" t="n"/>
      <c r="AY9" s="240" t="n"/>
      <c r="AZ9" s="237" t="n"/>
      <c r="BA9" s="240" t="n"/>
      <c r="BB9" s="240" t="n"/>
      <c r="BC9" s="237" t="n"/>
      <c r="BD9" s="240" t="n"/>
      <c r="BE9" s="240" t="n"/>
      <c r="BF9" s="40" t="n"/>
    </row>
    <row r="10">
      <c r="A10" s="9" t="n">
        <v>45929</v>
      </c>
      <c r="B10" s="7" t="inlineStr">
        <is>
          <t>Amalieswerd</t>
        </is>
      </c>
      <c r="C10" s="40" t="n"/>
      <c r="D10" s="163" t="n"/>
      <c r="E10" s="7" t="n"/>
      <c r="F10" s="164" t="n"/>
      <c r="G10" s="189" t="n"/>
      <c r="H10" s="240" t="n">
        <v>15</v>
      </c>
      <c r="I10" s="240" t="n">
        <v>10</v>
      </c>
      <c r="J10" s="240" t="n">
        <v>4</v>
      </c>
      <c r="K10" s="240" t="n">
        <v>11</v>
      </c>
      <c r="L10" s="240" t="inlineStr">
        <is>
          <t>7(1)</t>
        </is>
      </c>
      <c r="M10" s="240" t="n">
        <v>2</v>
      </c>
      <c r="N10" s="240" t="inlineStr">
        <is>
          <t>4(1)</t>
        </is>
      </c>
      <c r="O10" s="240" t="n">
        <v>6</v>
      </c>
      <c r="P10" s="240" t="inlineStr">
        <is>
          <t>1(2)</t>
        </is>
      </c>
      <c r="Q10" s="240" t="n">
        <v>7</v>
      </c>
      <c r="R10" s="240" t="n"/>
      <c r="S10" s="240" t="n"/>
      <c r="T10" s="240" t="n"/>
      <c r="U10" s="240" t="n"/>
      <c r="V10" s="240" t="n"/>
      <c r="W10" s="240" t="n"/>
      <c r="X10" s="240" t="n"/>
      <c r="Y10" s="240" t="n"/>
      <c r="Z10" s="240" t="n"/>
      <c r="AA10" s="240" t="n"/>
      <c r="AB10" s="240" t="n"/>
      <c r="AC10" s="240" t="n"/>
      <c r="AD10" s="240" t="n"/>
      <c r="AE10" s="189" t="n"/>
      <c r="AF10" s="240" t="n"/>
      <c r="AG10" s="240" t="n"/>
      <c r="AH10" s="240" t="n"/>
      <c r="AI10" s="189" t="n"/>
      <c r="AJ10" s="240" t="n"/>
      <c r="AK10" s="240" t="n"/>
      <c r="AL10" s="240" t="n"/>
      <c r="AM10" s="189" t="n"/>
      <c r="AN10" s="240" t="n"/>
      <c r="AO10" s="240" t="n"/>
      <c r="AP10" s="240" t="n"/>
      <c r="AQ10" s="189" t="n"/>
      <c r="AR10" s="240" t="n"/>
      <c r="AS10" s="240" t="n"/>
      <c r="AT10" s="237" t="n"/>
      <c r="AU10" s="240" t="n"/>
      <c r="AV10" s="240" t="n"/>
      <c r="AW10" s="237" t="n"/>
      <c r="AX10" s="240" t="n"/>
      <c r="AY10" s="240" t="n"/>
      <c r="AZ10" s="237" t="n"/>
      <c r="BA10" s="240" t="n"/>
      <c r="BB10" s="240" t="n"/>
      <c r="BC10" s="237" t="n"/>
      <c r="BD10" s="240" t="n"/>
      <c r="BE10" s="240" t="n"/>
      <c r="BF10" s="40" t="n"/>
    </row>
    <row r="11">
      <c r="A11" s="9" t="n">
        <v>45930</v>
      </c>
      <c r="B11" s="7" t="inlineStr">
        <is>
          <t>SGU</t>
        </is>
      </c>
      <c r="C11" s="40" t="n"/>
      <c r="D11" s="163" t="n"/>
      <c r="E11" s="7" t="n"/>
      <c r="F11" s="164" t="n"/>
      <c r="G11" s="189" t="n"/>
      <c r="H11" s="240" t="n"/>
      <c r="I11" s="240" t="n"/>
      <c r="J11" s="240" t="n"/>
      <c r="K11" s="240" t="n"/>
      <c r="L11" s="240" t="n"/>
      <c r="M11" s="240" t="n"/>
      <c r="N11" s="240" t="n"/>
      <c r="O11" s="240" t="n"/>
      <c r="P11" s="240" t="n"/>
      <c r="Q11" s="240" t="n"/>
      <c r="R11" s="240" t="n"/>
      <c r="S11" s="240" t="n"/>
      <c r="T11" s="240" t="n"/>
      <c r="U11" s="240" t="n"/>
      <c r="V11" s="240" t="n"/>
      <c r="W11" s="240" t="n"/>
      <c r="X11" s="240" t="n"/>
      <c r="Y11" s="240" t="n"/>
      <c r="Z11" s="240" t="n"/>
      <c r="AA11" s="240" t="n"/>
      <c r="AB11" s="240" t="n"/>
      <c r="AC11" s="240" t="n"/>
      <c r="AD11" s="240" t="inlineStr">
        <is>
          <t>sw</t>
        </is>
      </c>
      <c r="AE11" s="189" t="n"/>
      <c r="AF11" s="240" t="n">
        <v>3</v>
      </c>
      <c r="AG11" s="240" t="n">
        <v>7</v>
      </c>
      <c r="AH11" s="240" t="n"/>
      <c r="AI11" s="189" t="n"/>
      <c r="AJ11" s="240" t="n"/>
      <c r="AK11" s="240" t="n"/>
      <c r="AL11" s="240" t="inlineStr">
        <is>
          <t xml:space="preserve">P </t>
        </is>
      </c>
      <c r="AM11" s="189" t="n"/>
      <c r="AN11" s="240" t="n">
        <v>1</v>
      </c>
      <c r="AO11" s="240" t="n">
        <v>9</v>
      </c>
      <c r="AP11" s="240" t="n"/>
      <c r="AQ11" s="189" t="n"/>
      <c r="AR11" s="240" t="n">
        <v>1</v>
      </c>
      <c r="AS11" s="240" t="n">
        <v>9</v>
      </c>
      <c r="AT11" s="237" t="inlineStr">
        <is>
          <t>Chip</t>
        </is>
      </c>
      <c r="AU11" s="240" t="n"/>
      <c r="AV11" s="240" t="n">
        <v>1</v>
      </c>
      <c r="AW11" s="237" t="inlineStr">
        <is>
          <t>Pitch</t>
        </is>
      </c>
      <c r="AX11" s="240" t="n">
        <v>1</v>
      </c>
      <c r="AY11" s="240" t="n"/>
      <c r="AZ11" s="237" t="inlineStr">
        <is>
          <t>Lob</t>
        </is>
      </c>
      <c r="BA11" s="240" t="n">
        <v>0</v>
      </c>
      <c r="BB11" s="240" t="n">
        <v>0</v>
      </c>
      <c r="BC11" s="237" t="inlineStr">
        <is>
          <t>Bunker</t>
        </is>
      </c>
      <c r="BD11" s="240" t="n">
        <v>0</v>
      </c>
      <c r="BE11" s="240" t="n">
        <v>0</v>
      </c>
      <c r="BF11" s="40" t="n"/>
    </row>
    <row r="12" customFormat="1" s="200">
      <c r="A12" s="185" t="n">
        <v>45932</v>
      </c>
      <c r="B12" s="183" t="inlineStr">
        <is>
          <t>SGU</t>
        </is>
      </c>
      <c r="C12" s="199" t="n"/>
      <c r="D12" s="194" t="n"/>
      <c r="E12" s="183" t="n"/>
      <c r="F12" s="195" t="n">
        <v>44.6</v>
      </c>
      <c r="G12" s="196" t="n"/>
      <c r="H12" s="197" t="n"/>
      <c r="I12" s="197" t="n"/>
      <c r="J12" s="197" t="n"/>
      <c r="K12" s="197" t="n"/>
      <c r="L12" s="197" t="n"/>
      <c r="M12" s="197" t="n"/>
      <c r="N12" s="197" t="n"/>
      <c r="O12" s="197" t="n"/>
      <c r="P12" s="197" t="n"/>
      <c r="Q12" s="197" t="n"/>
      <c r="R12" s="197" t="n"/>
      <c r="S12" s="197" t="n"/>
      <c r="T12" s="197" t="n"/>
      <c r="U12" s="197" t="n"/>
      <c r="V12" s="197" t="n"/>
      <c r="W12" s="197" t="n"/>
      <c r="X12" s="197" t="n"/>
      <c r="Y12" s="197" t="n"/>
      <c r="Z12" s="197" t="n"/>
      <c r="AA12" s="197" t="n"/>
      <c r="AB12" s="197" t="n"/>
      <c r="AC12" s="197" t="n"/>
      <c r="AD12" s="197" t="n"/>
      <c r="AE12" s="189" t="n"/>
      <c r="AF12" s="197" t="n"/>
      <c r="AG12" s="197" t="n"/>
      <c r="AH12" s="197" t="n"/>
      <c r="AI12" s="189" t="n"/>
      <c r="AJ12" s="197" t="n"/>
      <c r="AK12" s="197" t="n"/>
      <c r="AL12" s="197" t="n"/>
      <c r="AM12" s="189" t="n"/>
      <c r="AN12" s="197" t="n"/>
      <c r="AO12" s="197" t="n"/>
      <c r="AP12" s="197" t="n"/>
      <c r="AQ12" s="189" t="n"/>
      <c r="AR12" s="197" t="n"/>
      <c r="AS12" s="197" t="n"/>
      <c r="AT12" s="267" t="n"/>
      <c r="AU12" s="197" t="n"/>
      <c r="AV12" s="197" t="n"/>
      <c r="AW12" s="267" t="n"/>
      <c r="AX12" s="197" t="n"/>
      <c r="AY12" s="197" t="n"/>
      <c r="AZ12" s="267" t="n"/>
      <c r="BA12" s="197" t="n"/>
      <c r="BB12" s="197" t="n"/>
      <c r="BC12" s="267" t="n"/>
      <c r="BD12" s="197" t="n"/>
      <c r="BE12" s="197" t="n"/>
      <c r="BF12" s="199" t="n"/>
    </row>
    <row r="13">
      <c r="A13" s="9" t="n">
        <v>45952</v>
      </c>
      <c r="B13" s="7" t="inlineStr">
        <is>
          <t>SGU</t>
        </is>
      </c>
      <c r="C13" s="191" t="n">
        <v>0.06666666666666667</v>
      </c>
      <c r="D13" s="163" t="n"/>
      <c r="E13" s="7" t="n"/>
      <c r="F13" s="164" t="n"/>
      <c r="G13" s="189" t="inlineStr">
        <is>
          <t>sg</t>
        </is>
      </c>
      <c r="H13" s="240" t="n"/>
      <c r="I13" s="240" t="n"/>
      <c r="J13" s="240" t="n"/>
      <c r="K13" s="240" t="n"/>
      <c r="L13" s="240" t="n"/>
      <c r="M13" s="240" t="n"/>
      <c r="N13" s="240" t="n"/>
      <c r="O13" s="240" t="n"/>
      <c r="P13" s="240" t="n"/>
      <c r="Q13" s="240" t="n"/>
      <c r="R13" s="240" t="n"/>
      <c r="S13" s="240" t="n"/>
      <c r="T13" s="240" t="n"/>
      <c r="U13" s="240" t="n"/>
      <c r="V13" s="240" t="n"/>
      <c r="W13" s="240" t="n"/>
      <c r="X13" s="240" t="n"/>
      <c r="Y13" s="240" t="n"/>
      <c r="Z13" s="240" t="n"/>
      <c r="AA13" s="240" t="n"/>
      <c r="AB13" s="240" t="n"/>
      <c r="AC13" s="240" t="n"/>
      <c r="AD13" s="240" t="n"/>
      <c r="AE13" s="189" t="n"/>
      <c r="AF13" s="240" t="n"/>
      <c r="AG13" s="240" t="n"/>
      <c r="AH13" s="240" t="n"/>
      <c r="AI13" s="189" t="n"/>
      <c r="AJ13" s="240" t="n"/>
      <c r="AK13" s="240" t="n"/>
      <c r="AL13" s="240" t="n"/>
      <c r="AM13" s="189" t="n"/>
      <c r="AN13" s="240" t="n"/>
      <c r="AO13" s="240" t="n"/>
      <c r="AP13" s="240" t="n"/>
      <c r="AQ13" s="189" t="n"/>
      <c r="AR13" s="240" t="n"/>
      <c r="AS13" s="240" t="n"/>
      <c r="AT13" s="237" t="n"/>
      <c r="AU13" s="240" t="n"/>
      <c r="AV13" s="240" t="n"/>
      <c r="AW13" s="237" t="n"/>
      <c r="AX13" s="240" t="n"/>
      <c r="AY13" s="240" t="n"/>
      <c r="AZ13" s="237" t="n"/>
      <c r="BA13" s="240" t="n"/>
      <c r="BB13" s="240" t="n"/>
      <c r="BC13" s="237" t="n"/>
      <c r="BD13" s="240" t="n"/>
      <c r="BE13" s="240" t="n"/>
      <c r="BF13" s="40" t="n"/>
    </row>
    <row r="14" customFormat="1" s="200">
      <c r="A14" s="185" t="n">
        <v>45963</v>
      </c>
      <c r="B14" s="183" t="inlineStr">
        <is>
          <t>Amalieswerd</t>
        </is>
      </c>
      <c r="C14" s="193" t="n">
        <v>0.04166666666666666</v>
      </c>
      <c r="D14" s="194" t="n"/>
      <c r="E14" s="183" t="n"/>
      <c r="F14" s="195" t="n"/>
      <c r="G14" s="196" t="inlineStr">
        <is>
          <t>DR+Putt</t>
        </is>
      </c>
      <c r="H14" s="197" t="n"/>
      <c r="I14" s="197" t="n"/>
      <c r="J14" s="197" t="n"/>
      <c r="K14" s="197" t="n"/>
      <c r="L14" s="197" t="n"/>
      <c r="M14" s="197" t="n"/>
      <c r="N14" s="197" t="n"/>
      <c r="O14" s="197" t="n"/>
      <c r="P14" s="197" t="n"/>
      <c r="Q14" s="197" t="n"/>
      <c r="R14" s="197" t="n"/>
      <c r="S14" s="197" t="n"/>
      <c r="T14" s="197" t="n"/>
      <c r="U14" s="197" t="n"/>
      <c r="V14" s="197" t="n"/>
      <c r="W14" s="197" t="n"/>
      <c r="X14" s="197" t="n"/>
      <c r="Y14" s="197" t="n"/>
      <c r="Z14" s="197" t="n"/>
      <c r="AA14" s="197" t="n"/>
      <c r="AB14" s="197" t="n"/>
      <c r="AC14" s="197" t="n"/>
      <c r="AD14" s="197" t="n"/>
      <c r="AE14" s="189" t="n"/>
      <c r="AF14" s="197" t="n"/>
      <c r="AG14" s="197" t="n"/>
      <c r="AH14" s="197" t="n"/>
      <c r="AI14" s="189" t="n"/>
      <c r="AJ14" s="197" t="n"/>
      <c r="AK14" s="197" t="n"/>
      <c r="AL14" s="197" t="n"/>
      <c r="AM14" s="189" t="n"/>
      <c r="AN14" s="197" t="n"/>
      <c r="AO14" s="197" t="n"/>
      <c r="AP14" s="197" t="n"/>
      <c r="AQ14" s="189" t="n"/>
      <c r="AR14" s="197" t="n"/>
      <c r="AS14" s="197" t="n"/>
      <c r="AT14" s="267" t="n"/>
      <c r="AU14" s="197" t="n"/>
      <c r="AV14" s="197" t="n"/>
      <c r="AW14" s="267" t="n"/>
      <c r="AX14" s="197" t="n"/>
      <c r="AY14" s="197" t="n"/>
      <c r="AZ14" s="267" t="n"/>
      <c r="BA14" s="197" t="n"/>
      <c r="BB14" s="197" t="n"/>
      <c r="BC14" s="267" t="n"/>
      <c r="BD14" s="197" t="n"/>
      <c r="BE14" s="197" t="n"/>
      <c r="BF14" s="199" t="n"/>
    </row>
    <row r="15">
      <c r="A15" s="9" t="n">
        <v>45967</v>
      </c>
      <c r="B15" s="7" t="inlineStr">
        <is>
          <t>Almkreek</t>
        </is>
      </c>
      <c r="C15" s="191" t="n">
        <v>0.1090277777777778</v>
      </c>
      <c r="D15" s="163" t="inlineStr">
        <is>
          <t>9Holes+3/4 14holes</t>
        </is>
      </c>
      <c r="E15" s="7" t="n">
        <v>56</v>
      </c>
      <c r="F15" s="164">
        <f>(35.5+37.1)/2</f>
        <v/>
      </c>
      <c r="G15" s="189" t="n"/>
      <c r="H15" s="240" t="n"/>
      <c r="I15" s="240" t="n"/>
      <c r="J15" s="240" t="n"/>
      <c r="K15" s="240" t="n"/>
      <c r="L15" s="240" t="n"/>
      <c r="M15" s="240" t="n"/>
      <c r="N15" s="240" t="n"/>
      <c r="O15" s="240" t="n"/>
      <c r="P15" s="240" t="n"/>
      <c r="Q15" s="240" t="n"/>
      <c r="R15" s="240" t="n"/>
      <c r="S15" s="240" t="n"/>
      <c r="T15" s="240" t="n"/>
      <c r="U15" s="240" t="n"/>
      <c r="V15" s="240" t="n"/>
      <c r="W15" s="240" t="n"/>
      <c r="X15" s="240" t="n"/>
      <c r="Y15" s="240" t="n"/>
      <c r="Z15" s="240" t="n"/>
      <c r="AA15" s="240" t="n"/>
      <c r="AB15" s="240" t="n"/>
      <c r="AC15" s="240" t="n"/>
      <c r="AD15" s="240" t="n"/>
      <c r="AE15" s="189" t="n"/>
      <c r="AF15" s="240" t="n"/>
      <c r="AG15" s="240" t="n"/>
      <c r="AH15" s="240" t="n"/>
      <c r="AI15" s="189" t="n"/>
      <c r="AJ15" s="240" t="n"/>
      <c r="AK15" s="240" t="n"/>
      <c r="AL15" s="240" t="n"/>
      <c r="AM15" s="189" t="n"/>
      <c r="AN15" s="240" t="n"/>
      <c r="AO15" s="240" t="n"/>
      <c r="AP15" s="240" t="n"/>
      <c r="AQ15" s="189" t="n"/>
      <c r="AR15" s="240" t="n"/>
      <c r="AS15" s="240" t="n"/>
      <c r="AT15" s="237" t="n"/>
      <c r="AU15" s="240" t="n"/>
      <c r="AV15" s="240" t="n"/>
      <c r="AW15" s="237" t="n"/>
      <c r="AX15" s="240" t="n"/>
      <c r="AY15" s="240" t="n"/>
      <c r="AZ15" s="237" t="n"/>
      <c r="BA15" s="240" t="n"/>
      <c r="BB15" s="240" t="n"/>
      <c r="BC15" s="237" t="n"/>
      <c r="BD15" s="240" t="n"/>
      <c r="BE15" s="240" t="n"/>
      <c r="BF15" s="40" t="n"/>
    </row>
    <row r="16">
      <c r="A16" s="9" t="n">
        <v>45971</v>
      </c>
      <c r="B16" s="7" t="inlineStr">
        <is>
          <t>SGU</t>
        </is>
      </c>
      <c r="C16" s="191" t="n">
        <v>0.02083333333333333</v>
      </c>
      <c r="D16" s="163" t="n"/>
      <c r="E16" s="7" t="n"/>
      <c r="F16" s="164" t="n"/>
      <c r="G16" s="189" t="inlineStr">
        <is>
          <t>6 holes</t>
        </is>
      </c>
      <c r="H16" s="240" t="n"/>
      <c r="I16" s="240" t="n"/>
      <c r="J16" s="240" t="n"/>
      <c r="K16" s="240" t="n"/>
      <c r="L16" s="240" t="n"/>
      <c r="M16" s="240" t="n"/>
      <c r="N16" s="240" t="n"/>
      <c r="O16" s="240" t="n"/>
      <c r="P16" s="240" t="n"/>
      <c r="Q16" s="240" t="n"/>
      <c r="R16" s="240" t="n"/>
      <c r="S16" s="240" t="n"/>
      <c r="T16" s="240" t="n"/>
      <c r="U16" s="240" t="n"/>
      <c r="V16" s="240" t="n"/>
      <c r="W16" s="240" t="n"/>
      <c r="X16" s="240" t="n"/>
      <c r="Y16" s="240" t="n"/>
      <c r="Z16" s="240" t="n"/>
      <c r="AA16" s="240" t="n"/>
      <c r="AB16" s="240" t="n"/>
      <c r="AC16" s="240" t="n"/>
      <c r="AD16" s="240" t="n"/>
      <c r="AE16" s="189" t="n"/>
      <c r="AF16" s="240" t="n"/>
      <c r="AG16" s="240" t="n"/>
      <c r="AH16" s="240" t="n"/>
      <c r="AI16" s="189" t="n"/>
      <c r="AJ16" s="240" t="n"/>
      <c r="AK16" s="240" t="n"/>
      <c r="AL16" s="240" t="n"/>
      <c r="AM16" s="189" t="n"/>
      <c r="AN16" s="240" t="n"/>
      <c r="AO16" s="240" t="n"/>
      <c r="AP16" s="240" t="n"/>
      <c r="AQ16" s="189" t="n"/>
      <c r="AR16" s="240" t="n"/>
      <c r="AS16" s="240" t="n"/>
      <c r="AT16" s="237" t="n"/>
      <c r="AU16" s="240" t="n"/>
      <c r="AV16" s="240" t="n"/>
      <c r="AW16" s="237" t="n"/>
      <c r="AX16" s="240" t="n"/>
      <c r="AY16" s="240" t="n"/>
      <c r="AZ16" s="237" t="n"/>
      <c r="BA16" s="240" t="n"/>
      <c r="BB16" s="240" t="n"/>
      <c r="BC16" s="237" t="n"/>
      <c r="BD16" s="240" t="n"/>
      <c r="BE16" s="240" t="n"/>
      <c r="BF16" s="40" t="n"/>
    </row>
    <row r="17">
      <c r="A17" s="9" t="n">
        <v>45972</v>
      </c>
      <c r="B17" s="7" t="inlineStr">
        <is>
          <t>SGU</t>
        </is>
      </c>
      <c r="C17" s="191" t="n">
        <v>0.03472222222222222</v>
      </c>
      <c r="D17" s="163" t="n"/>
      <c r="E17" s="7" t="n"/>
      <c r="F17" s="164" t="n"/>
      <c r="G17" s="189" t="inlineStr">
        <is>
          <t>sg</t>
        </is>
      </c>
      <c r="H17" s="240" t="n"/>
      <c r="I17" s="240" t="n"/>
      <c r="J17" s="240" t="n"/>
      <c r="K17" s="240" t="n"/>
      <c r="L17" s="240" t="n"/>
      <c r="M17" s="240" t="n"/>
      <c r="N17" s="240" t="n"/>
      <c r="O17" s="240" t="n"/>
      <c r="P17" s="240" t="n"/>
      <c r="Q17" s="240" t="n"/>
      <c r="R17" s="240" t="n"/>
      <c r="S17" s="240" t="n"/>
      <c r="T17" s="240" t="n"/>
      <c r="U17" s="240" t="n"/>
      <c r="V17" s="240" t="n"/>
      <c r="W17" s="240" t="n"/>
      <c r="X17" s="240" t="n"/>
      <c r="Y17" s="240" t="n"/>
      <c r="Z17" s="240" t="n"/>
      <c r="AA17" s="240" t="n"/>
      <c r="AB17" s="240" t="n"/>
      <c r="AC17" s="240" t="n"/>
      <c r="AD17" s="240" t="n"/>
      <c r="AE17" s="189" t="n"/>
      <c r="AF17" s="240" t="n"/>
      <c r="AG17" s="240" t="n"/>
      <c r="AH17" s="240" t="n"/>
      <c r="AI17" s="189" t="n"/>
      <c r="AJ17" s="240" t="n"/>
      <c r="AK17" s="240" t="n"/>
      <c r="AL17" s="240" t="n"/>
      <c r="AM17" s="189" t="n"/>
      <c r="AN17" s="240" t="n"/>
      <c r="AO17" s="240" t="n"/>
      <c r="AP17" s="240" t="n"/>
      <c r="AQ17" s="189" t="n"/>
      <c r="AR17" s="240" t="n"/>
      <c r="AS17" s="240" t="n"/>
      <c r="AT17" s="237" t="n"/>
      <c r="AU17" s="240" t="n"/>
      <c r="AV17" s="240" t="n"/>
      <c r="AW17" s="237" t="n"/>
      <c r="AX17" s="240" t="n"/>
      <c r="AY17" s="240" t="n"/>
      <c r="AZ17" s="237" t="n"/>
      <c r="BA17" s="240" t="n"/>
      <c r="BB17" s="240" t="n"/>
      <c r="BC17" s="237" t="n"/>
      <c r="BD17" s="240" t="n"/>
      <c r="BE17" s="240" t="n"/>
      <c r="BF17" s="40" t="n"/>
    </row>
    <row r="18">
      <c r="A18" s="9" t="n">
        <v>45975</v>
      </c>
      <c r="B18" s="7" t="inlineStr">
        <is>
          <t>SGU</t>
        </is>
      </c>
      <c r="C18" s="191" t="n">
        <v>0.08333333333333333</v>
      </c>
      <c r="D18" s="163" t="n"/>
      <c r="E18" s="7" t="n"/>
      <c r="F18" s="164" t="n"/>
      <c r="G18" s="189" t="inlineStr">
        <is>
          <t>sg</t>
        </is>
      </c>
      <c r="H18" s="240" t="n"/>
      <c r="I18" s="240" t="n"/>
      <c r="J18" s="240" t="n"/>
      <c r="K18" s="240" t="n"/>
      <c r="L18" s="240" t="n"/>
      <c r="M18" s="240" t="n"/>
      <c r="N18" s="240" t="n"/>
      <c r="O18" s="240" t="n"/>
      <c r="P18" s="240" t="n"/>
      <c r="Q18" s="240" t="n"/>
      <c r="R18" s="240" t="n"/>
      <c r="S18" s="240" t="n"/>
      <c r="T18" s="240" t="n"/>
      <c r="U18" s="240" t="n"/>
      <c r="V18" s="240" t="n"/>
      <c r="W18" s="240" t="n"/>
      <c r="X18" s="240" t="n"/>
      <c r="Y18" s="240" t="n"/>
      <c r="Z18" s="240" t="n"/>
      <c r="AA18" s="240" t="n"/>
      <c r="AB18" s="240" t="n"/>
      <c r="AC18" s="240" t="n"/>
      <c r="AD18" s="240" t="n"/>
      <c r="AE18" s="189" t="n"/>
      <c r="AF18" s="240" t="n"/>
      <c r="AG18" s="240" t="n"/>
      <c r="AH18" s="240" t="n"/>
      <c r="AI18" s="189" t="n"/>
      <c r="AJ18" s="240" t="n"/>
      <c r="AK18" s="240" t="n"/>
      <c r="AL18" s="240" t="n"/>
      <c r="AM18" s="189" t="n"/>
      <c r="AN18" s="240" t="n"/>
      <c r="AO18" s="240" t="n"/>
      <c r="AP18" s="240" t="n"/>
      <c r="AQ18" s="189" t="n"/>
      <c r="AR18" s="240" t="n"/>
      <c r="AS18" s="240" t="n"/>
      <c r="AT18" s="237" t="n"/>
      <c r="AU18" s="240" t="n"/>
      <c r="AV18" s="240" t="n"/>
      <c r="AW18" s="237" t="n"/>
      <c r="AX18" s="240" t="n"/>
      <c r="AY18" s="240" t="n"/>
      <c r="AZ18" s="237" t="n"/>
      <c r="BA18" s="240" t="n"/>
      <c r="BB18" s="240" t="n"/>
      <c r="BC18" s="237" t="n"/>
      <c r="BD18" s="240" t="n"/>
      <c r="BE18" s="240" t="n"/>
      <c r="BF18" s="40" t="n"/>
    </row>
    <row r="19">
      <c r="A19" s="9" t="n">
        <v>45976</v>
      </c>
      <c r="B19" s="7" t="inlineStr">
        <is>
          <t>SGU</t>
        </is>
      </c>
      <c r="C19" s="191" t="n">
        <v>0.1041666666666667</v>
      </c>
      <c r="D19" s="163" t="n"/>
      <c r="E19" s="7" t="n"/>
      <c r="F19" s="164" t="n"/>
      <c r="G19" s="189" t="inlineStr">
        <is>
          <t>sg</t>
        </is>
      </c>
      <c r="H19" s="240" t="n"/>
      <c r="I19" s="240" t="n"/>
      <c r="J19" s="240" t="n"/>
      <c r="K19" s="240" t="n"/>
      <c r="L19" s="240" t="n"/>
      <c r="M19" s="240" t="n"/>
      <c r="N19" s="240" t="n"/>
      <c r="O19" s="240" t="n"/>
      <c r="P19" s="240" t="n"/>
      <c r="Q19" s="240" t="n"/>
      <c r="R19" s="240" t="n"/>
      <c r="S19" s="240" t="n"/>
      <c r="T19" s="240" t="n"/>
      <c r="U19" s="240" t="n"/>
      <c r="V19" s="240" t="n"/>
      <c r="W19" s="240" t="n"/>
      <c r="X19" s="240" t="n"/>
      <c r="Y19" s="240" t="n"/>
      <c r="Z19" s="240" t="n"/>
      <c r="AA19" s="240" t="n"/>
      <c r="AB19" s="240" t="n"/>
      <c r="AC19" s="240" t="n"/>
      <c r="AD19" s="240" t="n"/>
      <c r="AE19" s="189" t="n"/>
      <c r="AF19" s="240" t="n"/>
      <c r="AG19" s="240" t="n"/>
      <c r="AH19" s="240" t="n"/>
      <c r="AI19" s="189" t="n"/>
      <c r="AJ19" s="240" t="n"/>
      <c r="AK19" s="240" t="n"/>
      <c r="AL19" s="240" t="n"/>
      <c r="AM19" s="189" t="n"/>
      <c r="AN19" s="240" t="n"/>
      <c r="AO19" s="240" t="n"/>
      <c r="AP19" s="240" t="n"/>
      <c r="AQ19" s="189" t="n"/>
      <c r="AR19" s="240" t="n"/>
      <c r="AS19" s="240" t="n"/>
      <c r="AT19" s="237" t="n"/>
      <c r="AU19" s="240" t="n"/>
      <c r="AV19" s="240" t="n"/>
      <c r="AW19" s="237" t="n"/>
      <c r="AX19" s="240" t="n"/>
      <c r="AY19" s="240" t="n"/>
      <c r="AZ19" s="237" t="n"/>
      <c r="BA19" s="240" t="n"/>
      <c r="BB19" s="240" t="n"/>
      <c r="BC19" s="237" t="n"/>
      <c r="BD19" s="240" t="n"/>
      <c r="BE19" s="240" t="n"/>
      <c r="BF19" s="40" t="n"/>
    </row>
    <row r="20">
      <c r="A20" s="9" t="n">
        <v>45978</v>
      </c>
      <c r="B20" s="7" t="inlineStr">
        <is>
          <t>SGU</t>
        </is>
      </c>
      <c r="C20" s="191" t="n">
        <v>0.02083333333333333</v>
      </c>
      <c r="D20" s="163" t="n"/>
      <c r="E20" s="7" t="n"/>
      <c r="F20" s="164" t="n"/>
      <c r="G20" s="189" t="inlineStr">
        <is>
          <t>H1: sg+putt</t>
        </is>
      </c>
      <c r="H20" s="240" t="n"/>
      <c r="I20" s="240" t="n"/>
      <c r="J20" s="240" t="n"/>
      <c r="K20" s="240" t="n"/>
      <c r="L20" s="240" t="n"/>
      <c r="M20" s="240" t="n"/>
      <c r="N20" s="240" t="n"/>
      <c r="O20" s="240" t="n"/>
      <c r="P20" s="240" t="n"/>
      <c r="Q20" s="240" t="n"/>
      <c r="R20" s="240" t="n"/>
      <c r="S20" s="240" t="n"/>
      <c r="T20" s="240" t="n"/>
      <c r="U20" s="240" t="n"/>
      <c r="V20" s="240" t="n"/>
      <c r="W20" s="240" t="n"/>
      <c r="X20" s="240" t="n"/>
      <c r="Y20" s="240" t="n"/>
      <c r="Z20" s="240" t="n"/>
      <c r="AA20" s="240" t="n"/>
      <c r="AB20" s="240" t="n"/>
      <c r="AC20" s="240" t="n"/>
      <c r="AD20" s="240" t="n"/>
      <c r="AE20" s="189" t="n"/>
      <c r="AF20" s="240" t="n"/>
      <c r="AG20" s="240" t="n"/>
      <c r="AH20" s="240" t="n"/>
      <c r="AI20" s="189" t="n"/>
      <c r="AJ20" s="240" t="n"/>
      <c r="AK20" s="240" t="n"/>
      <c r="AL20" s="240" t="n"/>
      <c r="AM20" s="189" t="n"/>
      <c r="AN20" s="240" t="n"/>
      <c r="AO20" s="240" t="n"/>
      <c r="AP20" s="240" t="n"/>
      <c r="AQ20" s="189" t="n"/>
      <c r="AR20" s="240" t="n"/>
      <c r="AS20" s="240" t="n"/>
      <c r="AT20" s="237" t="n"/>
      <c r="AU20" s="240" t="n"/>
      <c r="AV20" s="240" t="n"/>
      <c r="AW20" s="237" t="n"/>
      <c r="AX20" s="240" t="n"/>
      <c r="AY20" s="240" t="n"/>
      <c r="AZ20" s="237" t="n"/>
      <c r="BA20" s="240" t="n"/>
      <c r="BB20" s="240" t="n"/>
      <c r="BC20" s="237" t="n"/>
      <c r="BD20" s="240" t="n"/>
      <c r="BE20" s="240" t="n"/>
      <c r="BF20" s="40" t="n"/>
    </row>
    <row r="21">
      <c r="A21" s="9" t="n">
        <v>45979</v>
      </c>
      <c r="B21" s="7" t="inlineStr">
        <is>
          <t>SGU</t>
        </is>
      </c>
      <c r="C21" s="191" t="n">
        <v>0.03472222222222222</v>
      </c>
      <c r="D21" s="163" t="n"/>
      <c r="E21" s="7" t="n"/>
      <c r="F21" s="164" t="n"/>
      <c r="G21" s="189" t="inlineStr">
        <is>
          <t>H1,2,9: 10 balls</t>
        </is>
      </c>
      <c r="H21" s="240" t="n"/>
      <c r="I21" s="240" t="n"/>
      <c r="J21" s="240" t="n"/>
      <c r="K21" s="240" t="n"/>
      <c r="L21" s="240" t="n"/>
      <c r="M21" s="240" t="n"/>
      <c r="N21" s="240" t="n"/>
      <c r="O21" s="240" t="n"/>
      <c r="P21" s="240" t="n"/>
      <c r="Q21" s="240" t="n"/>
      <c r="R21" s="240" t="n"/>
      <c r="S21" s="240" t="n"/>
      <c r="T21" s="240" t="n"/>
      <c r="U21" s="240" t="n"/>
      <c r="V21" s="240" t="n"/>
      <c r="W21" s="240" t="n"/>
      <c r="X21" s="240" t="n"/>
      <c r="Y21" s="240" t="n"/>
      <c r="Z21" s="240" t="n"/>
      <c r="AA21" s="240" t="n"/>
      <c r="AB21" s="240" t="n"/>
      <c r="AC21" s="240" t="n"/>
      <c r="AD21" s="240" t="n"/>
      <c r="AE21" s="189" t="n"/>
      <c r="AF21" s="240" t="n"/>
      <c r="AG21" s="240" t="n"/>
      <c r="AH21" s="240" t="n"/>
      <c r="AI21" s="189" t="n"/>
      <c r="AJ21" s="240" t="n"/>
      <c r="AK21" s="240" t="n"/>
      <c r="AL21" s="240" t="n"/>
      <c r="AM21" s="189" t="n"/>
      <c r="AN21" s="240" t="n"/>
      <c r="AO21" s="240" t="n"/>
      <c r="AP21" s="240" t="n"/>
      <c r="AQ21" s="189" t="n"/>
      <c r="AR21" s="240" t="n"/>
      <c r="AS21" s="240" t="n"/>
      <c r="AT21" s="237" t="n"/>
      <c r="AU21" s="240" t="n"/>
      <c r="AV21" s="240" t="n"/>
      <c r="AW21" s="237" t="n"/>
      <c r="AX21" s="240" t="n"/>
      <c r="AY21" s="240" t="n"/>
      <c r="AZ21" s="237" t="n"/>
      <c r="BA21" s="240" t="n"/>
      <c r="BB21" s="240" t="n"/>
      <c r="BC21" s="237" t="n"/>
      <c r="BD21" s="240" t="n"/>
      <c r="BE21" s="240" t="n"/>
      <c r="BF21" s="40" t="n"/>
    </row>
    <row r="22">
      <c r="A22" s="9" t="n">
        <v>45983</v>
      </c>
      <c r="B22" s="7" t="inlineStr">
        <is>
          <t>SGU</t>
        </is>
      </c>
      <c r="C22" s="40" t="n">
        <v>0</v>
      </c>
      <c r="D22" s="163" t="n"/>
      <c r="E22" s="7" t="n"/>
      <c r="F22" s="164" t="n"/>
      <c r="G22" s="189" t="inlineStr">
        <is>
          <t>sg</t>
        </is>
      </c>
      <c r="H22" s="240" t="n"/>
      <c r="I22" s="240" t="n"/>
      <c r="J22" s="240" t="n"/>
      <c r="K22" s="240" t="n"/>
      <c r="L22" s="240" t="n"/>
      <c r="M22" s="240" t="n"/>
      <c r="N22" s="240" t="n"/>
      <c r="O22" s="240" t="n"/>
      <c r="P22" s="240" t="n"/>
      <c r="Q22" s="240" t="n"/>
      <c r="R22" s="240" t="n"/>
      <c r="S22" s="240" t="n"/>
      <c r="T22" s="240" t="n"/>
      <c r="U22" s="240" t="n"/>
      <c r="V22" s="240" t="n"/>
      <c r="W22" s="240" t="n"/>
      <c r="X22" s="240" t="n"/>
      <c r="Y22" s="240" t="n"/>
      <c r="Z22" s="240" t="n"/>
      <c r="AA22" s="240" t="n"/>
      <c r="AB22" s="240" t="n"/>
      <c r="AC22" s="240" t="n"/>
      <c r="AD22" s="240" t="n"/>
      <c r="AE22" s="189" t="n"/>
      <c r="AF22" s="240" t="n"/>
      <c r="AG22" s="240" t="n"/>
      <c r="AH22" s="240" t="n"/>
      <c r="AI22" s="189" t="n"/>
      <c r="AJ22" s="240" t="n"/>
      <c r="AK22" s="240" t="n"/>
      <c r="AL22" s="240" t="n"/>
      <c r="AM22" s="189" t="n"/>
      <c r="AN22" s="240" t="n"/>
      <c r="AO22" s="240" t="n"/>
      <c r="AP22" s="240" t="n"/>
      <c r="AQ22" s="189" t="n"/>
      <c r="AR22" s="240" t="n"/>
      <c r="AS22" s="240" t="n"/>
      <c r="AT22" s="237" t="n"/>
      <c r="AU22" s="240" t="n"/>
      <c r="AV22" s="240" t="n"/>
      <c r="AW22" s="237" t="n"/>
      <c r="AX22" s="240" t="n"/>
      <c r="AY22" s="240" t="n"/>
      <c r="AZ22" s="237" t="n"/>
      <c r="BA22" s="240" t="n"/>
      <c r="BB22" s="240" t="n"/>
      <c r="BC22" s="237" t="n"/>
      <c r="BD22" s="240" t="n"/>
      <c r="BE22" s="240" t="n"/>
      <c r="BF22" s="40" t="n"/>
    </row>
    <row r="23">
      <c r="A23" s="9" t="n">
        <v>45985</v>
      </c>
      <c r="B23" s="7" t="inlineStr">
        <is>
          <t>SGU</t>
        </is>
      </c>
      <c r="C23" s="191" t="n">
        <v>0.04166666666666666</v>
      </c>
      <c r="D23" s="163" t="n"/>
      <c r="E23" s="7" t="n"/>
      <c r="F23" s="164" t="n"/>
      <c r="G23" s="189" t="inlineStr">
        <is>
          <t>sg</t>
        </is>
      </c>
      <c r="H23" s="240" t="n"/>
      <c r="I23" s="240" t="n"/>
      <c r="J23" s="240" t="n"/>
      <c r="K23" s="240" t="n"/>
      <c r="L23" s="240" t="n"/>
      <c r="M23" s="240" t="n"/>
      <c r="N23" s="240" t="n"/>
      <c r="O23" s="240" t="n"/>
      <c r="P23" s="240" t="n"/>
      <c r="Q23" s="240" t="n"/>
      <c r="R23" s="240" t="n"/>
      <c r="S23" s="240" t="n"/>
      <c r="T23" s="240" t="n"/>
      <c r="U23" s="240" t="n"/>
      <c r="V23" s="240" t="n"/>
      <c r="W23" s="240" t="n"/>
      <c r="X23" s="240" t="n"/>
      <c r="Y23" s="240" t="n"/>
      <c r="Z23" s="240" t="n"/>
      <c r="AA23" s="240" t="n"/>
      <c r="AB23" s="240" t="n"/>
      <c r="AC23" s="240" t="n"/>
      <c r="AD23" s="240" t="n"/>
      <c r="AE23" s="189" t="n"/>
      <c r="AF23" s="240" t="n"/>
      <c r="AG23" s="240" t="n"/>
      <c r="AH23" s="240" t="n"/>
      <c r="AI23" s="189" t="n"/>
      <c r="AJ23" s="240" t="n"/>
      <c r="AK23" s="240" t="n"/>
      <c r="AL23" s="240" t="n"/>
      <c r="AM23" s="189" t="n"/>
      <c r="AN23" s="240" t="n"/>
      <c r="AO23" s="240" t="n"/>
      <c r="AP23" s="240" t="n"/>
      <c r="AQ23" s="189" t="n"/>
      <c r="AR23" s="240" t="n"/>
      <c r="AS23" s="240" t="n"/>
      <c r="AT23" s="237" t="n"/>
      <c r="AU23" s="240" t="n"/>
      <c r="AV23" s="240" t="n"/>
      <c r="AW23" s="237" t="n"/>
      <c r="AX23" s="240" t="n"/>
      <c r="AY23" s="240" t="n"/>
      <c r="AZ23" s="237" t="n"/>
      <c r="BA23" s="240" t="n"/>
      <c r="BB23" s="240" t="n"/>
      <c r="BC23" s="237" t="n"/>
      <c r="BD23" s="240" t="n"/>
      <c r="BE23" s="240" t="n"/>
      <c r="BF23" s="40" t="n"/>
    </row>
    <row r="24">
      <c r="A24" s="9" t="n">
        <v>45986</v>
      </c>
      <c r="B24" s="7" t="inlineStr">
        <is>
          <t>SGU</t>
        </is>
      </c>
      <c r="C24" s="191" t="n">
        <v>0.04166666666666666</v>
      </c>
      <c r="D24" s="163" t="n"/>
      <c r="E24" s="7" t="n"/>
      <c r="F24" s="164" t="n"/>
      <c r="G24" s="189" t="inlineStr">
        <is>
          <t>P3 3 holes</t>
        </is>
      </c>
      <c r="H24" s="240" t="n"/>
      <c r="I24" s="240" t="n"/>
      <c r="J24" s="240" t="n"/>
      <c r="K24" s="240" t="n"/>
      <c r="L24" s="240" t="n"/>
      <c r="M24" s="240" t="n"/>
      <c r="N24" s="240" t="n"/>
      <c r="O24" s="240" t="n"/>
      <c r="P24" s="240" t="n"/>
      <c r="Q24" s="240" t="n"/>
      <c r="R24" s="240" t="n"/>
      <c r="S24" s="240" t="n"/>
      <c r="T24" s="240" t="n"/>
      <c r="U24" s="240" t="n"/>
      <c r="V24" s="240" t="n"/>
      <c r="W24" s="240" t="n"/>
      <c r="X24" s="240" t="n"/>
      <c r="Y24" s="240" t="n"/>
      <c r="Z24" s="240" t="n"/>
      <c r="AA24" s="240" t="n"/>
      <c r="AB24" s="240" t="n"/>
      <c r="AC24" s="240" t="n"/>
      <c r="AD24" s="240" t="n"/>
      <c r="AE24" s="189" t="n"/>
      <c r="AF24" s="240" t="n"/>
      <c r="AG24" s="240" t="n"/>
      <c r="AH24" s="240" t="n"/>
      <c r="AI24" s="189" t="n"/>
      <c r="AJ24" s="240" t="n"/>
      <c r="AK24" s="240" t="n"/>
      <c r="AL24" s="240" t="n"/>
      <c r="AM24" s="189" t="n"/>
      <c r="AN24" s="240" t="n"/>
      <c r="AO24" s="240" t="n"/>
      <c r="AP24" s="240" t="n"/>
      <c r="AQ24" s="189" t="n"/>
      <c r="AR24" s="240" t="n"/>
      <c r="AS24" s="240" t="n"/>
      <c r="AT24" s="237" t="n"/>
      <c r="AU24" s="240" t="n"/>
      <c r="AV24" s="240" t="n"/>
      <c r="AW24" s="237" t="n"/>
      <c r="AX24" s="240" t="n"/>
      <c r="AY24" s="240" t="n"/>
      <c r="AZ24" s="237" t="n"/>
      <c r="BA24" s="240" t="n"/>
      <c r="BB24" s="240" t="n"/>
      <c r="BC24" s="237" t="n"/>
      <c r="BD24" s="240" t="n"/>
      <c r="BE24" s="240" t="n"/>
      <c r="BF24" s="40" t="n"/>
    </row>
    <row r="25">
      <c r="A25" s="9" t="n">
        <v>45987</v>
      </c>
      <c r="B25" s="7" t="inlineStr">
        <is>
          <t>SGU</t>
        </is>
      </c>
      <c r="C25" s="191" t="n">
        <v>0.0763888888888889</v>
      </c>
      <c r="D25" s="192" t="inlineStr">
        <is>
          <t>Par3/4</t>
        </is>
      </c>
      <c r="E25" s="7" t="n"/>
      <c r="F25" s="164" t="n"/>
      <c r="G25" s="189" t="inlineStr">
        <is>
          <t>Course</t>
        </is>
      </c>
      <c r="H25" s="240" t="n"/>
      <c r="I25" s="240" t="n"/>
      <c r="J25" s="240" t="n"/>
      <c r="K25" s="240" t="n"/>
      <c r="L25" s="240" t="n"/>
      <c r="M25" s="240" t="n"/>
      <c r="N25" s="240" t="n"/>
      <c r="O25" s="240" t="n"/>
      <c r="P25" s="240" t="n"/>
      <c r="Q25" s="240" t="n"/>
      <c r="R25" s="240" t="n"/>
      <c r="S25" s="240" t="n"/>
      <c r="T25" s="240" t="n"/>
      <c r="U25" s="240" t="n"/>
      <c r="V25" s="240" t="n"/>
      <c r="W25" s="240" t="n"/>
      <c r="X25" s="240" t="n"/>
      <c r="Y25" s="240" t="n"/>
      <c r="Z25" s="240" t="n"/>
      <c r="AA25" s="240" t="n"/>
      <c r="AB25" s="240" t="n"/>
      <c r="AC25" s="240" t="n"/>
      <c r="AD25" s="240" t="n"/>
      <c r="AE25" s="189" t="n"/>
      <c r="AF25" s="240" t="n"/>
      <c r="AG25" s="240" t="n"/>
      <c r="AH25" s="240" t="n"/>
      <c r="AI25" s="189" t="n"/>
      <c r="AJ25" s="240" t="n"/>
      <c r="AK25" s="240" t="n"/>
      <c r="AL25" s="240" t="n"/>
      <c r="AM25" s="189" t="n"/>
      <c r="AN25" s="240" t="n"/>
      <c r="AO25" s="240" t="n"/>
      <c r="AP25" s="240" t="n"/>
      <c r="AQ25" s="189" t="n"/>
      <c r="AR25" s="240" t="n"/>
      <c r="AS25" s="240" t="n"/>
      <c r="AT25" s="237" t="n"/>
      <c r="AU25" s="240" t="n"/>
      <c r="AV25" s="240" t="n"/>
      <c r="AW25" s="237" t="n"/>
      <c r="AX25" s="240" t="n"/>
      <c r="AY25" s="240" t="n"/>
      <c r="AZ25" s="237" t="n"/>
      <c r="BA25" s="240" t="n"/>
      <c r="BB25" s="240" t="n"/>
      <c r="BC25" s="237" t="n"/>
      <c r="BD25" s="240" t="n"/>
      <c r="BE25" s="240" t="n"/>
      <c r="BF25" s="40" t="n"/>
    </row>
    <row r="26" customFormat="1" s="200">
      <c r="A26" s="185" t="n">
        <v>45992</v>
      </c>
      <c r="B26" s="183" t="inlineStr">
        <is>
          <t>SGU</t>
        </is>
      </c>
      <c r="C26" s="193" t="n">
        <v>0.04166666666666666</v>
      </c>
      <c r="D26" s="194" t="n"/>
      <c r="E26" s="183" t="n"/>
      <c r="F26" s="195" t="n"/>
      <c r="G26" s="196" t="inlineStr">
        <is>
          <t>DR+sg</t>
        </is>
      </c>
      <c r="H26" s="197" t="n"/>
      <c r="I26" s="197" t="n"/>
      <c r="J26" s="197" t="n"/>
      <c r="K26" s="197" t="n"/>
      <c r="L26" s="197" t="n"/>
      <c r="M26" s="197" t="n"/>
      <c r="N26" s="197" t="n"/>
      <c r="O26" s="197" t="n"/>
      <c r="P26" s="197" t="n"/>
      <c r="Q26" s="197" t="n"/>
      <c r="R26" s="197" t="n"/>
      <c r="S26" s="197" t="n"/>
      <c r="T26" s="197" t="n"/>
      <c r="U26" s="197" t="n"/>
      <c r="V26" s="197" t="n"/>
      <c r="W26" s="197" t="n"/>
      <c r="X26" s="197" t="n"/>
      <c r="Y26" s="197" t="n"/>
      <c r="Z26" s="197" t="n"/>
      <c r="AA26" s="197" t="n"/>
      <c r="AB26" s="197" t="n"/>
      <c r="AC26" s="197" t="n"/>
      <c r="AD26" s="197" t="n"/>
      <c r="AE26" s="189" t="n"/>
      <c r="AF26" s="197" t="n"/>
      <c r="AG26" s="197" t="n"/>
      <c r="AH26" s="197" t="n"/>
      <c r="AI26" s="189" t="n"/>
      <c r="AJ26" s="197" t="n"/>
      <c r="AK26" s="197" t="n"/>
      <c r="AL26" s="197" t="n"/>
      <c r="AM26" s="189" t="n"/>
      <c r="AN26" s="197" t="n"/>
      <c r="AO26" s="197" t="n"/>
      <c r="AP26" s="197" t="n"/>
      <c r="AQ26" s="189" t="n"/>
      <c r="AR26" s="197" t="n"/>
      <c r="AS26" s="197" t="n"/>
      <c r="AT26" s="267" t="n"/>
      <c r="AU26" s="197" t="n"/>
      <c r="AV26" s="197" t="n"/>
      <c r="AW26" s="267" t="n"/>
      <c r="AX26" s="197" t="n"/>
      <c r="AY26" s="197" t="n"/>
      <c r="AZ26" s="267" t="n"/>
      <c r="BA26" s="197" t="n"/>
      <c r="BB26" s="197" t="n"/>
      <c r="BC26" s="267" t="n"/>
      <c r="BD26" s="197" t="n"/>
      <c r="BE26" s="197" t="n"/>
      <c r="BF26" s="199" t="n"/>
    </row>
    <row r="27">
      <c r="A27" s="9" t="n">
        <v>45993</v>
      </c>
      <c r="B27" s="7" t="inlineStr">
        <is>
          <t>SGU</t>
        </is>
      </c>
      <c r="C27" s="191" t="n">
        <v>1</v>
      </c>
      <c r="D27" s="163" t="inlineStr">
        <is>
          <t>9H small</t>
        </is>
      </c>
      <c r="E27" s="7" t="n"/>
      <c r="F27" s="164" t="n"/>
      <c r="G27" s="189" t="inlineStr">
        <is>
          <t>DR+sg+Course</t>
        </is>
      </c>
      <c r="H27" s="240" t="n"/>
      <c r="I27" s="240" t="n"/>
      <c r="J27" s="240" t="n"/>
      <c r="K27" s="240" t="n"/>
      <c r="L27" s="240" t="n"/>
      <c r="M27" s="240" t="n"/>
      <c r="N27" s="240" t="n"/>
      <c r="O27" s="240" t="n"/>
      <c r="P27" s="240" t="n"/>
      <c r="Q27" s="240" t="n"/>
      <c r="R27" s="240" t="n"/>
      <c r="S27" s="240" t="n"/>
      <c r="T27" s="240" t="n"/>
      <c r="U27" s="240" t="n"/>
      <c r="V27" s="240" t="n"/>
      <c r="W27" s="240" t="n"/>
      <c r="X27" s="240" t="n"/>
      <c r="Y27" s="240" t="n"/>
      <c r="Z27" s="240" t="n"/>
      <c r="AA27" s="240" t="n"/>
      <c r="AB27" s="240" t="n"/>
      <c r="AC27" s="240" t="n"/>
      <c r="AD27" s="240" t="n"/>
      <c r="AE27" s="189" t="n"/>
      <c r="AF27" s="240" t="n"/>
      <c r="AG27" s="240" t="n"/>
      <c r="AH27" s="240" t="n"/>
      <c r="AI27" s="189" t="n"/>
      <c r="AJ27" s="240" t="n"/>
      <c r="AK27" s="240" t="n"/>
      <c r="AL27" s="240" t="n"/>
      <c r="AM27" s="189" t="n"/>
      <c r="AN27" s="240" t="n"/>
      <c r="AO27" s="240" t="n"/>
      <c r="AP27" s="240" t="n"/>
      <c r="AQ27" s="189" t="n"/>
      <c r="AR27" s="240" t="n"/>
      <c r="AS27" s="240" t="n"/>
      <c r="AT27" s="237" t="n"/>
      <c r="AU27" s="240" t="n"/>
      <c r="AV27" s="240" t="n"/>
      <c r="AW27" s="237" t="n"/>
      <c r="AX27" s="240" t="n"/>
      <c r="AY27" s="240" t="n"/>
      <c r="AZ27" s="237" t="n"/>
      <c r="BA27" s="240" t="n"/>
      <c r="BB27" s="240" t="n"/>
      <c r="BC27" s="237" t="n"/>
      <c r="BD27" s="240" t="n"/>
      <c r="BE27" s="240" t="n"/>
      <c r="BF27" s="40" t="n"/>
    </row>
    <row r="28">
      <c r="A28" s="9" t="n">
        <v>45994</v>
      </c>
      <c r="B28" s="7" t="inlineStr">
        <is>
          <t>Amalieswerd</t>
        </is>
      </c>
      <c r="C28" s="191" t="n">
        <v>0.0625</v>
      </c>
      <c r="D28" s="163" t="n"/>
      <c r="E28" s="7" t="n"/>
      <c r="F28" s="164" t="n"/>
      <c r="G28" s="189" t="inlineStr">
        <is>
          <t>Drange</t>
        </is>
      </c>
      <c r="H28" s="240" t="n"/>
      <c r="I28" s="240" t="n"/>
      <c r="J28" s="240" t="n"/>
      <c r="K28" s="240" t="n"/>
      <c r="L28" s="240" t="n"/>
      <c r="M28" s="240" t="n"/>
      <c r="N28" s="240" t="n"/>
      <c r="O28" s="240" t="n"/>
      <c r="P28" s="240" t="n"/>
      <c r="Q28" s="240" t="n"/>
      <c r="R28" s="240" t="n"/>
      <c r="S28" s="240" t="n"/>
      <c r="T28" s="240" t="n"/>
      <c r="U28" s="240" t="n"/>
      <c r="V28" s="240" t="n"/>
      <c r="W28" s="240" t="n"/>
      <c r="X28" s="240" t="n"/>
      <c r="Y28" s="240" t="n"/>
      <c r="Z28" s="240" t="n"/>
      <c r="AA28" s="240" t="n"/>
      <c r="AB28" s="240" t="n"/>
      <c r="AC28" s="240" t="n"/>
      <c r="AD28" s="240" t="n"/>
      <c r="AE28" s="189" t="n"/>
      <c r="AF28" s="240" t="n"/>
      <c r="AG28" s="240" t="n"/>
      <c r="AH28" s="240" t="n"/>
      <c r="AI28" s="189" t="n"/>
      <c r="AJ28" s="240" t="n"/>
      <c r="AK28" s="240" t="n"/>
      <c r="AL28" s="240" t="n"/>
      <c r="AM28" s="189" t="n"/>
      <c r="AN28" s="240" t="n"/>
      <c r="AO28" s="240" t="n"/>
      <c r="AP28" s="240" t="n"/>
      <c r="AQ28" s="189" t="n"/>
      <c r="AR28" s="240" t="n"/>
      <c r="AS28" s="240" t="n"/>
      <c r="AT28" s="237" t="n"/>
      <c r="AU28" s="240" t="n"/>
      <c r="AV28" s="240" t="n"/>
      <c r="AW28" s="237" t="n"/>
      <c r="AX28" s="240" t="n"/>
      <c r="AY28" s="240" t="n"/>
      <c r="AZ28" s="237" t="n"/>
      <c r="BA28" s="240" t="n"/>
      <c r="BB28" s="240" t="n"/>
      <c r="BC28" s="237" t="n"/>
      <c r="BD28" s="240" t="n"/>
      <c r="BE28" s="240" t="n"/>
      <c r="BF28" s="40" t="n"/>
    </row>
    <row r="29">
      <c r="A29" s="9" t="n">
        <v>45995</v>
      </c>
      <c r="B29" s="7" t="inlineStr">
        <is>
          <t>Westpark</t>
        </is>
      </c>
      <c r="C29" s="191" t="n">
        <v>0.1875</v>
      </c>
      <c r="D29" s="163" t="inlineStr">
        <is>
          <t>H18</t>
        </is>
      </c>
      <c r="E29" s="7" t="n">
        <v>120</v>
      </c>
      <c r="F29" s="164" t="n">
        <v>26.6</v>
      </c>
      <c r="G29" s="189" t="n"/>
      <c r="H29" s="240" t="n"/>
      <c r="I29" s="240" t="n"/>
      <c r="J29" s="240" t="n"/>
      <c r="K29" s="240" t="n"/>
      <c r="L29" s="240" t="n"/>
      <c r="M29" s="240" t="n"/>
      <c r="N29" s="240" t="n"/>
      <c r="O29" s="240" t="n"/>
      <c r="P29" s="240" t="n"/>
      <c r="Q29" s="240" t="n"/>
      <c r="R29" s="240" t="n"/>
      <c r="S29" s="240" t="n"/>
      <c r="T29" s="240" t="n"/>
      <c r="U29" s="240" t="n"/>
      <c r="V29" s="240" t="n"/>
      <c r="W29" s="240" t="n"/>
      <c r="X29" s="240" t="n"/>
      <c r="Y29" s="240" t="n"/>
      <c r="Z29" s="240" t="n"/>
      <c r="AA29" s="240" t="n"/>
      <c r="AB29" s="240" t="n"/>
      <c r="AC29" s="240" t="n"/>
      <c r="AD29" s="240" t="n"/>
      <c r="AE29" s="189" t="n"/>
      <c r="AF29" s="240" t="n"/>
      <c r="AG29" s="240" t="n"/>
      <c r="AH29" s="240" t="n"/>
      <c r="AI29" s="189" t="n"/>
      <c r="AJ29" s="240" t="n"/>
      <c r="AK29" s="240" t="n"/>
      <c r="AL29" s="240" t="n"/>
      <c r="AM29" s="189" t="n"/>
      <c r="AN29" s="240" t="n"/>
      <c r="AO29" s="240" t="n"/>
      <c r="AP29" s="240" t="n"/>
      <c r="AQ29" s="189" t="n"/>
      <c r="AR29" s="240" t="n"/>
      <c r="AS29" s="240" t="n"/>
      <c r="AT29" s="237" t="n"/>
      <c r="AU29" s="240" t="n"/>
      <c r="AV29" s="240" t="n"/>
      <c r="AW29" s="237" t="n"/>
      <c r="AX29" s="240" t="n"/>
      <c r="AY29" s="240" t="n"/>
      <c r="AZ29" s="237" t="n"/>
      <c r="BA29" s="240" t="n"/>
      <c r="BB29" s="240" t="n"/>
      <c r="BC29" s="237" t="n"/>
      <c r="BD29" s="240" t="n"/>
      <c r="BE29" s="240" t="n"/>
      <c r="BF29" s="40" t="n"/>
    </row>
    <row r="30">
      <c r="A30" s="9" t="n">
        <v>45997</v>
      </c>
      <c r="B30" s="7" t="inlineStr">
        <is>
          <t>SGU</t>
        </is>
      </c>
      <c r="C30" s="191" t="n">
        <v>0.04166666666666666</v>
      </c>
      <c r="D30" s="163" t="n"/>
      <c r="E30" s="7" t="n"/>
      <c r="F30" s="164" t="n"/>
      <c r="G30" s="189" t="inlineStr">
        <is>
          <t>short g</t>
        </is>
      </c>
      <c r="H30" s="240" t="n"/>
      <c r="I30" s="240" t="n"/>
      <c r="J30" s="240" t="n"/>
      <c r="K30" s="240" t="n"/>
      <c r="L30" s="240" t="n"/>
      <c r="M30" s="240" t="n"/>
      <c r="N30" s="240" t="n"/>
      <c r="O30" s="240" t="n"/>
      <c r="P30" s="240" t="n"/>
      <c r="Q30" s="240" t="n"/>
      <c r="R30" s="240" t="n"/>
      <c r="S30" s="240" t="n"/>
      <c r="T30" s="240" t="n"/>
      <c r="U30" s="240" t="n"/>
      <c r="V30" s="240" t="n"/>
      <c r="W30" s="240" t="n"/>
      <c r="X30" s="240" t="n"/>
      <c r="Y30" s="240" t="n"/>
      <c r="Z30" s="240" t="n"/>
      <c r="AA30" s="240" t="n"/>
      <c r="AB30" s="240" t="n"/>
      <c r="AC30" s="240" t="n"/>
      <c r="AD30" s="240" t="n"/>
      <c r="AE30" s="189" t="n"/>
      <c r="AF30" s="240" t="n"/>
      <c r="AG30" s="240" t="n"/>
      <c r="AH30" s="240" t="n"/>
      <c r="AI30" s="189" t="n"/>
      <c r="AJ30" s="240" t="n"/>
      <c r="AK30" s="240" t="n"/>
      <c r="AL30" s="240" t="n"/>
      <c r="AM30" s="189" t="n"/>
      <c r="AN30" s="240" t="n"/>
      <c r="AO30" s="240" t="n"/>
      <c r="AP30" s="240" t="n"/>
      <c r="AQ30" s="189" t="n"/>
      <c r="AR30" s="240" t="n"/>
      <c r="AS30" s="240" t="n"/>
      <c r="AT30" s="237" t="n"/>
      <c r="AU30" s="240" t="n"/>
      <c r="AV30" s="240" t="n"/>
      <c r="AW30" s="237" t="n"/>
      <c r="AX30" s="240" t="n"/>
      <c r="AY30" s="240" t="n"/>
      <c r="AZ30" s="237" t="n"/>
      <c r="BA30" s="240" t="n"/>
      <c r="BB30" s="240" t="n"/>
      <c r="BC30" s="237" t="n"/>
      <c r="BD30" s="240" t="n"/>
      <c r="BE30" s="240" t="n"/>
      <c r="BF30" s="40" t="n"/>
    </row>
    <row r="31">
      <c r="A31" s="9" t="n">
        <v>45998</v>
      </c>
      <c r="B31" s="7" t="inlineStr">
        <is>
          <t>Amalieswerd</t>
        </is>
      </c>
      <c r="C31" s="191" t="n">
        <v>0.07291666666666667</v>
      </c>
      <c r="D31" s="163" t="inlineStr">
        <is>
          <t>par 3</t>
        </is>
      </c>
      <c r="E31" s="7" t="n">
        <v>37</v>
      </c>
      <c r="F31" s="164" t="n">
        <v>27.6</v>
      </c>
      <c r="G31" s="189" t="n"/>
      <c r="H31" s="240" t="n"/>
      <c r="I31" s="240" t="n"/>
      <c r="J31" s="240" t="n"/>
      <c r="K31" s="240" t="n"/>
      <c r="L31" s="240" t="n"/>
      <c r="M31" s="240" t="n"/>
      <c r="N31" s="240" t="n"/>
      <c r="O31" s="240" t="n"/>
      <c r="P31" s="240" t="n"/>
      <c r="Q31" s="240" t="n"/>
      <c r="R31" s="240" t="n"/>
      <c r="S31" s="240" t="n"/>
      <c r="T31" s="240" t="n"/>
      <c r="U31" s="240" t="n"/>
      <c r="V31" s="240" t="n"/>
      <c r="W31" s="240" t="n"/>
      <c r="X31" s="240" t="n"/>
      <c r="Y31" s="240" t="n"/>
      <c r="Z31" s="240" t="n"/>
      <c r="AA31" s="240" t="n"/>
      <c r="AB31" s="240" t="n"/>
      <c r="AC31" s="240" t="n"/>
      <c r="AD31" s="240" t="n"/>
      <c r="AE31" s="189" t="n"/>
      <c r="AF31" s="240" t="n"/>
      <c r="AG31" s="240" t="n"/>
      <c r="AH31" s="240" t="n"/>
      <c r="AI31" s="189" t="n"/>
      <c r="AJ31" s="240" t="n"/>
      <c r="AK31" s="240" t="n"/>
      <c r="AL31" s="240" t="n"/>
      <c r="AM31" s="189" t="n"/>
      <c r="AN31" s="240" t="n"/>
      <c r="AO31" s="240" t="n"/>
      <c r="AP31" s="240" t="n"/>
      <c r="AQ31" s="189" t="n"/>
      <c r="AR31" s="240" t="n"/>
      <c r="AS31" s="240" t="n"/>
      <c r="AT31" s="237" t="n"/>
      <c r="AU31" s="240" t="n"/>
      <c r="AV31" s="240" t="n"/>
      <c r="AW31" s="237" t="n"/>
      <c r="AX31" s="240" t="n"/>
      <c r="AY31" s="240" t="n"/>
      <c r="AZ31" s="237" t="n"/>
      <c r="BA31" s="240" t="n"/>
      <c r="BB31" s="240" t="n"/>
      <c r="BC31" s="237" t="n"/>
      <c r="BD31" s="240" t="n"/>
      <c r="BE31" s="240" t="n"/>
      <c r="BF31" s="40" t="n"/>
    </row>
    <row r="32">
      <c r="A32" s="9" t="n">
        <v>45999</v>
      </c>
      <c r="B32" s="7" t="inlineStr">
        <is>
          <t>SGU</t>
        </is>
      </c>
      <c r="C32" s="191" t="n">
        <v>0.02777777777777778</v>
      </c>
      <c r="D32" s="163" t="n"/>
      <c r="E32" s="7" t="n"/>
      <c r="F32" s="164" t="n"/>
      <c r="G32" s="189" t="inlineStr">
        <is>
          <t>short g</t>
        </is>
      </c>
      <c r="H32" s="240" t="n"/>
      <c r="I32" s="240" t="n"/>
      <c r="J32" s="240" t="n"/>
      <c r="K32" s="240" t="n"/>
      <c r="L32" s="240" t="n"/>
      <c r="M32" s="240" t="n"/>
      <c r="N32" s="240" t="n"/>
      <c r="O32" s="240" t="n"/>
      <c r="P32" s="240" t="n"/>
      <c r="Q32" s="240" t="n"/>
      <c r="R32" s="240" t="n"/>
      <c r="S32" s="240" t="n"/>
      <c r="T32" s="240" t="n"/>
      <c r="U32" s="240" t="n"/>
      <c r="V32" s="240" t="n"/>
      <c r="W32" s="240" t="n"/>
      <c r="X32" s="240" t="n"/>
      <c r="Y32" s="240" t="n"/>
      <c r="Z32" s="240" t="n"/>
      <c r="AA32" s="240" t="n"/>
      <c r="AB32" s="240" t="n"/>
      <c r="AC32" s="240" t="n"/>
      <c r="AD32" s="240" t="n"/>
      <c r="AE32" s="189" t="n"/>
      <c r="AF32" s="240" t="n"/>
      <c r="AG32" s="240" t="n"/>
      <c r="AH32" s="240" t="n"/>
      <c r="AI32" s="189" t="n"/>
      <c r="AJ32" s="240" t="n"/>
      <c r="AK32" s="240" t="n"/>
      <c r="AL32" s="240" t="n"/>
      <c r="AM32" s="189" t="n"/>
      <c r="AN32" s="240" t="n"/>
      <c r="AO32" s="240" t="n"/>
      <c r="AP32" s="240" t="n"/>
      <c r="AQ32" s="189" t="n"/>
      <c r="AR32" s="240" t="n"/>
      <c r="AS32" s="240" t="n"/>
      <c r="AT32" s="237" t="n"/>
      <c r="AU32" s="240" t="n"/>
      <c r="AV32" s="240" t="n"/>
      <c r="AW32" s="237" t="n"/>
      <c r="AX32" s="240" t="n"/>
      <c r="AY32" s="240" t="n"/>
      <c r="AZ32" s="237" t="n"/>
      <c r="BA32" s="240" t="n"/>
      <c r="BB32" s="240" t="n"/>
      <c r="BC32" s="237" t="n"/>
      <c r="BD32" s="240" t="n"/>
      <c r="BE32" s="240" t="n"/>
      <c r="BF32" s="40" t="n"/>
    </row>
    <row r="33">
      <c r="A33" s="9" t="n">
        <v>46000</v>
      </c>
      <c r="B33" s="7" t="inlineStr">
        <is>
          <t>SGU</t>
        </is>
      </c>
      <c r="C33" s="191" t="n">
        <v>0.0625</v>
      </c>
      <c r="D33" s="163" t="n"/>
      <c r="E33" s="7" t="n"/>
      <c r="F33" s="164" t="n"/>
      <c r="G33" s="189" t="inlineStr">
        <is>
          <t>short g</t>
        </is>
      </c>
      <c r="H33" s="240" t="n"/>
      <c r="I33" s="240" t="n"/>
      <c r="J33" s="240" t="n"/>
      <c r="K33" s="240" t="n"/>
      <c r="L33" s="240" t="n"/>
      <c r="M33" s="240" t="n"/>
      <c r="N33" s="240" t="n"/>
      <c r="O33" s="240" t="n"/>
      <c r="P33" s="240" t="n"/>
      <c r="Q33" s="240" t="n"/>
      <c r="R33" s="240" t="n"/>
      <c r="S33" s="240" t="n"/>
      <c r="T33" s="240" t="n"/>
      <c r="U33" s="240" t="n"/>
      <c r="V33" s="240" t="n"/>
      <c r="W33" s="240" t="n"/>
      <c r="X33" s="240" t="n"/>
      <c r="Y33" s="240" t="n"/>
      <c r="Z33" s="240" t="n"/>
      <c r="AA33" s="240" t="n"/>
      <c r="AB33" s="240" t="n"/>
      <c r="AC33" s="240" t="n"/>
      <c r="AD33" s="240" t="n"/>
      <c r="AE33" s="189" t="n"/>
      <c r="AF33" s="240" t="n"/>
      <c r="AG33" s="240" t="n"/>
      <c r="AH33" s="240" t="n"/>
      <c r="AI33" s="189" t="n"/>
      <c r="AJ33" s="240" t="n"/>
      <c r="AK33" s="240" t="n"/>
      <c r="AL33" s="240" t="n"/>
      <c r="AM33" s="189" t="n"/>
      <c r="AN33" s="240" t="n"/>
      <c r="AO33" s="240" t="n"/>
      <c r="AP33" s="240" t="n"/>
      <c r="AQ33" s="189" t="n"/>
      <c r="AR33" s="240" t="n"/>
      <c r="AS33" s="240" t="n"/>
      <c r="AT33" s="237" t="n"/>
      <c r="AU33" s="240" t="n"/>
      <c r="AV33" s="240" t="n"/>
      <c r="AW33" s="237" t="n"/>
      <c r="AX33" s="240" t="n"/>
      <c r="AY33" s="240" t="n"/>
      <c r="AZ33" s="237" t="n"/>
      <c r="BA33" s="240" t="n"/>
      <c r="BB33" s="240" t="n"/>
      <c r="BC33" s="237" t="n"/>
      <c r="BD33" s="240" t="n"/>
      <c r="BE33" s="240" t="n"/>
      <c r="BF33" s="40" t="n"/>
    </row>
    <row r="34">
      <c r="A34" s="9" t="n"/>
      <c r="B34" s="7" t="n"/>
      <c r="C34" s="40" t="n"/>
      <c r="D34" s="163" t="n"/>
      <c r="E34" s="7" t="n"/>
      <c r="F34" s="164" t="n"/>
      <c r="G34" s="189" t="n"/>
      <c r="H34" s="240" t="n"/>
      <c r="I34" s="240" t="n"/>
      <c r="J34" s="240" t="n"/>
      <c r="K34" s="240" t="n"/>
      <c r="L34" s="240" t="n"/>
      <c r="M34" s="240" t="n"/>
      <c r="N34" s="240" t="n"/>
      <c r="O34" s="240" t="n"/>
      <c r="P34" s="240" t="n"/>
      <c r="Q34" s="240" t="n"/>
      <c r="R34" s="240" t="n"/>
      <c r="S34" s="240" t="n"/>
      <c r="T34" s="240" t="n"/>
      <c r="U34" s="240" t="n"/>
      <c r="V34" s="240" t="n"/>
      <c r="W34" s="240" t="n"/>
      <c r="X34" s="240" t="n"/>
      <c r="Y34" s="240" t="n"/>
      <c r="Z34" s="240" t="n"/>
      <c r="AA34" s="240" t="n"/>
      <c r="AB34" s="240" t="n"/>
      <c r="AC34" s="240" t="n"/>
      <c r="AD34" s="240" t="n"/>
      <c r="AE34" s="189" t="n"/>
      <c r="AF34" s="240" t="n"/>
      <c r="AG34" s="240" t="n"/>
      <c r="AH34" s="240" t="n"/>
      <c r="AI34" s="189" t="n"/>
      <c r="AJ34" s="240" t="n"/>
      <c r="AK34" s="240" t="n"/>
      <c r="AL34" s="240" t="n"/>
      <c r="AM34" s="189" t="n"/>
      <c r="AN34" s="240" t="n"/>
      <c r="AO34" s="240" t="n"/>
      <c r="AP34" s="240" t="n"/>
      <c r="AQ34" s="189" t="n"/>
      <c r="AR34" s="240" t="n"/>
      <c r="AS34" s="240" t="n"/>
      <c r="AT34" s="237" t="n"/>
      <c r="AU34" s="240" t="n"/>
      <c r="AV34" s="240" t="n"/>
      <c r="AW34" s="237" t="n"/>
      <c r="AX34" s="240" t="n"/>
      <c r="AY34" s="240" t="n"/>
      <c r="AZ34" s="237" t="n"/>
      <c r="BA34" s="240" t="n"/>
      <c r="BB34" s="240" t="n"/>
      <c r="BC34" s="237" t="n"/>
      <c r="BD34" s="240" t="n"/>
      <c r="BE34" s="240" t="n"/>
      <c r="BF34" s="40" t="n"/>
    </row>
    <row r="35">
      <c r="A35" s="9" t="n"/>
      <c r="B35" s="7" t="n"/>
      <c r="C35" s="40" t="n"/>
      <c r="D35" s="163" t="n"/>
      <c r="E35" s="7" t="n"/>
      <c r="F35" s="164" t="n"/>
      <c r="G35" s="189" t="n"/>
      <c r="H35" s="240" t="n"/>
      <c r="I35" s="240" t="n"/>
      <c r="J35" s="240" t="n"/>
      <c r="K35" s="240" t="n"/>
      <c r="L35" s="240" t="n"/>
      <c r="M35" s="240" t="n"/>
      <c r="N35" s="240" t="n"/>
      <c r="O35" s="240" t="n"/>
      <c r="P35" s="240" t="n"/>
      <c r="Q35" s="240" t="n"/>
      <c r="R35" s="240" t="n"/>
      <c r="S35" s="240" t="n"/>
      <c r="T35" s="240" t="n"/>
      <c r="U35" s="240" t="n"/>
      <c r="V35" s="240" t="n"/>
      <c r="W35" s="240" t="n"/>
      <c r="X35" s="240" t="n"/>
      <c r="Y35" s="240" t="n"/>
      <c r="Z35" s="240" t="n"/>
      <c r="AA35" s="240" t="n"/>
      <c r="AB35" s="240" t="n"/>
      <c r="AC35" s="240" t="n"/>
      <c r="AD35" s="240" t="n"/>
      <c r="AE35" s="189" t="n"/>
      <c r="AF35" s="240" t="n"/>
      <c r="AG35" s="240" t="n"/>
      <c r="AH35" s="240" t="n"/>
      <c r="AI35" s="189" t="n"/>
      <c r="AJ35" s="240" t="n"/>
      <c r="AK35" s="240" t="n"/>
      <c r="AL35" s="240" t="n"/>
      <c r="AM35" s="189" t="n"/>
      <c r="AN35" s="240" t="n"/>
      <c r="AO35" s="240" t="n"/>
      <c r="AP35" s="240" t="n"/>
      <c r="AQ35" s="189" t="n"/>
      <c r="AR35" s="240" t="n"/>
      <c r="AS35" s="240" t="n"/>
      <c r="AT35" s="237" t="n"/>
      <c r="AU35" s="240" t="n"/>
      <c r="AV35" s="240" t="n"/>
      <c r="AW35" s="237" t="n"/>
      <c r="AX35" s="240" t="n"/>
      <c r="AY35" s="240" t="n"/>
      <c r="AZ35" s="237" t="n"/>
      <c r="BA35" s="240" t="n"/>
      <c r="BB35" s="240" t="n"/>
      <c r="BC35" s="237" t="n"/>
      <c r="BD35" s="240" t="n"/>
      <c r="BE35" s="240" t="n"/>
      <c r="BF35" s="40" t="n"/>
    </row>
    <row r="36">
      <c r="A36" s="9" t="n"/>
      <c r="B36" s="7" t="n"/>
      <c r="C36" s="40" t="n"/>
      <c r="D36" s="163" t="n"/>
      <c r="E36" s="7" t="n"/>
      <c r="F36" s="164" t="n"/>
      <c r="G36" s="189" t="n"/>
      <c r="H36" s="240" t="n"/>
      <c r="I36" s="240" t="n"/>
      <c r="J36" s="240" t="n"/>
      <c r="K36" s="240" t="n"/>
      <c r="L36" s="240" t="n"/>
      <c r="M36" s="240" t="n"/>
      <c r="N36" s="240" t="n"/>
      <c r="O36" s="240" t="n"/>
      <c r="P36" s="240" t="n"/>
      <c r="Q36" s="240" t="n"/>
      <c r="R36" s="240" t="n"/>
      <c r="S36" s="240" t="n"/>
      <c r="T36" s="240" t="n"/>
      <c r="U36" s="240" t="n"/>
      <c r="V36" s="240" t="n"/>
      <c r="W36" s="240" t="n"/>
      <c r="X36" s="240" t="n"/>
      <c r="Y36" s="240" t="n"/>
      <c r="Z36" s="240" t="n"/>
      <c r="AA36" s="240" t="n"/>
      <c r="AB36" s="240" t="n"/>
      <c r="AC36" s="240" t="n"/>
      <c r="AD36" s="240" t="n"/>
      <c r="AE36" s="189" t="n"/>
      <c r="AF36" s="240" t="n"/>
      <c r="AG36" s="240" t="n"/>
      <c r="AH36" s="240" t="n"/>
      <c r="AI36" s="189" t="n"/>
      <c r="AJ36" s="240" t="n"/>
      <c r="AK36" s="240" t="n"/>
      <c r="AL36" s="240" t="n"/>
      <c r="AM36" s="189" t="n"/>
      <c r="AN36" s="240" t="n"/>
      <c r="AO36" s="240" t="n"/>
      <c r="AP36" s="240" t="n"/>
      <c r="AQ36" s="189" t="n"/>
      <c r="AR36" s="240" t="n"/>
      <c r="AS36" s="240" t="n"/>
      <c r="AT36" s="237" t="n"/>
      <c r="AU36" s="240" t="n"/>
      <c r="AV36" s="240" t="n"/>
      <c r="AW36" s="237" t="n"/>
      <c r="AX36" s="240" t="n"/>
      <c r="AY36" s="240" t="n"/>
      <c r="AZ36" s="237" t="n"/>
      <c r="BA36" s="240" t="n"/>
      <c r="BB36" s="240" t="n"/>
      <c r="BC36" s="237" t="n"/>
      <c r="BD36" s="240" t="n"/>
      <c r="BE36" s="240" t="n"/>
      <c r="BF36" s="40" t="n"/>
    </row>
    <row r="37">
      <c r="A37" s="9" t="n">
        <v>46070</v>
      </c>
      <c r="B37" s="7" t="inlineStr">
        <is>
          <t>SGU</t>
        </is>
      </c>
      <c r="C37" s="191" t="n">
        <v>0.02083333333333333</v>
      </c>
      <c r="D37" s="163" t="inlineStr">
        <is>
          <t>par 3</t>
        </is>
      </c>
      <c r="E37" s="7" t="n"/>
      <c r="F37" s="164" t="n"/>
      <c r="G37" s="189" t="inlineStr">
        <is>
          <t>short g</t>
        </is>
      </c>
      <c r="H37" s="240" t="n"/>
      <c r="I37" s="240" t="n"/>
      <c r="J37" s="240" t="n"/>
      <c r="K37" s="240" t="n"/>
      <c r="L37" s="240" t="n"/>
      <c r="M37" s="240" t="n"/>
      <c r="N37" s="240" t="n"/>
      <c r="O37" s="240" t="n"/>
      <c r="P37" s="240" t="n"/>
      <c r="Q37" s="240" t="n"/>
      <c r="R37" s="240" t="n"/>
      <c r="S37" s="240" t="n"/>
      <c r="T37" s="240" t="n"/>
      <c r="U37" s="240" t="n"/>
      <c r="V37" s="240" t="n"/>
      <c r="W37" s="240" t="n"/>
      <c r="X37" s="240" t="n"/>
      <c r="Y37" s="240" t="n"/>
      <c r="Z37" s="240" t="n"/>
      <c r="AA37" s="240" t="n"/>
      <c r="AB37" s="240" t="n"/>
      <c r="AC37" s="240" t="n"/>
      <c r="AD37" s="240" t="n"/>
      <c r="AE37" s="189" t="n"/>
      <c r="AF37" s="240" t="n"/>
      <c r="AG37" s="240" t="n"/>
      <c r="AH37" s="240" t="n"/>
      <c r="AI37" s="189" t="n"/>
      <c r="AJ37" s="240" t="n"/>
      <c r="AK37" s="240" t="n"/>
      <c r="AL37" s="240" t="n"/>
      <c r="AM37" s="189" t="n"/>
      <c r="AN37" s="240" t="n"/>
      <c r="AO37" s="240" t="n"/>
      <c r="AP37" s="240" t="n"/>
      <c r="AQ37" s="189" t="n"/>
      <c r="AR37" s="240" t="n"/>
      <c r="AS37" s="240" t="n"/>
      <c r="AT37" s="237" t="n"/>
      <c r="AU37" s="240" t="n"/>
      <c r="AV37" s="240" t="n"/>
      <c r="AW37" s="237" t="n"/>
      <c r="AX37" s="240" t="n"/>
      <c r="AY37" s="240" t="n"/>
      <c r="AZ37" s="237" t="n"/>
      <c r="BA37" s="240" t="n"/>
      <c r="BB37" s="240" t="n"/>
      <c r="BC37" s="237" t="n"/>
      <c r="BD37" s="240" t="n"/>
      <c r="BE37" s="240" t="n"/>
      <c r="BF37" s="40" t="n"/>
    </row>
    <row r="38">
      <c r="A38" s="9" t="n"/>
      <c r="B38" s="7" t="n"/>
      <c r="C38" s="40" t="n"/>
      <c r="D38" s="163" t="n"/>
      <c r="E38" s="7" t="n"/>
      <c r="F38" s="164" t="n"/>
      <c r="G38" s="189" t="n"/>
      <c r="H38" s="240" t="n"/>
      <c r="I38" s="240" t="n"/>
      <c r="J38" s="240" t="n"/>
      <c r="K38" s="240" t="n"/>
      <c r="L38" s="240" t="n"/>
      <c r="M38" s="240" t="n"/>
      <c r="N38" s="240" t="n"/>
      <c r="O38" s="240" t="n"/>
      <c r="P38" s="240" t="n"/>
      <c r="Q38" s="240" t="n"/>
      <c r="R38" s="240" t="n"/>
      <c r="S38" s="240" t="n"/>
      <c r="T38" s="240" t="n"/>
      <c r="U38" s="240" t="n"/>
      <c r="V38" s="240" t="n"/>
      <c r="W38" s="240" t="n"/>
      <c r="X38" s="240" t="n"/>
      <c r="Y38" s="240" t="n"/>
      <c r="Z38" s="240" t="n"/>
      <c r="AA38" s="240" t="n"/>
      <c r="AB38" s="240" t="n"/>
      <c r="AC38" s="240" t="n"/>
      <c r="AD38" s="240" t="n"/>
      <c r="AE38" s="189" t="n"/>
      <c r="AF38" s="240" t="n"/>
      <c r="AG38" s="240" t="n"/>
      <c r="AH38" s="240" t="n"/>
      <c r="AI38" s="189" t="n"/>
      <c r="AJ38" s="240" t="n"/>
      <c r="AK38" s="240" t="n"/>
      <c r="AL38" s="240" t="n"/>
      <c r="AM38" s="189" t="n"/>
      <c r="AN38" s="240" t="n"/>
      <c r="AO38" s="240" t="n"/>
      <c r="AP38" s="240" t="n"/>
      <c r="AQ38" s="189" t="n"/>
      <c r="AR38" s="240" t="n"/>
      <c r="AS38" s="240" t="n"/>
      <c r="AT38" s="237" t="n"/>
      <c r="AU38" s="240" t="n"/>
      <c r="AV38" s="240" t="n"/>
      <c r="AW38" s="237" t="n"/>
      <c r="AX38" s="240" t="n"/>
      <c r="AY38" s="240" t="n"/>
      <c r="AZ38" s="237" t="n"/>
      <c r="BA38" s="240" t="n"/>
      <c r="BB38" s="240" t="n"/>
      <c r="BC38" s="237" t="n"/>
      <c r="BD38" s="240" t="n"/>
      <c r="BE38" s="240" t="n"/>
      <c r="BF38" s="40" t="n"/>
    </row>
    <row r="39">
      <c r="A39" s="9" t="n"/>
      <c r="B39" s="7" t="n"/>
      <c r="C39" s="40" t="n"/>
      <c r="D39" s="163" t="n"/>
      <c r="E39" s="7" t="n"/>
      <c r="F39" s="164" t="n"/>
      <c r="G39" s="189" t="n"/>
      <c r="H39" s="240" t="n"/>
      <c r="I39" s="240" t="n"/>
      <c r="J39" s="240" t="n"/>
      <c r="K39" s="240" t="n"/>
      <c r="L39" s="240" t="n"/>
      <c r="M39" s="240" t="n"/>
      <c r="N39" s="240" t="n"/>
      <c r="O39" s="240" t="n"/>
      <c r="P39" s="240" t="n"/>
      <c r="Q39" s="240" t="n"/>
      <c r="R39" s="240" t="n"/>
      <c r="S39" s="240" t="n"/>
      <c r="T39" s="240" t="n"/>
      <c r="U39" s="240" t="n"/>
      <c r="V39" s="240" t="n"/>
      <c r="W39" s="240" t="n"/>
      <c r="X39" s="240" t="n"/>
      <c r="Y39" s="240" t="n"/>
      <c r="Z39" s="240" t="n"/>
      <c r="AA39" s="240" t="n"/>
      <c r="AB39" s="240" t="n"/>
      <c r="AC39" s="240" t="n"/>
      <c r="AD39" s="240" t="n"/>
      <c r="AE39" s="189" t="n"/>
      <c r="AF39" s="240" t="n"/>
      <c r="AG39" s="240" t="n"/>
      <c r="AH39" s="240" t="n"/>
      <c r="AI39" s="189" t="n"/>
      <c r="AJ39" s="240" t="n"/>
      <c r="AK39" s="240" t="n"/>
      <c r="AL39" s="240" t="n"/>
      <c r="AM39" s="189" t="n"/>
      <c r="AN39" s="240" t="n"/>
      <c r="AO39" s="240" t="n"/>
      <c r="AP39" s="240" t="n"/>
      <c r="AQ39" s="189" t="n"/>
      <c r="AR39" s="240" t="n"/>
      <c r="AS39" s="240" t="n"/>
      <c r="AT39" s="237" t="n"/>
      <c r="AU39" s="240" t="n"/>
      <c r="AV39" s="240" t="n"/>
      <c r="AW39" s="237" t="n"/>
      <c r="AX39" s="240" t="n"/>
      <c r="AY39" s="240" t="n"/>
      <c r="AZ39" s="237" t="n"/>
      <c r="BA39" s="240" t="n"/>
      <c r="BB39" s="240" t="n"/>
      <c r="BC39" s="237" t="n"/>
      <c r="BD39" s="240" t="n"/>
      <c r="BE39" s="240" t="n"/>
      <c r="BF39" s="40" t="n"/>
    </row>
    <row r="40" ht="15" customHeight="1" thickBot="1">
      <c r="A40" s="9" t="n"/>
      <c r="B40" s="7" t="n"/>
      <c r="C40" s="40" t="n"/>
      <c r="D40" s="190" t="n"/>
      <c r="E40" s="152" t="n"/>
      <c r="F40" s="167" t="n"/>
      <c r="G40" s="189" t="n"/>
      <c r="H40" s="240" t="n"/>
      <c r="I40" s="240" t="n"/>
      <c r="J40" s="240" t="n"/>
      <c r="K40" s="240" t="n"/>
      <c r="L40" s="240" t="n"/>
      <c r="M40" s="240" t="n"/>
      <c r="N40" s="240" t="n"/>
      <c r="O40" s="240" t="n"/>
      <c r="P40" s="240" t="n"/>
      <c r="Q40" s="240" t="n"/>
      <c r="R40" s="240" t="n"/>
      <c r="S40" s="240" t="n"/>
      <c r="T40" s="240" t="n"/>
      <c r="U40" s="240" t="n"/>
      <c r="V40" s="240" t="n"/>
      <c r="W40" s="240" t="n"/>
      <c r="X40" s="240" t="n"/>
      <c r="Y40" s="240" t="n"/>
      <c r="Z40" s="240" t="n"/>
      <c r="AA40" s="240" t="n"/>
      <c r="AB40" s="240" t="n"/>
      <c r="AC40" s="240" t="n"/>
      <c r="AD40" s="240" t="n"/>
      <c r="AE40" s="189" t="n"/>
      <c r="AF40" s="240" t="n"/>
      <c r="AG40" s="240" t="n"/>
      <c r="AH40" s="240" t="n"/>
      <c r="AI40" s="189" t="n"/>
      <c r="AJ40" s="240" t="n"/>
      <c r="AK40" s="240" t="n"/>
      <c r="AL40" s="240" t="n"/>
      <c r="AM40" s="189" t="n"/>
      <c r="AN40" s="240" t="n"/>
      <c r="AO40" s="240" t="n"/>
      <c r="AP40" s="240" t="n"/>
      <c r="AQ40" s="189" t="n"/>
      <c r="AR40" s="240" t="n"/>
      <c r="AS40" s="240" t="n"/>
      <c r="AT40" s="237" t="n"/>
      <c r="AU40" s="240" t="n"/>
      <c r="AV40" s="240" t="n"/>
      <c r="AW40" s="237" t="n"/>
      <c r="AX40" s="240" t="n"/>
      <c r="AY40" s="240" t="n"/>
      <c r="AZ40" s="237" t="n"/>
      <c r="BA40" s="240" t="n"/>
      <c r="BB40" s="240" t="n"/>
      <c r="BC40" s="237" t="n"/>
      <c r="BD40" s="240" t="n"/>
      <c r="BE40" s="240" t="n"/>
      <c r="BF40" s="40" t="n"/>
    </row>
  </sheetData>
  <mergeCells count="165">
    <mergeCell ref="AP18:AQ18"/>
    <mergeCell ref="AD17:AE17"/>
    <mergeCell ref="AL34:AM34"/>
    <mergeCell ref="AH33:AI33"/>
    <mergeCell ref="H3:Q3"/>
    <mergeCell ref="AL36:AM36"/>
    <mergeCell ref="AP39:AQ39"/>
    <mergeCell ref="AH35:AI35"/>
    <mergeCell ref="P6:Q6"/>
    <mergeCell ref="AP20:AQ20"/>
    <mergeCell ref="AD25:AE25"/>
    <mergeCell ref="R6:S6"/>
    <mergeCell ref="AH20:AI20"/>
    <mergeCell ref="AP29:AQ29"/>
    <mergeCell ref="AL28:AM28"/>
    <mergeCell ref="AD31:AE31"/>
    <mergeCell ref="AL37:AM37"/>
    <mergeCell ref="AD40:AE40"/>
    <mergeCell ref="AP22:AQ22"/>
    <mergeCell ref="AP31:AQ31"/>
    <mergeCell ref="V6:W6"/>
    <mergeCell ref="AL12:AM12"/>
    <mergeCell ref="X6:Y6"/>
    <mergeCell ref="AL21:AM21"/>
    <mergeCell ref="AP15:AQ15"/>
    <mergeCell ref="AL14:AM14"/>
    <mergeCell ref="AD32:AE32"/>
    <mergeCell ref="AL23:AM23"/>
    <mergeCell ref="AD26:AE26"/>
    <mergeCell ref="AD6:AG6"/>
    <mergeCell ref="AD7:AE7"/>
    <mergeCell ref="AT6:AY6"/>
    <mergeCell ref="AD16:AE16"/>
    <mergeCell ref="AP7:AQ7"/>
    <mergeCell ref="AH32:AI32"/>
    <mergeCell ref="R4:AC4"/>
    <mergeCell ref="AH6:AK6"/>
    <mergeCell ref="AH13:AI13"/>
    <mergeCell ref="AD18:AE18"/>
    <mergeCell ref="AD8:AE8"/>
    <mergeCell ref="L5:Q5"/>
    <mergeCell ref="AH24:AI24"/>
    <mergeCell ref="AP33:AQ33"/>
    <mergeCell ref="AH18:AI18"/>
    <mergeCell ref="AD5:AK5"/>
    <mergeCell ref="AZ4:BE4"/>
    <mergeCell ref="AL27:AM27"/>
    <mergeCell ref="L4:Q4"/>
    <mergeCell ref="AH8:AI8"/>
    <mergeCell ref="AD35:AE35"/>
    <mergeCell ref="AH17:AI17"/>
    <mergeCell ref="AP35:AQ35"/>
    <mergeCell ref="AD34:AE34"/>
    <mergeCell ref="AD28:AE28"/>
    <mergeCell ref="AL25:AM25"/>
    <mergeCell ref="AH10:AI10"/>
    <mergeCell ref="AP19:AQ19"/>
    <mergeCell ref="AH19:AI19"/>
    <mergeCell ref="AD36:AE36"/>
    <mergeCell ref="AD30:AE30"/>
    <mergeCell ref="AH34:AI34"/>
    <mergeCell ref="AH39:AI39"/>
    <mergeCell ref="AP30:AQ30"/>
    <mergeCell ref="AP11:AQ11"/>
    <mergeCell ref="AH36:AI36"/>
    <mergeCell ref="AH11:AI11"/>
    <mergeCell ref="AD22:AE22"/>
    <mergeCell ref="AL39:AM39"/>
    <mergeCell ref="AL20:AM20"/>
    <mergeCell ref="L6:M6"/>
    <mergeCell ref="N6:O6"/>
    <mergeCell ref="AL29:AM29"/>
    <mergeCell ref="AL38:AM38"/>
    <mergeCell ref="H5:I5"/>
    <mergeCell ref="AP32:AQ32"/>
    <mergeCell ref="AH22:AI22"/>
    <mergeCell ref="AH28:AI28"/>
    <mergeCell ref="AH37:AI37"/>
    <mergeCell ref="AP6:AS6"/>
    <mergeCell ref="AL22:AM22"/>
    <mergeCell ref="AP13:AQ13"/>
    <mergeCell ref="AL31:AM31"/>
    <mergeCell ref="AH12:AI12"/>
    <mergeCell ref="AL40:AM40"/>
    <mergeCell ref="AH21:AI21"/>
    <mergeCell ref="AT5:BE5"/>
    <mergeCell ref="AL15:AM15"/>
    <mergeCell ref="AD24:AE24"/>
    <mergeCell ref="AD38:AE38"/>
    <mergeCell ref="AD33:AE33"/>
    <mergeCell ref="AP24:AQ24"/>
    <mergeCell ref="AH14:AI14"/>
    <mergeCell ref="AH23:AI23"/>
    <mergeCell ref="AP8:AQ8"/>
    <mergeCell ref="AL26:AM26"/>
    <mergeCell ref="X5:AC5"/>
    <mergeCell ref="AP26:AQ26"/>
    <mergeCell ref="AD10:AE10"/>
    <mergeCell ref="AL7:AM7"/>
    <mergeCell ref="AL16:AM16"/>
    <mergeCell ref="AD19:AE19"/>
    <mergeCell ref="AP10:AQ10"/>
    <mergeCell ref="AD27:AE27"/>
    <mergeCell ref="AL18:AM18"/>
    <mergeCell ref="AP34:AQ34"/>
    <mergeCell ref="AL33:AM33"/>
    <mergeCell ref="AD11:AE11"/>
    <mergeCell ref="AP27:AQ27"/>
    <mergeCell ref="AH27:AI27"/>
    <mergeCell ref="AP36:AQ36"/>
    <mergeCell ref="AL5:AS5"/>
    <mergeCell ref="AL17:AM17"/>
    <mergeCell ref="AP17:AQ17"/>
    <mergeCell ref="AL35:AM35"/>
    <mergeCell ref="AZ6:BE6"/>
    <mergeCell ref="T6:U6"/>
    <mergeCell ref="AH25:AI25"/>
    <mergeCell ref="AL19:AM19"/>
    <mergeCell ref="AD37:AE37"/>
    <mergeCell ref="D6:F6"/>
    <mergeCell ref="AP28:AQ28"/>
    <mergeCell ref="AD4:AK4"/>
    <mergeCell ref="AD12:AE12"/>
    <mergeCell ref="AP37:AQ37"/>
    <mergeCell ref="AD21:AE21"/>
    <mergeCell ref="Z6:AA6"/>
    <mergeCell ref="AP12:AQ12"/>
    <mergeCell ref="J5:K5"/>
    <mergeCell ref="AB6:AC6"/>
    <mergeCell ref="AL30:AM30"/>
    <mergeCell ref="AP21:AQ21"/>
    <mergeCell ref="AD39:AE39"/>
    <mergeCell ref="AD20:AE20"/>
    <mergeCell ref="AD14:AE14"/>
    <mergeCell ref="AL11:AM11"/>
    <mergeCell ref="AD29:AE29"/>
    <mergeCell ref="AD23:AE23"/>
    <mergeCell ref="AP14:AQ14"/>
    <mergeCell ref="AD13:AE13"/>
    <mergeCell ref="AP23:AQ23"/>
    <mergeCell ref="H6:I6"/>
    <mergeCell ref="J6:K6"/>
    <mergeCell ref="AH29:AI29"/>
    <mergeCell ref="AP38:AQ38"/>
    <mergeCell ref="AH38:AI38"/>
    <mergeCell ref="AD15:AE15"/>
    <mergeCell ref="AL32:AM32"/>
    <mergeCell ref="AL6:AO6"/>
    <mergeCell ref="AL13:AM13"/>
    <mergeCell ref="AH31:AI31"/>
    <mergeCell ref="AP40:AQ40"/>
    <mergeCell ref="H4:K4"/>
    <mergeCell ref="AH40:AI40"/>
    <mergeCell ref="AH15:AI15"/>
    <mergeCell ref="R5:W5"/>
    <mergeCell ref="AL24:AM24"/>
    <mergeCell ref="AH30:AI30"/>
    <mergeCell ref="AL8:AM8"/>
    <mergeCell ref="AH26:AI26"/>
    <mergeCell ref="AH7:AI7"/>
    <mergeCell ref="AP16:AQ16"/>
    <mergeCell ref="AL4:AY4"/>
    <mergeCell ref="AH16:AI16"/>
    <mergeCell ref="AP25:AQ25"/>
    <mergeCell ref="AL10:AM10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H15" sqref="H15"/>
    </sheetView>
  </sheetViews>
  <sheetFormatPr baseColWidth="8" defaultRowHeight="14.5"/>
  <cols>
    <col width="0.54296875" customWidth="1" min="26" max="26"/>
    <col width="2.08984375" customWidth="1" min="30" max="30"/>
  </cols>
  <sheetData>
    <row r="1"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>
      <c r="A2" t="inlineStr">
        <is>
          <t>1 putt = 0.82m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</row>
    <row r="3">
      <c r="A3">
        <f>2*0.82</f>
        <v/>
      </c>
      <c r="B3">
        <f>3*0.82</f>
        <v/>
      </c>
      <c r="C3" s="240" t="inlineStr">
        <is>
          <t>Long Game</t>
        </is>
      </c>
      <c r="D3" s="158" t="n"/>
      <c r="E3" s="158" t="n"/>
      <c r="F3" s="158" t="n"/>
      <c r="G3" s="158" t="n"/>
      <c r="H3" s="158" t="n"/>
      <c r="I3" s="158" t="n"/>
      <c r="J3" s="158" t="n"/>
      <c r="K3" s="158" t="n"/>
      <c r="L3" s="158" t="n"/>
      <c r="M3" s="158" t="n"/>
      <c r="N3" s="189" t="n"/>
      <c r="O3" s="2" t="n"/>
    </row>
    <row r="4">
      <c r="C4" s="240" t="inlineStr">
        <is>
          <t>Wedges&amp;Approach Shots (Distance control)</t>
        </is>
      </c>
      <c r="D4" s="158" t="n"/>
      <c r="E4" s="158" t="n"/>
      <c r="F4" s="158" t="n"/>
      <c r="G4" s="158" t="n"/>
      <c r="H4" s="189" t="n"/>
      <c r="I4" s="240" t="inlineStr">
        <is>
          <t>Trajectory Drill</t>
        </is>
      </c>
      <c r="J4" s="158" t="n"/>
      <c r="K4" s="158" t="n"/>
      <c r="L4" s="158" t="n"/>
      <c r="M4" s="158" t="n"/>
      <c r="N4" s="189" t="n"/>
      <c r="O4" s="240" t="inlineStr">
        <is>
          <t>Irons</t>
        </is>
      </c>
      <c r="P4" s="158" t="n"/>
      <c r="Q4" s="158" t="n"/>
      <c r="R4" s="158" t="n"/>
      <c r="S4" s="158" t="n"/>
      <c r="T4" s="158" t="n"/>
      <c r="U4" s="158" t="n"/>
      <c r="V4" s="158" t="n"/>
      <c r="W4" s="158" t="n"/>
      <c r="X4" s="189" t="n"/>
      <c r="Y4" s="262" t="inlineStr">
        <is>
          <t>Chipping &amp; Pitching</t>
        </is>
      </c>
      <c r="Z4" s="158" t="n"/>
      <c r="AA4" s="158" t="n"/>
      <c r="AB4" s="158" t="n"/>
      <c r="AC4" s="158" t="n"/>
      <c r="AD4" s="158" t="n"/>
      <c r="AE4" s="158" t="n"/>
      <c r="AF4" s="189" t="n"/>
    </row>
    <row r="5">
      <c r="A5" t="n">
        <v>2025</v>
      </c>
      <c r="C5" s="240" t="inlineStr">
        <is>
          <t>10 Shots</t>
        </is>
      </c>
      <c r="D5" s="189" t="n"/>
      <c r="E5" s="240" t="inlineStr">
        <is>
          <t>10 Shots</t>
        </is>
      </c>
      <c r="F5" s="189" t="n"/>
      <c r="G5" s="240" t="inlineStr">
        <is>
          <t>10 Shots</t>
        </is>
      </c>
      <c r="H5" s="189" t="n"/>
      <c r="I5" s="240" t="inlineStr">
        <is>
          <t>15 Shots</t>
        </is>
      </c>
      <c r="J5" s="158" t="n"/>
      <c r="K5" s="158" t="n"/>
      <c r="L5" s="158" t="n"/>
      <c r="M5" s="158" t="n"/>
      <c r="N5" s="189" t="n"/>
      <c r="O5" s="237" t="inlineStr">
        <is>
          <t>Mid - Irons (7 - 8i)</t>
        </is>
      </c>
      <c r="P5" s="158" t="n"/>
      <c r="Q5" s="158" t="n"/>
      <c r="R5" s="158" t="n"/>
      <c r="S5" s="158" t="n"/>
      <c r="T5" s="238" t="n"/>
      <c r="U5" s="244" t="inlineStr">
        <is>
          <t>Long - Irons/ Hybrids (3-5i -hybrid)</t>
        </is>
      </c>
      <c r="V5" s="158" t="n"/>
      <c r="W5" s="158" t="n"/>
      <c r="X5" s="158" t="n"/>
      <c r="Y5" s="240" t="n"/>
      <c r="Z5" s="158" t="n"/>
      <c r="AA5" s="158" t="n"/>
      <c r="AB5" s="158" t="n"/>
      <c r="AC5" s="158" t="n"/>
      <c r="AD5" s="158" t="n"/>
      <c r="AE5" s="158" t="n"/>
      <c r="AF5" s="189" t="n"/>
    </row>
    <row r="6">
      <c r="C6" s="240" t="inlineStr">
        <is>
          <t>45m</t>
        </is>
      </c>
      <c r="D6" s="189" t="n"/>
      <c r="E6" s="240" t="inlineStr">
        <is>
          <t>65m</t>
        </is>
      </c>
      <c r="F6" s="189" t="n"/>
      <c r="G6" s="240" t="inlineStr">
        <is>
          <t>90m</t>
        </is>
      </c>
      <c r="H6" s="189" t="n"/>
      <c r="I6" s="240" t="inlineStr">
        <is>
          <t>5 shots Low</t>
        </is>
      </c>
      <c r="J6" s="189" t="n"/>
      <c r="K6" s="240" t="inlineStr">
        <is>
          <t>5 shots Stock</t>
        </is>
      </c>
      <c r="L6" s="189" t="n"/>
      <c r="M6" s="240" t="inlineStr">
        <is>
          <t>5 shots high</t>
        </is>
      </c>
      <c r="N6" s="189" t="n"/>
      <c r="O6" s="240" t="inlineStr">
        <is>
          <t>Solid Contact 10x</t>
        </is>
      </c>
      <c r="P6" s="158" t="n"/>
      <c r="Q6" s="189" t="n"/>
      <c r="R6" s="240" t="inlineStr">
        <is>
          <t>In target area 10x</t>
        </is>
      </c>
      <c r="S6" s="189" t="n"/>
      <c r="T6" s="240" t="inlineStr">
        <is>
          <t>Solid Contact 10x</t>
        </is>
      </c>
      <c r="U6" s="158" t="n"/>
      <c r="V6" s="189" t="n"/>
      <c r="W6" s="240" t="inlineStr">
        <is>
          <t>In target area 10x</t>
        </is>
      </c>
      <c r="X6" s="189" t="n"/>
      <c r="Y6" s="240" t="inlineStr">
        <is>
          <t>Fairway Finder 10x</t>
        </is>
      </c>
      <c r="Z6" s="158" t="n"/>
      <c r="AA6" s="158" t="n"/>
      <c r="AB6" s="189" t="n"/>
      <c r="AC6" s="240" t="inlineStr">
        <is>
          <t>Shape Practice 10x</t>
        </is>
      </c>
      <c r="AD6" s="158" t="n"/>
      <c r="AE6" s="158" t="n"/>
      <c r="AF6" s="189" t="n"/>
    </row>
    <row r="7">
      <c r="A7" s="262" t="inlineStr">
        <is>
          <t>Date:</t>
        </is>
      </c>
      <c r="B7" s="262" t="inlineStr">
        <is>
          <t>Club</t>
        </is>
      </c>
      <c r="C7" s="239" t="inlineStr">
        <is>
          <t>In</t>
        </is>
      </c>
      <c r="D7" s="240" t="inlineStr">
        <is>
          <t>Out</t>
        </is>
      </c>
      <c r="E7" s="239" t="inlineStr">
        <is>
          <t>In</t>
        </is>
      </c>
      <c r="F7" s="240" t="inlineStr">
        <is>
          <t>Out</t>
        </is>
      </c>
      <c r="G7" s="240" t="inlineStr">
        <is>
          <t>In</t>
        </is>
      </c>
      <c r="H7" s="240" t="inlineStr">
        <is>
          <t>Out</t>
        </is>
      </c>
      <c r="I7" s="240" t="inlineStr">
        <is>
          <t>In</t>
        </is>
      </c>
      <c r="J7" s="240" t="inlineStr">
        <is>
          <t>Out</t>
        </is>
      </c>
      <c r="K7" s="240" t="inlineStr">
        <is>
          <t>In</t>
        </is>
      </c>
      <c r="L7" s="240" t="inlineStr">
        <is>
          <t>Out</t>
        </is>
      </c>
      <c r="M7" s="240" t="inlineStr">
        <is>
          <t>In</t>
        </is>
      </c>
      <c r="N7" s="240" t="inlineStr">
        <is>
          <t>Out</t>
        </is>
      </c>
      <c r="O7" s="240" t="inlineStr">
        <is>
          <t>Club</t>
        </is>
      </c>
      <c r="P7" s="240" t="inlineStr">
        <is>
          <t>In</t>
        </is>
      </c>
      <c r="Q7" s="240" t="inlineStr">
        <is>
          <t>Out</t>
        </is>
      </c>
      <c r="R7" s="240" t="inlineStr">
        <is>
          <t>In</t>
        </is>
      </c>
      <c r="S7" s="240" t="inlineStr">
        <is>
          <t>Out</t>
        </is>
      </c>
      <c r="T7" s="240" t="inlineStr">
        <is>
          <t>Club</t>
        </is>
      </c>
      <c r="U7" s="240" t="inlineStr">
        <is>
          <t>In</t>
        </is>
      </c>
      <c r="V7" s="240" t="inlineStr">
        <is>
          <t>Out</t>
        </is>
      </c>
      <c r="W7" s="240" t="inlineStr">
        <is>
          <t>In</t>
        </is>
      </c>
      <c r="X7" s="240" t="inlineStr">
        <is>
          <t>Out</t>
        </is>
      </c>
      <c r="Y7" s="240" t="inlineStr">
        <is>
          <t>Club</t>
        </is>
      </c>
      <c r="Z7" s="189" t="n"/>
      <c r="AA7" s="240" t="inlineStr">
        <is>
          <t>In</t>
        </is>
      </c>
      <c r="AB7" s="240" t="inlineStr">
        <is>
          <t>Out</t>
        </is>
      </c>
      <c r="AC7" s="240" t="inlineStr">
        <is>
          <t>Club</t>
        </is>
      </c>
      <c r="AD7" s="189" t="n"/>
      <c r="AE7" s="240" t="inlineStr">
        <is>
          <t>In</t>
        </is>
      </c>
      <c r="AF7" s="240" t="inlineStr">
        <is>
          <t>Out</t>
        </is>
      </c>
    </row>
    <row r="8">
      <c r="A8" s="9" t="n"/>
      <c r="B8" s="7" t="n"/>
      <c r="C8" s="240" t="n"/>
      <c r="D8" s="240" t="n"/>
      <c r="E8" s="240" t="n"/>
      <c r="F8" s="240" t="n"/>
      <c r="G8" s="240" t="n"/>
      <c r="H8" s="240" t="n"/>
      <c r="I8" s="240" t="n"/>
      <c r="J8" s="240" t="n"/>
      <c r="K8" s="240" t="n"/>
      <c r="L8" s="240" t="n"/>
      <c r="M8" s="240" t="n"/>
      <c r="N8" s="240" t="n"/>
      <c r="O8" s="240" t="n"/>
      <c r="P8" s="240" t="n"/>
      <c r="Q8" s="240" t="n"/>
      <c r="R8" s="240" t="n"/>
      <c r="S8" s="240" t="n"/>
      <c r="T8" s="240" t="n"/>
      <c r="U8" s="240" t="n"/>
      <c r="V8" s="240" t="n"/>
      <c r="W8" s="240" t="n"/>
      <c r="X8" s="240" t="n"/>
      <c r="Y8" s="240" t="n"/>
      <c r="Z8" s="189" t="n"/>
      <c r="AA8" s="240" t="n"/>
      <c r="AB8" s="240" t="n"/>
      <c r="AC8" s="240" t="n"/>
      <c r="AD8" s="189" t="n"/>
      <c r="AE8" s="240" t="n"/>
      <c r="AF8" s="240" t="n"/>
    </row>
    <row r="9">
      <c r="A9" s="9" t="n"/>
      <c r="B9" s="7" t="n"/>
      <c r="C9" s="240" t="n"/>
      <c r="D9" s="240" t="n"/>
      <c r="E9" s="240" t="n"/>
      <c r="F9" s="240" t="n"/>
      <c r="G9" s="240" t="n"/>
      <c r="H9" s="240" t="n"/>
      <c r="I9" s="240" t="n"/>
      <c r="J9" s="240" t="n"/>
      <c r="K9" s="240" t="n"/>
      <c r="L9" s="240" t="n"/>
      <c r="M9" s="240" t="n"/>
      <c r="N9" s="240" t="n"/>
      <c r="O9" s="240" t="n"/>
      <c r="P9" s="240" t="n"/>
      <c r="Q9" s="240" t="n"/>
      <c r="R9" s="240" t="n"/>
      <c r="S9" s="240" t="n"/>
      <c r="T9" s="240" t="n"/>
      <c r="U9" s="240" t="n"/>
      <c r="V9" s="240" t="n"/>
      <c r="W9" s="240" t="n"/>
      <c r="X9" s="240" t="n"/>
      <c r="Y9" s="240" t="n"/>
      <c r="Z9" s="189" t="n"/>
      <c r="AA9" s="240" t="n"/>
      <c r="AB9" s="240" t="n"/>
      <c r="AC9" s="240" t="n"/>
      <c r="AD9" s="189" t="n"/>
      <c r="AE9" s="240" t="n"/>
      <c r="AF9" s="240" t="n"/>
    </row>
    <row r="10"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</row>
  </sheetData>
  <mergeCells count="30">
    <mergeCell ref="C6:D6"/>
    <mergeCell ref="AC7:AD7"/>
    <mergeCell ref="Y4:AF4"/>
    <mergeCell ref="I6:J6"/>
    <mergeCell ref="C5:D5"/>
    <mergeCell ref="E5:F5"/>
    <mergeCell ref="W6:X6"/>
    <mergeCell ref="AC6:AF6"/>
    <mergeCell ref="U5:X5"/>
    <mergeCell ref="Y9:Z9"/>
    <mergeCell ref="I5:N5"/>
    <mergeCell ref="O5:S5"/>
    <mergeCell ref="R6:S6"/>
    <mergeCell ref="Y5:AF5"/>
    <mergeCell ref="G6:H6"/>
    <mergeCell ref="AC8:AD8"/>
    <mergeCell ref="I4:N4"/>
    <mergeCell ref="T6:V6"/>
    <mergeCell ref="E6:F6"/>
    <mergeCell ref="Y7:Z7"/>
    <mergeCell ref="M6:N6"/>
    <mergeCell ref="G5:H5"/>
    <mergeCell ref="C3:N3"/>
    <mergeCell ref="AC9:AD9"/>
    <mergeCell ref="O4:X4"/>
    <mergeCell ref="O6:Q6"/>
    <mergeCell ref="C4:H4"/>
    <mergeCell ref="Y8:Z8"/>
    <mergeCell ref="K6:L6"/>
    <mergeCell ref="Y6:AB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O45"/>
  <sheetViews>
    <sheetView topLeftCell="CN1" workbookViewId="0">
      <selection activeCell="DC3" sqref="DC3"/>
    </sheetView>
  </sheetViews>
  <sheetFormatPr baseColWidth="8" defaultRowHeight="14.5"/>
  <cols>
    <col width="8.7265625" customWidth="1" style="47" min="60" max="60"/>
    <col width="15.1796875" bestFit="1" customWidth="1" min="98" max="98"/>
    <col width="15.1796875" bestFit="1" customWidth="1" min="113" max="113"/>
  </cols>
  <sheetData>
    <row r="1">
      <c r="D1" s="44" t="n"/>
      <c r="H1" s="45" t="inlineStr">
        <is>
          <t>Stb.Points:</t>
        </is>
      </c>
      <c r="I1" s="22" t="n">
        <v>-6</v>
      </c>
      <c r="J1" s="46" t="n">
        <v>-3</v>
      </c>
      <c r="K1" s="22" t="n">
        <v>-2</v>
      </c>
      <c r="L1" s="22" t="n">
        <v>-1</v>
      </c>
      <c r="M1" s="22" t="n">
        <v>0</v>
      </c>
      <c r="N1" s="23" t="n">
        <v>1</v>
      </c>
      <c r="S1" s="44" t="n"/>
      <c r="W1" s="45" t="inlineStr">
        <is>
          <t>Stb.Points:</t>
        </is>
      </c>
      <c r="X1" s="22" t="n">
        <v>-6</v>
      </c>
      <c r="Y1" s="46" t="n">
        <v>-3</v>
      </c>
      <c r="Z1" s="22" t="n">
        <v>-2</v>
      </c>
      <c r="AA1" s="22" t="n">
        <v>-1</v>
      </c>
      <c r="AB1" s="22" t="n">
        <v>0</v>
      </c>
      <c r="AC1" s="23" t="n">
        <v>1</v>
      </c>
      <c r="AH1" s="44" t="n"/>
      <c r="AL1" s="45" t="inlineStr">
        <is>
          <t>Stb.Points:</t>
        </is>
      </c>
      <c r="AM1" s="22" t="n">
        <v>-6</v>
      </c>
      <c r="AN1" s="46" t="n">
        <v>-3</v>
      </c>
      <c r="AO1" s="22" t="n">
        <v>-2</v>
      </c>
      <c r="AP1" s="22" t="n">
        <v>-1</v>
      </c>
      <c r="AQ1" s="22" t="n">
        <v>0</v>
      </c>
      <c r="AR1" s="23" t="n">
        <v>1</v>
      </c>
      <c r="AW1" s="44" t="n"/>
      <c r="BA1" s="45" t="inlineStr">
        <is>
          <t>Stb.Points:</t>
        </is>
      </c>
      <c r="BB1" s="22" t="n">
        <v>-6</v>
      </c>
      <c r="BC1" s="46" t="n">
        <v>-3</v>
      </c>
      <c r="BD1" s="22" t="n">
        <v>-2</v>
      </c>
      <c r="BE1" s="22" t="n">
        <v>-1</v>
      </c>
      <c r="BF1" s="22" t="n">
        <v>0</v>
      </c>
      <c r="BG1" s="23" t="n">
        <v>1</v>
      </c>
      <c r="BL1" s="44" t="n"/>
      <c r="BP1" s="45" t="inlineStr">
        <is>
          <t>Stb.Points:</t>
        </is>
      </c>
      <c r="BQ1" s="22" t="n">
        <v>-6</v>
      </c>
      <c r="BR1" s="46" t="n">
        <v>-3</v>
      </c>
      <c r="BS1" s="22" t="n">
        <v>-2</v>
      </c>
      <c r="BT1" s="22" t="n">
        <v>-1</v>
      </c>
      <c r="BU1" s="22" t="n">
        <v>0</v>
      </c>
      <c r="BV1" s="23" t="n">
        <v>1</v>
      </c>
      <c r="CA1" s="44" t="n"/>
      <c r="CE1" s="45" t="inlineStr">
        <is>
          <t>Stb.Points:</t>
        </is>
      </c>
      <c r="CF1" s="22" t="n">
        <v>-6</v>
      </c>
      <c r="CG1" s="46" t="n">
        <v>-3</v>
      </c>
      <c r="CH1" s="22" t="n">
        <v>-2</v>
      </c>
      <c r="CI1" s="22" t="n">
        <v>-1</v>
      </c>
      <c r="CJ1" s="22" t="n">
        <v>0</v>
      </c>
      <c r="CK1" s="23" t="n">
        <v>1</v>
      </c>
      <c r="CP1" s="44" t="n"/>
      <c r="CT1" s="45" t="inlineStr">
        <is>
          <t>Stb.Points:</t>
        </is>
      </c>
      <c r="CU1" s="22" t="n">
        <v>-6</v>
      </c>
      <c r="CV1" s="46" t="n">
        <v>-3</v>
      </c>
      <c r="CW1" s="22" t="n">
        <v>-2</v>
      </c>
      <c r="CX1" s="22" t="n">
        <v>-1</v>
      </c>
      <c r="CY1" s="22" t="n">
        <v>0</v>
      </c>
      <c r="CZ1" s="23" t="n">
        <v>1</v>
      </c>
      <c r="DE1" s="44" t="n"/>
      <c r="DI1" s="45" t="inlineStr">
        <is>
          <t>Stb.Points:</t>
        </is>
      </c>
      <c r="DJ1" s="22" t="n">
        <v>-6</v>
      </c>
      <c r="DK1" s="46" t="n">
        <v>-3</v>
      </c>
      <c r="DL1" s="22" t="n">
        <v>-2</v>
      </c>
      <c r="DM1" s="22" t="n">
        <v>-1</v>
      </c>
      <c r="DN1" s="22" t="n">
        <v>0</v>
      </c>
      <c r="DO1" s="23" t="n">
        <v>1</v>
      </c>
    </row>
    <row r="2" ht="15" customHeight="1" thickBot="1">
      <c r="A2" s="11" t="inlineStr">
        <is>
          <t>Date:</t>
        </is>
      </c>
      <c r="B2" s="281" t="n">
        <v>45771</v>
      </c>
      <c r="D2" s="49" t="n"/>
      <c r="E2" s="281" t="n"/>
      <c r="F2" t="inlineStr">
        <is>
          <t>Hcap:</t>
        </is>
      </c>
      <c r="G2" t="inlineStr">
        <is>
          <t>36,5?</t>
        </is>
      </c>
      <c r="H2" s="50" t="inlineStr">
        <is>
          <t>Points:</t>
        </is>
      </c>
      <c r="I2" s="27" t="n">
        <v>6</v>
      </c>
      <c r="J2" s="27" t="n">
        <v>5</v>
      </c>
      <c r="K2" s="27" t="n">
        <v>4</v>
      </c>
      <c r="L2" s="51" t="n">
        <v>3</v>
      </c>
      <c r="M2" s="27" t="n">
        <v>2</v>
      </c>
      <c r="N2" s="28" t="n">
        <v>1</v>
      </c>
      <c r="P2" s="11" t="inlineStr">
        <is>
          <t>Date:</t>
        </is>
      </c>
      <c r="Q2" s="281" t="n">
        <v>45777</v>
      </c>
      <c r="S2" s="49" t="n"/>
      <c r="T2" s="281" t="n"/>
      <c r="U2" t="inlineStr">
        <is>
          <t>Hcap:</t>
        </is>
      </c>
      <c r="V2" t="inlineStr">
        <is>
          <t>36,4?</t>
        </is>
      </c>
      <c r="W2" s="50" t="inlineStr">
        <is>
          <t>Points:</t>
        </is>
      </c>
      <c r="X2" s="27" t="n">
        <v>6</v>
      </c>
      <c r="Y2" s="27" t="n">
        <v>5</v>
      </c>
      <c r="Z2" s="27" t="n">
        <v>4</v>
      </c>
      <c r="AA2" s="51" t="n">
        <v>3</v>
      </c>
      <c r="AB2" s="27" t="n">
        <v>2</v>
      </c>
      <c r="AC2" s="28" t="n">
        <v>1</v>
      </c>
      <c r="AE2" s="11" t="inlineStr">
        <is>
          <t>Date:</t>
        </is>
      </c>
      <c r="AF2" s="281" t="n">
        <v>45788</v>
      </c>
      <c r="AH2" s="49" t="n"/>
      <c r="AI2" s="281" t="n"/>
      <c r="AJ2" t="inlineStr">
        <is>
          <t>Hcap:</t>
        </is>
      </c>
      <c r="AK2" t="inlineStr">
        <is>
          <t>36,4?</t>
        </is>
      </c>
      <c r="AL2" s="50" t="inlineStr">
        <is>
          <t>Points:</t>
        </is>
      </c>
      <c r="AM2" s="27" t="n">
        <v>6</v>
      </c>
      <c r="AN2" s="27" t="n">
        <v>5</v>
      </c>
      <c r="AO2" s="27" t="n">
        <v>4</v>
      </c>
      <c r="AP2" s="51" t="n">
        <v>3</v>
      </c>
      <c r="AQ2" s="27" t="n">
        <v>2</v>
      </c>
      <c r="AR2" s="28" t="n">
        <v>1</v>
      </c>
      <c r="AT2" s="11" t="inlineStr">
        <is>
          <t>Date:</t>
        </is>
      </c>
      <c r="AU2" s="281" t="n">
        <v>45802</v>
      </c>
      <c r="AW2" s="49" t="n"/>
      <c r="AX2" s="281" t="n"/>
      <c r="AY2" t="inlineStr">
        <is>
          <t>Hcap:</t>
        </is>
      </c>
      <c r="AZ2" t="inlineStr">
        <is>
          <t>36,4?</t>
        </is>
      </c>
      <c r="BA2" s="50" t="inlineStr">
        <is>
          <t>Points:</t>
        </is>
      </c>
      <c r="BB2" s="27" t="n">
        <v>6</v>
      </c>
      <c r="BC2" s="27" t="n">
        <v>5</v>
      </c>
      <c r="BD2" s="27" t="n">
        <v>4</v>
      </c>
      <c r="BE2" s="51" t="n">
        <v>3</v>
      </c>
      <c r="BF2" s="27" t="n">
        <v>2</v>
      </c>
      <c r="BG2" s="28" t="n">
        <v>1</v>
      </c>
      <c r="BI2" s="11" t="inlineStr">
        <is>
          <t>Date:</t>
        </is>
      </c>
      <c r="BJ2" s="281" t="n">
        <v>45923</v>
      </c>
      <c r="BL2" s="49" t="n"/>
      <c r="BM2" s="281" t="n"/>
      <c r="BN2" t="inlineStr">
        <is>
          <t>Hcap:</t>
        </is>
      </c>
      <c r="BO2" t="inlineStr">
        <is>
          <t>36,4?</t>
        </is>
      </c>
      <c r="BP2" s="50" t="inlineStr">
        <is>
          <t>Points:</t>
        </is>
      </c>
      <c r="BQ2" s="27" t="n">
        <v>6</v>
      </c>
      <c r="BR2" s="27" t="n">
        <v>5</v>
      </c>
      <c r="BS2" s="27" t="n">
        <v>4</v>
      </c>
      <c r="BT2" s="51" t="n">
        <v>3</v>
      </c>
      <c r="BU2" s="27" t="n">
        <v>2</v>
      </c>
      <c r="BV2" s="28" t="n">
        <v>1</v>
      </c>
      <c r="BX2" s="11" t="inlineStr">
        <is>
          <t>Date:</t>
        </is>
      </c>
      <c r="BY2" s="281" t="n">
        <v>45930</v>
      </c>
      <c r="CA2" s="49" t="n"/>
      <c r="CB2" s="281" t="n"/>
      <c r="CC2" s="11" t="inlineStr">
        <is>
          <t>Hcap I:</t>
        </is>
      </c>
      <c r="CD2" s="52" t="inlineStr">
        <is>
          <t>16?</t>
        </is>
      </c>
      <c r="CE2" s="50" t="inlineStr">
        <is>
          <t>Points:</t>
        </is>
      </c>
      <c r="CF2" s="27" t="n">
        <v>6</v>
      </c>
      <c r="CG2" s="27" t="n">
        <v>5</v>
      </c>
      <c r="CH2" s="27" t="n">
        <v>4</v>
      </c>
      <c r="CI2" s="51" t="n">
        <v>3</v>
      </c>
      <c r="CJ2" s="27" t="n">
        <v>2</v>
      </c>
      <c r="CK2" s="28" t="n">
        <v>1</v>
      </c>
      <c r="CM2" s="11" t="inlineStr">
        <is>
          <t>Date:</t>
        </is>
      </c>
      <c r="CN2" s="281" t="n">
        <v>45967</v>
      </c>
      <c r="CP2" s="49" t="n"/>
      <c r="CQ2" s="281" t="n"/>
      <c r="CR2" s="11" t="inlineStr">
        <is>
          <t>Hcap I:</t>
        </is>
      </c>
      <c r="CS2" s="52" t="n">
        <v>36.6</v>
      </c>
      <c r="CT2" s="50" t="inlineStr">
        <is>
          <t>Points:</t>
        </is>
      </c>
      <c r="CU2" s="27" t="n">
        <v>6</v>
      </c>
      <c r="CV2" s="27" t="n">
        <v>5</v>
      </c>
      <c r="CW2" s="27" t="n">
        <v>4</v>
      </c>
      <c r="CX2" s="51" t="n">
        <v>3</v>
      </c>
      <c r="CY2" s="27" t="n">
        <v>2</v>
      </c>
      <c r="CZ2" s="28" t="n">
        <v>1</v>
      </c>
      <c r="DB2" s="11" t="inlineStr">
        <is>
          <t>Date:</t>
        </is>
      </c>
      <c r="DC2" s="281" t="n"/>
      <c r="DE2" s="49" t="n"/>
      <c r="DF2" s="281" t="n"/>
      <c r="DG2" s="11" t="inlineStr">
        <is>
          <t>Hcap I:</t>
        </is>
      </c>
      <c r="DH2" s="52" t="n">
        <v>36.6</v>
      </c>
      <c r="DI2" s="50" t="inlineStr">
        <is>
          <t>Points:</t>
        </is>
      </c>
      <c r="DJ2" s="27" t="n">
        <v>6</v>
      </c>
      <c r="DK2" s="27" t="n">
        <v>5</v>
      </c>
      <c r="DL2" s="27" t="n">
        <v>4</v>
      </c>
      <c r="DM2" s="51" t="n">
        <v>3</v>
      </c>
      <c r="DN2" s="27" t="n">
        <v>2</v>
      </c>
      <c r="DO2" s="28" t="n">
        <v>1</v>
      </c>
    </row>
    <row r="3">
      <c r="A3" s="11" t="inlineStr">
        <is>
          <t>Club:</t>
        </is>
      </c>
      <c r="B3" t="inlineStr">
        <is>
          <t>SGU Par3</t>
        </is>
      </c>
      <c r="D3" s="44" t="n"/>
      <c r="E3" t="inlineStr">
        <is>
          <t>CR: 47,5, Par 27, SR: 54</t>
        </is>
      </c>
      <c r="L3" s="285" t="n"/>
      <c r="P3" s="11" t="inlineStr">
        <is>
          <t>Club:</t>
        </is>
      </c>
      <c r="Q3" t="inlineStr">
        <is>
          <t>SGU Par3</t>
        </is>
      </c>
      <c r="S3" s="44" t="n"/>
      <c r="T3" t="inlineStr">
        <is>
          <t>CR: 47,5, Par 27, SR: 54</t>
        </is>
      </c>
      <c r="AA3" s="285" t="n"/>
      <c r="AE3" s="11" t="inlineStr">
        <is>
          <t>Club:</t>
        </is>
      </c>
      <c r="AF3" t="inlineStr">
        <is>
          <t>SGU Par3</t>
        </is>
      </c>
      <c r="AH3" s="44" t="n"/>
      <c r="AI3" t="inlineStr">
        <is>
          <t>CR: 47,5, Par 27, SR: 54</t>
        </is>
      </c>
      <c r="AP3" s="285" t="n"/>
      <c r="AT3" s="11" t="inlineStr">
        <is>
          <t>Club:</t>
        </is>
      </c>
      <c r="AU3" t="inlineStr">
        <is>
          <t>SGU Par3</t>
        </is>
      </c>
      <c r="AW3" s="44" t="n"/>
      <c r="AX3" t="inlineStr">
        <is>
          <t>CR: 47,5, Par 27, SR: 54</t>
        </is>
      </c>
      <c r="BE3" s="285" t="n"/>
      <c r="BI3" s="11" t="inlineStr">
        <is>
          <t>Club:</t>
        </is>
      </c>
      <c r="BJ3" s="53" t="inlineStr">
        <is>
          <t>Ameliesweerd Par3</t>
        </is>
      </c>
      <c r="BK3" s="53" t="n"/>
      <c r="BL3" s="44" t="n"/>
      <c r="BM3" t="inlineStr">
        <is>
          <t>CR: 23,4 Par 27, SR: 60</t>
        </is>
      </c>
      <c r="BT3" s="285" t="n"/>
      <c r="BX3" s="11" t="inlineStr">
        <is>
          <t>Club:</t>
        </is>
      </c>
      <c r="BY3" t="inlineStr">
        <is>
          <t>SGU Par3/4</t>
        </is>
      </c>
      <c r="CA3" s="44" t="n"/>
      <c r="CB3" t="inlineStr">
        <is>
          <t>CR: 28.3, Par 29, SR: 89</t>
        </is>
      </c>
      <c r="CI3" s="285" t="n"/>
      <c r="CM3" s="11" t="inlineStr">
        <is>
          <t>Club:</t>
        </is>
      </c>
      <c r="CN3" t="inlineStr">
        <is>
          <t>Amkreek Back 9H</t>
        </is>
      </c>
      <c r="CP3" s="44" t="n"/>
      <c r="CQ3" t="inlineStr">
        <is>
          <t>CR: 35.6, Par 36, SR: 127</t>
        </is>
      </c>
      <c r="CX3" s="285" t="n"/>
      <c r="DB3" s="11" t="inlineStr">
        <is>
          <t>Club:</t>
        </is>
      </c>
      <c r="DC3" t="inlineStr">
        <is>
          <t>Westparl</t>
        </is>
      </c>
      <c r="DE3" s="44" t="n"/>
      <c r="DF3" t="inlineStr">
        <is>
          <t>CR: 35.6, Par 36, SR: 127</t>
        </is>
      </c>
      <c r="DM3" s="285" t="n"/>
    </row>
    <row r="4" ht="15" customHeight="1" thickBot="1">
      <c r="A4" s="11" t="inlineStr">
        <is>
          <t>Par</t>
        </is>
      </c>
      <c r="B4" t="n">
        <v>27</v>
      </c>
      <c r="D4" s="44" t="n"/>
      <c r="L4" s="285" t="n"/>
      <c r="P4" s="11" t="inlineStr">
        <is>
          <t>Par</t>
        </is>
      </c>
      <c r="Q4" t="n">
        <v>27</v>
      </c>
      <c r="S4" s="44" t="n"/>
      <c r="AA4" s="285" t="n"/>
      <c r="AE4" s="11" t="inlineStr">
        <is>
          <t>Par</t>
        </is>
      </c>
      <c r="AF4" t="n">
        <v>27</v>
      </c>
      <c r="AH4" s="44" t="n"/>
      <c r="AP4" s="285" t="n"/>
      <c r="AT4" s="11" t="inlineStr">
        <is>
          <t>Par</t>
        </is>
      </c>
      <c r="AU4" t="n">
        <v>27</v>
      </c>
      <c r="AW4" s="44" t="n"/>
      <c r="BE4" s="285" t="n"/>
      <c r="BI4" s="11" t="inlineStr">
        <is>
          <t>Par</t>
        </is>
      </c>
      <c r="BJ4" t="n">
        <v>27</v>
      </c>
      <c r="BL4" s="44" t="n"/>
      <c r="BT4" s="285" t="n"/>
      <c r="BX4" s="11" t="inlineStr">
        <is>
          <t>Par</t>
        </is>
      </c>
      <c r="BY4" t="n">
        <v>27</v>
      </c>
      <c r="CA4" s="44" t="n"/>
      <c r="CI4" s="285" t="n"/>
      <c r="CM4" s="11" t="inlineStr">
        <is>
          <t>Par</t>
        </is>
      </c>
      <c r="CN4" t="n">
        <v>36</v>
      </c>
      <c r="CP4" s="44" t="n"/>
      <c r="CX4" s="285" t="n"/>
      <c r="DB4" s="11" t="inlineStr">
        <is>
          <t>Par</t>
        </is>
      </c>
      <c r="DC4" t="n">
        <v>36</v>
      </c>
      <c r="DE4" s="44" t="n"/>
      <c r="DM4" s="285" t="n"/>
    </row>
    <row r="5" ht="15" customHeight="1" thickBot="1">
      <c r="A5" s="11" t="inlineStr">
        <is>
          <t>Hole:</t>
        </is>
      </c>
      <c r="B5" s="54" t="inlineStr">
        <is>
          <t>Par</t>
        </is>
      </c>
      <c r="C5" s="54" t="inlineStr">
        <is>
          <t>Dist.</t>
        </is>
      </c>
      <c r="D5" s="55" t="inlineStr">
        <is>
          <t>SI</t>
        </is>
      </c>
      <c r="E5" s="54" t="n"/>
      <c r="F5" s="56" t="inlineStr">
        <is>
          <t>T. Strokes</t>
        </is>
      </c>
      <c r="G5" s="57" t="inlineStr">
        <is>
          <t>Tee off</t>
        </is>
      </c>
      <c r="H5" s="58" t="inlineStr">
        <is>
          <t>FW</t>
        </is>
      </c>
      <c r="I5" s="58" t="inlineStr">
        <is>
          <t>Bunker</t>
        </is>
      </c>
      <c r="J5" s="58" t="inlineStr">
        <is>
          <t>Chip/Pitc</t>
        </is>
      </c>
      <c r="K5" s="59" t="inlineStr">
        <is>
          <t>Putt</t>
        </is>
      </c>
      <c r="L5" s="60" t="inlineStr">
        <is>
          <t>Net Par</t>
        </is>
      </c>
      <c r="M5" s="61" t="inlineStr">
        <is>
          <t>StrokDif</t>
        </is>
      </c>
      <c r="N5" s="61" t="inlineStr">
        <is>
          <t>Points:</t>
        </is>
      </c>
      <c r="P5" s="11" t="inlineStr">
        <is>
          <t>Hole:</t>
        </is>
      </c>
      <c r="Q5" s="54" t="inlineStr">
        <is>
          <t>Par</t>
        </is>
      </c>
      <c r="R5" s="54" t="inlineStr">
        <is>
          <t>Dist.</t>
        </is>
      </c>
      <c r="S5" s="55" t="inlineStr">
        <is>
          <t>SI</t>
        </is>
      </c>
      <c r="T5" s="54" t="n"/>
      <c r="U5" s="56" t="inlineStr">
        <is>
          <t>T. Strokes</t>
        </is>
      </c>
      <c r="V5" s="57" t="inlineStr">
        <is>
          <t>Tee off</t>
        </is>
      </c>
      <c r="W5" s="58" t="inlineStr">
        <is>
          <t>FW</t>
        </is>
      </c>
      <c r="X5" s="58" t="inlineStr">
        <is>
          <t>Bunker</t>
        </is>
      </c>
      <c r="Y5" s="58" t="inlineStr">
        <is>
          <t>Chip/Pitc</t>
        </is>
      </c>
      <c r="Z5" s="59" t="inlineStr">
        <is>
          <t>Putt</t>
        </is>
      </c>
      <c r="AA5" s="60" t="inlineStr">
        <is>
          <t>Net Par</t>
        </is>
      </c>
      <c r="AB5" s="61" t="inlineStr">
        <is>
          <t>StrokDif</t>
        </is>
      </c>
      <c r="AC5" s="61" t="inlineStr">
        <is>
          <t>Points:</t>
        </is>
      </c>
      <c r="AE5" s="11" t="inlineStr">
        <is>
          <t>Hole:</t>
        </is>
      </c>
      <c r="AF5" s="54" t="inlineStr">
        <is>
          <t>Par</t>
        </is>
      </c>
      <c r="AG5" s="54" t="inlineStr">
        <is>
          <t>Dist.</t>
        </is>
      </c>
      <c r="AH5" s="55" t="inlineStr">
        <is>
          <t>SI</t>
        </is>
      </c>
      <c r="AI5" s="54" t="n"/>
      <c r="AJ5" s="56" t="inlineStr">
        <is>
          <t>T. Strokes</t>
        </is>
      </c>
      <c r="AK5" s="57" t="inlineStr">
        <is>
          <t>Tee off</t>
        </is>
      </c>
      <c r="AL5" s="58" t="inlineStr">
        <is>
          <t>FW</t>
        </is>
      </c>
      <c r="AM5" s="58" t="inlineStr">
        <is>
          <t>Bunker</t>
        </is>
      </c>
      <c r="AN5" s="58" t="inlineStr">
        <is>
          <t>Chip/Pitc</t>
        </is>
      </c>
      <c r="AO5" s="59" t="inlineStr">
        <is>
          <t>Putt</t>
        </is>
      </c>
      <c r="AP5" s="60" t="inlineStr">
        <is>
          <t>Net Par</t>
        </is>
      </c>
      <c r="AQ5" s="61" t="inlineStr">
        <is>
          <t>StrokDif</t>
        </is>
      </c>
      <c r="AR5" s="61" t="inlineStr">
        <is>
          <t>Points:</t>
        </is>
      </c>
      <c r="AT5" s="11" t="inlineStr">
        <is>
          <t>Hole:</t>
        </is>
      </c>
      <c r="AU5" s="54" t="inlineStr">
        <is>
          <t>Par</t>
        </is>
      </c>
      <c r="AV5" s="54" t="inlineStr">
        <is>
          <t>Dist.</t>
        </is>
      </c>
      <c r="AW5" s="55" t="inlineStr">
        <is>
          <t>SI</t>
        </is>
      </c>
      <c r="AX5" s="54" t="n"/>
      <c r="AY5" s="56" t="inlineStr">
        <is>
          <t>T. Strokes</t>
        </is>
      </c>
      <c r="AZ5" s="57" t="inlineStr">
        <is>
          <t>Tee off</t>
        </is>
      </c>
      <c r="BA5" s="58" t="inlineStr">
        <is>
          <t>FW</t>
        </is>
      </c>
      <c r="BB5" s="58" t="inlineStr">
        <is>
          <t>Bunker</t>
        </is>
      </c>
      <c r="BC5" s="58" t="inlineStr">
        <is>
          <t>Chip/Pitc</t>
        </is>
      </c>
      <c r="BD5" s="59" t="inlineStr">
        <is>
          <t>Putt</t>
        </is>
      </c>
      <c r="BE5" s="60" t="inlineStr">
        <is>
          <t>Net Par</t>
        </is>
      </c>
      <c r="BF5" s="61" t="inlineStr">
        <is>
          <t>StrokDif</t>
        </is>
      </c>
      <c r="BG5" s="61" t="inlineStr">
        <is>
          <t>Points:</t>
        </is>
      </c>
      <c r="BI5" s="11" t="inlineStr">
        <is>
          <t>Hole:</t>
        </is>
      </c>
      <c r="BJ5" s="54" t="inlineStr">
        <is>
          <t>Par</t>
        </is>
      </c>
      <c r="BK5" s="54" t="inlineStr">
        <is>
          <t>Dist.</t>
        </is>
      </c>
      <c r="BL5" s="55" t="inlineStr">
        <is>
          <t>SI</t>
        </is>
      </c>
      <c r="BM5" s="54" t="n"/>
      <c r="BN5" s="56" t="inlineStr">
        <is>
          <t>T. Strokes</t>
        </is>
      </c>
      <c r="BO5" s="57" t="inlineStr">
        <is>
          <t>Tee off</t>
        </is>
      </c>
      <c r="BP5" s="58" t="inlineStr">
        <is>
          <t>FW</t>
        </is>
      </c>
      <c r="BQ5" s="58" t="inlineStr">
        <is>
          <t>Bunker</t>
        </is>
      </c>
      <c r="BR5" s="58" t="inlineStr">
        <is>
          <t>Chip/Pitc</t>
        </is>
      </c>
      <c r="BS5" s="59" t="inlineStr">
        <is>
          <t>Putt</t>
        </is>
      </c>
      <c r="BT5" s="60" t="inlineStr">
        <is>
          <t>Net Par</t>
        </is>
      </c>
      <c r="BU5" s="61" t="inlineStr">
        <is>
          <t>StrokDif</t>
        </is>
      </c>
      <c r="BV5" s="61" t="inlineStr">
        <is>
          <t>Points:</t>
        </is>
      </c>
      <c r="BX5" s="11" t="inlineStr">
        <is>
          <t>Hole:</t>
        </is>
      </c>
      <c r="BY5" s="54" t="inlineStr">
        <is>
          <t>Par</t>
        </is>
      </c>
      <c r="BZ5" s="54" t="inlineStr">
        <is>
          <t>Dist.</t>
        </is>
      </c>
      <c r="CA5" s="55" t="inlineStr">
        <is>
          <t>SI</t>
        </is>
      </c>
      <c r="CB5" s="54" t="n"/>
      <c r="CC5" s="56" t="inlineStr">
        <is>
          <t>T. Strokes</t>
        </is>
      </c>
      <c r="CD5" s="57" t="inlineStr">
        <is>
          <t>Tee off</t>
        </is>
      </c>
      <c r="CE5" s="58" t="inlineStr">
        <is>
          <t>FW</t>
        </is>
      </c>
      <c r="CF5" s="58" t="inlineStr">
        <is>
          <t>Bunker</t>
        </is>
      </c>
      <c r="CG5" s="58" t="inlineStr">
        <is>
          <t>Chip/Pitc</t>
        </is>
      </c>
      <c r="CH5" s="59" t="inlineStr">
        <is>
          <t>Putt</t>
        </is>
      </c>
      <c r="CI5" s="60" t="inlineStr">
        <is>
          <t>Net Par</t>
        </is>
      </c>
      <c r="CJ5" s="61" t="inlineStr">
        <is>
          <t>StrokDif</t>
        </is>
      </c>
      <c r="CK5" s="61" t="inlineStr">
        <is>
          <t>Points:</t>
        </is>
      </c>
      <c r="CM5" s="11" t="inlineStr">
        <is>
          <t>Hole:</t>
        </is>
      </c>
      <c r="CN5" s="54" t="inlineStr">
        <is>
          <t>Par</t>
        </is>
      </c>
      <c r="CO5" s="54" t="inlineStr">
        <is>
          <t>Dist.</t>
        </is>
      </c>
      <c r="CP5" s="55" t="inlineStr">
        <is>
          <t>SI</t>
        </is>
      </c>
      <c r="CQ5" s="54" t="n"/>
      <c r="CR5" s="56" t="inlineStr">
        <is>
          <t>T. Strokes</t>
        </is>
      </c>
      <c r="CS5" s="57" t="inlineStr">
        <is>
          <t>Tee off</t>
        </is>
      </c>
      <c r="CT5" s="58" t="inlineStr">
        <is>
          <t>FW</t>
        </is>
      </c>
      <c r="CU5" s="58" t="inlineStr">
        <is>
          <t>Bunker</t>
        </is>
      </c>
      <c r="CV5" s="58" t="inlineStr">
        <is>
          <t>Chip/Pitc</t>
        </is>
      </c>
      <c r="CW5" s="59" t="inlineStr">
        <is>
          <t>Putt</t>
        </is>
      </c>
      <c r="CX5" s="60" t="inlineStr">
        <is>
          <t>Net Par</t>
        </is>
      </c>
      <c r="CY5" s="61" t="inlineStr">
        <is>
          <t>StrokDif</t>
        </is>
      </c>
      <c r="CZ5" s="61" t="inlineStr">
        <is>
          <t>Points:</t>
        </is>
      </c>
      <c r="DB5" s="11" t="inlineStr">
        <is>
          <t>Hole:</t>
        </is>
      </c>
      <c r="DC5" s="54" t="inlineStr">
        <is>
          <t>Par</t>
        </is>
      </c>
      <c r="DD5" s="54" t="inlineStr">
        <is>
          <t>Dist.</t>
        </is>
      </c>
      <c r="DE5" s="55" t="inlineStr">
        <is>
          <t>SI</t>
        </is>
      </c>
      <c r="DF5" s="54" t="n"/>
      <c r="DG5" s="56" t="inlineStr">
        <is>
          <t>T. Strokes</t>
        </is>
      </c>
      <c r="DH5" s="57" t="inlineStr">
        <is>
          <t>Tee off</t>
        </is>
      </c>
      <c r="DI5" s="58" t="inlineStr">
        <is>
          <t>FW</t>
        </is>
      </c>
      <c r="DJ5" s="58" t="inlineStr">
        <is>
          <t>Bunker</t>
        </is>
      </c>
      <c r="DK5" s="58" t="inlineStr">
        <is>
          <t>Chip/Pitc</t>
        </is>
      </c>
      <c r="DL5" s="59" t="inlineStr">
        <is>
          <t>Putt</t>
        </is>
      </c>
      <c r="DM5" s="60" t="inlineStr">
        <is>
          <t>Net Par</t>
        </is>
      </c>
      <c r="DN5" s="61" t="inlineStr">
        <is>
          <t>StrokDif</t>
        </is>
      </c>
      <c r="DO5" s="61" t="inlineStr">
        <is>
          <t>Points:</t>
        </is>
      </c>
    </row>
    <row r="6" ht="15" customHeight="1" thickBot="1">
      <c r="A6" s="62" t="inlineStr">
        <is>
          <t>P1</t>
        </is>
      </c>
      <c r="B6" s="45" t="n">
        <v>3</v>
      </c>
      <c r="C6" s="63" t="n">
        <v>58</v>
      </c>
      <c r="D6" s="64" t="n">
        <v>8</v>
      </c>
      <c r="E6" s="45" t="n">
        <v>0</v>
      </c>
      <c r="F6" s="65" t="n">
        <v>3</v>
      </c>
      <c r="G6" s="66" t="n"/>
      <c r="H6" s="67" t="n"/>
      <c r="I6" s="67" t="n"/>
      <c r="J6" s="67" t="n"/>
      <c r="K6" s="68" t="n"/>
      <c r="L6" s="69">
        <f>B6+E6</f>
        <v/>
      </c>
      <c r="M6" s="62">
        <f>F6-L6</f>
        <v/>
      </c>
      <c r="N6" s="62" t="n">
        <v>2</v>
      </c>
      <c r="P6" s="62" t="inlineStr">
        <is>
          <t>P1</t>
        </is>
      </c>
      <c r="Q6" s="45" t="n">
        <v>3</v>
      </c>
      <c r="R6" s="63" t="n">
        <v>58</v>
      </c>
      <c r="S6" s="64" t="n">
        <v>8</v>
      </c>
      <c r="T6" s="45" t="n">
        <v>0</v>
      </c>
      <c r="U6" s="65" t="n">
        <v>4</v>
      </c>
      <c r="V6" s="66" t="n"/>
      <c r="W6" s="67" t="n"/>
      <c r="X6" s="67" t="n"/>
      <c r="Y6" s="67" t="n"/>
      <c r="Z6" s="68" t="n"/>
      <c r="AA6" s="69">
        <f>Q6+T6</f>
        <v/>
      </c>
      <c r="AB6" s="62">
        <f>U6-AA6</f>
        <v/>
      </c>
      <c r="AC6" s="62" t="n">
        <v>1</v>
      </c>
      <c r="AE6" s="62" t="inlineStr">
        <is>
          <t>P1</t>
        </is>
      </c>
      <c r="AF6" s="45" t="n">
        <v>3</v>
      </c>
      <c r="AG6" s="63" t="n">
        <v>58</v>
      </c>
      <c r="AH6" s="64" t="n">
        <v>8</v>
      </c>
      <c r="AI6" s="45" t="n">
        <v>0</v>
      </c>
      <c r="AJ6" s="65" t="n">
        <v>3</v>
      </c>
      <c r="AK6" s="66" t="n"/>
      <c r="AL6" s="67" t="n"/>
      <c r="AM6" s="67" t="n"/>
      <c r="AN6" s="67" t="n"/>
      <c r="AO6" s="68" t="n"/>
      <c r="AP6" s="69">
        <f>AF6+AI6</f>
        <v/>
      </c>
      <c r="AQ6" s="62">
        <f>AJ6-AP6</f>
        <v/>
      </c>
      <c r="AR6" s="62" t="n">
        <v>2</v>
      </c>
      <c r="AT6" s="62" t="inlineStr">
        <is>
          <t>P1</t>
        </is>
      </c>
      <c r="AU6" s="45" t="n">
        <v>3</v>
      </c>
      <c r="AV6" s="63" t="n">
        <v>58</v>
      </c>
      <c r="AW6" s="64" t="n">
        <v>8</v>
      </c>
      <c r="AX6" s="45" t="n">
        <v>0</v>
      </c>
      <c r="AY6" s="65" t="n">
        <v>4</v>
      </c>
      <c r="AZ6" s="66" t="n"/>
      <c r="BA6" s="67" t="n"/>
      <c r="BB6" s="67" t="n"/>
      <c r="BC6" s="67" t="n"/>
      <c r="BD6" s="68" t="n"/>
      <c r="BE6" s="69">
        <f>AU6+AX6</f>
        <v/>
      </c>
      <c r="BF6" s="62">
        <f>AY6-BE6</f>
        <v/>
      </c>
      <c r="BG6" s="62" t="n">
        <v>1</v>
      </c>
      <c r="BI6" s="62" t="inlineStr">
        <is>
          <t>P1</t>
        </is>
      </c>
      <c r="BJ6" s="70" t="n">
        <v>3</v>
      </c>
      <c r="BK6" s="62" t="n">
        <v>87</v>
      </c>
      <c r="BL6" s="64" t="n">
        <v>5</v>
      </c>
      <c r="BM6" s="45" t="n">
        <v>1</v>
      </c>
      <c r="BN6" s="65" t="n">
        <v>4</v>
      </c>
      <c r="BO6" s="66" t="n"/>
      <c r="BP6" s="67" t="n"/>
      <c r="BQ6" s="67" t="n"/>
      <c r="BR6" s="67" t="n"/>
      <c r="BS6" s="68" t="n"/>
      <c r="BT6" s="69">
        <f>BJ6+BM6</f>
        <v/>
      </c>
      <c r="BU6" s="62">
        <f>BN6-BT6</f>
        <v/>
      </c>
      <c r="BV6" s="62" t="n">
        <v>2</v>
      </c>
      <c r="BX6" s="62" t="inlineStr">
        <is>
          <t>P1</t>
        </is>
      </c>
      <c r="BY6" s="45" t="n">
        <v>4</v>
      </c>
      <c r="BZ6" s="63" t="n">
        <v>232</v>
      </c>
      <c r="CA6" s="71" t="n">
        <v>5</v>
      </c>
      <c r="CB6" s="45" t="n">
        <v>1</v>
      </c>
      <c r="CC6" s="65" t="n">
        <v>5</v>
      </c>
      <c r="CD6" s="72" t="inlineStr">
        <is>
          <t>9/7</t>
        </is>
      </c>
      <c r="CE6" s="67" t="n">
        <v>2</v>
      </c>
      <c r="CF6" s="67" t="n"/>
      <c r="CG6" s="67" t="n">
        <v>1</v>
      </c>
      <c r="CH6" s="68" t="n">
        <v>1</v>
      </c>
      <c r="CI6" s="69">
        <f>BY6+CB6</f>
        <v/>
      </c>
      <c r="CJ6" s="62">
        <f>CC6-CI6</f>
        <v/>
      </c>
      <c r="CK6" s="62" t="n">
        <v>2</v>
      </c>
      <c r="CM6" s="62" t="inlineStr">
        <is>
          <t>P1</t>
        </is>
      </c>
      <c r="CN6" s="45" t="n">
        <v>4</v>
      </c>
      <c r="CO6" s="63" t="n">
        <v>259</v>
      </c>
      <c r="CP6" s="71" t="n">
        <v>16</v>
      </c>
      <c r="CQ6" s="45" t="n">
        <v>2</v>
      </c>
      <c r="CR6" s="65" t="n">
        <v>9</v>
      </c>
      <c r="CS6" s="72" t="inlineStr">
        <is>
          <t>H7/h7/h7</t>
        </is>
      </c>
      <c r="CT6" s="67" t="inlineStr">
        <is>
          <t>100i</t>
        </is>
      </c>
      <c r="CU6" s="67" t="n"/>
      <c r="CV6" s="67" t="inlineStr">
        <is>
          <t>p p Sw</t>
        </is>
      </c>
      <c r="CW6" s="68" t="n">
        <v>2</v>
      </c>
      <c r="CX6" s="69">
        <f>CN6+CQ6</f>
        <v/>
      </c>
      <c r="CY6" s="62">
        <f>CR6-CX6</f>
        <v/>
      </c>
      <c r="CZ6" s="62" t="n">
        <v>0</v>
      </c>
      <c r="DB6" s="62" t="inlineStr">
        <is>
          <t>P1</t>
        </is>
      </c>
      <c r="DC6" s="45" t="n">
        <v>4</v>
      </c>
      <c r="DD6" s="63" t="n">
        <v>259</v>
      </c>
      <c r="DE6" s="71" t="n">
        <v>16</v>
      </c>
      <c r="DF6" s="45" t="n">
        <v>2</v>
      </c>
      <c r="DG6" s="65" t="n">
        <v>9</v>
      </c>
      <c r="DH6" s="72" t="inlineStr">
        <is>
          <t>H7/h7/h7</t>
        </is>
      </c>
      <c r="DI6" s="67" t="inlineStr">
        <is>
          <t>100i</t>
        </is>
      </c>
      <c r="DJ6" s="67" t="n"/>
      <c r="DK6" s="67" t="inlineStr">
        <is>
          <t>p p Sw</t>
        </is>
      </c>
      <c r="DL6" s="68" t="n">
        <v>2</v>
      </c>
      <c r="DM6" s="69">
        <f>DC6+DF6</f>
        <v/>
      </c>
      <c r="DN6" s="62">
        <f>DG6-DM6</f>
        <v/>
      </c>
      <c r="DO6" s="62" t="n">
        <v>0</v>
      </c>
    </row>
    <row r="7" ht="15" customHeight="1" thickBot="1">
      <c r="A7" s="73" t="inlineStr">
        <is>
          <t>P2</t>
        </is>
      </c>
      <c r="B7" s="74" t="n">
        <v>3</v>
      </c>
      <c r="C7" s="75" t="n">
        <v>56</v>
      </c>
      <c r="D7" s="64" t="n">
        <v>6</v>
      </c>
      <c r="E7" s="74" t="n">
        <v>0</v>
      </c>
      <c r="F7" s="76" t="n">
        <v>3</v>
      </c>
      <c r="G7" s="77" t="n"/>
      <c r="H7" s="262" t="n"/>
      <c r="I7" s="262" t="n"/>
      <c r="J7" s="262" t="n"/>
      <c r="K7" s="78" t="n"/>
      <c r="L7" s="69">
        <f>B7+E7</f>
        <v/>
      </c>
      <c r="M7" s="62">
        <f>F7-L7</f>
        <v/>
      </c>
      <c r="N7" s="73" t="n">
        <v>2</v>
      </c>
      <c r="P7" s="73" t="inlineStr">
        <is>
          <t>P2</t>
        </is>
      </c>
      <c r="Q7" s="74" t="n">
        <v>3</v>
      </c>
      <c r="R7" s="75" t="n">
        <v>56</v>
      </c>
      <c r="S7" s="64" t="n">
        <v>6</v>
      </c>
      <c r="T7" s="74" t="n">
        <v>0</v>
      </c>
      <c r="U7" s="76" t="n">
        <v>3</v>
      </c>
      <c r="V7" s="77" t="n"/>
      <c r="W7" s="262" t="n"/>
      <c r="X7" s="262" t="n"/>
      <c r="Y7" s="262" t="n"/>
      <c r="Z7" s="78" t="n"/>
      <c r="AA7" s="69">
        <f>Q7+T7</f>
        <v/>
      </c>
      <c r="AB7" s="62">
        <f>U7-AA7</f>
        <v/>
      </c>
      <c r="AC7" s="73" t="n">
        <v>2</v>
      </c>
      <c r="AE7" s="73" t="inlineStr">
        <is>
          <t>P2</t>
        </is>
      </c>
      <c r="AF7" s="74" t="n">
        <v>3</v>
      </c>
      <c r="AG7" s="75" t="n">
        <v>56</v>
      </c>
      <c r="AH7" s="64" t="n">
        <v>6</v>
      </c>
      <c r="AI7" s="74" t="n">
        <v>0</v>
      </c>
      <c r="AJ7" s="76" t="n">
        <v>4</v>
      </c>
      <c r="AK7" s="77" t="n"/>
      <c r="AL7" s="262" t="n"/>
      <c r="AM7" s="262" t="n"/>
      <c r="AN7" s="262" t="n"/>
      <c r="AO7" s="78" t="n"/>
      <c r="AP7" s="69">
        <f>AF7+AI7</f>
        <v/>
      </c>
      <c r="AQ7" s="62">
        <f>AJ7-AP7</f>
        <v/>
      </c>
      <c r="AR7" s="73" t="n">
        <v>1</v>
      </c>
      <c r="AT7" s="73" t="inlineStr">
        <is>
          <t>P2</t>
        </is>
      </c>
      <c r="AU7" s="74" t="n">
        <v>3</v>
      </c>
      <c r="AV7" s="75" t="n">
        <v>56</v>
      </c>
      <c r="AW7" s="64" t="n">
        <v>6</v>
      </c>
      <c r="AX7" s="74" t="n">
        <v>0</v>
      </c>
      <c r="AY7" s="76" t="n">
        <v>3</v>
      </c>
      <c r="AZ7" s="77" t="n"/>
      <c r="BA7" s="262" t="n"/>
      <c r="BB7" s="262" t="n"/>
      <c r="BC7" s="262" t="n"/>
      <c r="BD7" s="78" t="n"/>
      <c r="BE7" s="69">
        <f>AU7+AX7</f>
        <v/>
      </c>
      <c r="BF7" s="62">
        <f>AY7-BE7</f>
        <v/>
      </c>
      <c r="BG7" s="73" t="n">
        <v>2</v>
      </c>
      <c r="BI7" s="73" t="inlineStr">
        <is>
          <t>P2</t>
        </is>
      </c>
      <c r="BJ7" s="79" t="n">
        <v>3</v>
      </c>
      <c r="BK7" s="73" t="n">
        <v>83</v>
      </c>
      <c r="BL7" s="64" t="n">
        <v>7</v>
      </c>
      <c r="BM7" s="74" t="n">
        <v>1</v>
      </c>
      <c r="BN7" s="76" t="n">
        <v>4</v>
      </c>
      <c r="BO7" s="77" t="n"/>
      <c r="BP7" s="262" t="n"/>
      <c r="BQ7" s="262" t="n"/>
      <c r="BR7" s="262" t="n"/>
      <c r="BS7" s="78" t="n"/>
      <c r="BT7" s="69">
        <f>BJ7+BM7</f>
        <v/>
      </c>
      <c r="BU7" s="62">
        <f>BN7-BT7</f>
        <v/>
      </c>
      <c r="BV7" s="73" t="n">
        <v>2</v>
      </c>
      <c r="BX7" s="73" t="inlineStr">
        <is>
          <t>P2</t>
        </is>
      </c>
      <c r="BY7" s="74" t="n">
        <v>3</v>
      </c>
      <c r="BZ7" s="75" t="n">
        <v>97</v>
      </c>
      <c r="CA7" s="71" t="n">
        <v>7</v>
      </c>
      <c r="CB7" s="74" t="n">
        <v>1</v>
      </c>
      <c r="CC7" s="76" t="n">
        <v>4</v>
      </c>
      <c r="CD7" s="77" t="inlineStr">
        <is>
          <t>7i</t>
        </is>
      </c>
      <c r="CE7" s="262" t="n"/>
      <c r="CF7" s="262" t="n"/>
      <c r="CG7" s="262" t="n">
        <v>2</v>
      </c>
      <c r="CH7" s="78" t="n">
        <v>1</v>
      </c>
      <c r="CI7" s="69">
        <f>BY7+CB7</f>
        <v/>
      </c>
      <c r="CJ7" s="62">
        <f>CC7-CI7</f>
        <v/>
      </c>
      <c r="CK7" s="73" t="n">
        <v>2</v>
      </c>
      <c r="CM7" s="73" t="inlineStr">
        <is>
          <t>P2</t>
        </is>
      </c>
      <c r="CN7" s="74" t="n">
        <v>5</v>
      </c>
      <c r="CO7" s="75" t="n">
        <v>419</v>
      </c>
      <c r="CP7" s="71" t="n">
        <v>2</v>
      </c>
      <c r="CQ7" s="74" t="n">
        <v>2</v>
      </c>
      <c r="CR7" s="76" t="n">
        <v>8</v>
      </c>
      <c r="CS7" s="77" t="inlineStr">
        <is>
          <t xml:space="preserve">H7 </t>
        </is>
      </c>
      <c r="CT7" s="262" t="inlineStr">
        <is>
          <t>H7, 5i, 5i</t>
        </is>
      </c>
      <c r="CU7" s="262" t="n"/>
      <c r="CV7" s="262" t="inlineStr">
        <is>
          <t>7i</t>
        </is>
      </c>
      <c r="CW7" s="78" t="n">
        <v>1</v>
      </c>
      <c r="CX7" s="69">
        <f>CN7+CQ7</f>
        <v/>
      </c>
      <c r="CY7" s="62">
        <f>CR7-CX7</f>
        <v/>
      </c>
      <c r="CZ7" s="73" t="n">
        <v>1</v>
      </c>
      <c r="DB7" s="73" t="inlineStr">
        <is>
          <t>P2</t>
        </is>
      </c>
      <c r="DC7" s="74" t="n">
        <v>5</v>
      </c>
      <c r="DD7" s="75" t="n">
        <v>419</v>
      </c>
      <c r="DE7" s="71" t="n">
        <v>2</v>
      </c>
      <c r="DF7" s="74" t="n">
        <v>2</v>
      </c>
      <c r="DG7" s="76" t="n">
        <v>8</v>
      </c>
      <c r="DH7" s="77" t="inlineStr">
        <is>
          <t xml:space="preserve">H7 </t>
        </is>
      </c>
      <c r="DI7" s="262" t="inlineStr">
        <is>
          <t>H7, 5i, 5i</t>
        </is>
      </c>
      <c r="DJ7" s="262" t="n"/>
      <c r="DK7" s="262" t="inlineStr">
        <is>
          <t>7i</t>
        </is>
      </c>
      <c r="DL7" s="78" t="n">
        <v>1</v>
      </c>
      <c r="DM7" s="69">
        <f>DC7+DF7</f>
        <v/>
      </c>
      <c r="DN7" s="62">
        <f>DG7-DM7</f>
        <v/>
      </c>
      <c r="DO7" s="73" t="n">
        <v>1</v>
      </c>
    </row>
    <row r="8" ht="15" customHeight="1" thickBot="1">
      <c r="A8" s="73" t="inlineStr">
        <is>
          <t>P3</t>
        </is>
      </c>
      <c r="B8" s="74" t="n">
        <v>3</v>
      </c>
      <c r="C8" s="73" t="n">
        <v>56</v>
      </c>
      <c r="D8" s="71" t="n">
        <v>16</v>
      </c>
      <c r="E8" s="74" t="n">
        <v>0</v>
      </c>
      <c r="F8" s="76" t="n">
        <v>3</v>
      </c>
      <c r="G8" s="77" t="n"/>
      <c r="H8" s="262" t="n"/>
      <c r="I8" s="262" t="n"/>
      <c r="J8" s="262" t="n"/>
      <c r="K8" s="78" t="n"/>
      <c r="L8" s="69" t="n">
        <v>3</v>
      </c>
      <c r="M8" s="62">
        <f>F8-L8</f>
        <v/>
      </c>
      <c r="N8" s="73" t="n">
        <v>2</v>
      </c>
      <c r="P8" s="73" t="inlineStr">
        <is>
          <t>P3</t>
        </is>
      </c>
      <c r="Q8" s="74" t="n">
        <v>3</v>
      </c>
      <c r="R8" s="73" t="n">
        <v>56</v>
      </c>
      <c r="S8" s="71" t="n">
        <v>16</v>
      </c>
      <c r="T8" s="74" t="n">
        <v>0</v>
      </c>
      <c r="U8" s="76" t="n">
        <v>4</v>
      </c>
      <c r="V8" s="77" t="n"/>
      <c r="W8" s="262" t="n"/>
      <c r="X8" s="262" t="n"/>
      <c r="Y8" s="262" t="n"/>
      <c r="Z8" s="78" t="n"/>
      <c r="AA8" s="69" t="n">
        <v>3</v>
      </c>
      <c r="AB8" s="62">
        <f>U8-AA8</f>
        <v/>
      </c>
      <c r="AC8" s="73" t="n">
        <v>1</v>
      </c>
      <c r="AE8" s="73" t="inlineStr">
        <is>
          <t>P3</t>
        </is>
      </c>
      <c r="AF8" s="74" t="n">
        <v>3</v>
      </c>
      <c r="AG8" s="73" t="n">
        <v>56</v>
      </c>
      <c r="AH8" s="71" t="n">
        <v>16</v>
      </c>
      <c r="AI8" s="74" t="n">
        <v>0</v>
      </c>
      <c r="AJ8" s="76" t="n">
        <v>4</v>
      </c>
      <c r="AK8" s="77" t="n"/>
      <c r="AL8" s="262" t="n"/>
      <c r="AM8" s="262" t="n"/>
      <c r="AN8" s="262" t="n"/>
      <c r="AO8" s="78" t="n"/>
      <c r="AP8" s="69" t="n">
        <v>3</v>
      </c>
      <c r="AQ8" s="62">
        <f>AJ8-AP8</f>
        <v/>
      </c>
      <c r="AR8" s="73" t="n">
        <v>1</v>
      </c>
      <c r="AT8" s="73" t="inlineStr">
        <is>
          <t>P3</t>
        </is>
      </c>
      <c r="AU8" s="74" t="n">
        <v>3</v>
      </c>
      <c r="AV8" s="73" t="n">
        <v>56</v>
      </c>
      <c r="AW8" s="71" t="n">
        <v>16</v>
      </c>
      <c r="AX8" s="74" t="n">
        <v>0</v>
      </c>
      <c r="AY8" s="76" t="n">
        <v>4</v>
      </c>
      <c r="AZ8" s="77" t="n"/>
      <c r="BA8" s="262" t="n"/>
      <c r="BB8" s="262" t="n"/>
      <c r="BC8" s="262" t="n"/>
      <c r="BD8" s="78" t="n"/>
      <c r="BE8" s="69" t="n">
        <v>3</v>
      </c>
      <c r="BF8" s="62">
        <f>AY8-BE8</f>
        <v/>
      </c>
      <c r="BG8" s="73" t="n">
        <v>1</v>
      </c>
      <c r="BI8" s="73" t="inlineStr">
        <is>
          <t>P3</t>
        </is>
      </c>
      <c r="BJ8" s="79" t="n">
        <v>3</v>
      </c>
      <c r="BK8" s="73" t="n">
        <v>66</v>
      </c>
      <c r="BL8" s="71" t="n">
        <v>13</v>
      </c>
      <c r="BM8" s="74" t="n">
        <v>1</v>
      </c>
      <c r="BN8" s="76" t="n">
        <v>4</v>
      </c>
      <c r="BO8" s="77" t="n"/>
      <c r="BP8" s="262" t="n"/>
      <c r="BQ8" s="262" t="n"/>
      <c r="BR8" s="262" t="n"/>
      <c r="BS8" s="78" t="n"/>
      <c r="BT8" s="69" t="n">
        <v>3</v>
      </c>
      <c r="BU8" s="62">
        <f>BN8-BT8</f>
        <v/>
      </c>
      <c r="BV8" s="73" t="n">
        <v>3</v>
      </c>
      <c r="BX8" s="73" t="inlineStr">
        <is>
          <t>P3</t>
        </is>
      </c>
      <c r="BY8" s="74" t="n">
        <v>3</v>
      </c>
      <c r="BZ8" s="73" t="n">
        <v>58</v>
      </c>
      <c r="CA8" s="71" t="n">
        <v>15</v>
      </c>
      <c r="CB8" s="74" t="n">
        <v>1</v>
      </c>
      <c r="CC8" s="76" t="n">
        <v>4</v>
      </c>
      <c r="CD8" s="77" t="inlineStr">
        <is>
          <t>9i</t>
        </is>
      </c>
      <c r="CE8" s="262" t="n"/>
      <c r="CF8" s="262" t="n"/>
      <c r="CG8" s="262" t="n">
        <v>1</v>
      </c>
      <c r="CH8" s="78" t="n">
        <v>2</v>
      </c>
      <c r="CI8" s="69" t="n">
        <v>3</v>
      </c>
      <c r="CJ8" s="62">
        <f>CC8-CI8</f>
        <v/>
      </c>
      <c r="CK8" s="73" t="n">
        <v>1</v>
      </c>
      <c r="CM8" s="73" t="inlineStr">
        <is>
          <t>P3</t>
        </is>
      </c>
      <c r="CN8" s="74" t="n">
        <v>4</v>
      </c>
      <c r="CO8" s="73" t="n">
        <v>271</v>
      </c>
      <c r="CP8" s="71" t="n">
        <v>12</v>
      </c>
      <c r="CQ8" s="74" t="n">
        <v>2</v>
      </c>
      <c r="CR8" s="76" t="n">
        <v>4</v>
      </c>
      <c r="CS8" s="77" t="inlineStr">
        <is>
          <t>H7</t>
        </is>
      </c>
      <c r="CT8" s="262" t="inlineStr">
        <is>
          <t>5i</t>
        </is>
      </c>
      <c r="CU8" s="262" t="n"/>
      <c r="CV8" s="262" t="inlineStr">
        <is>
          <t xml:space="preserve">p p  </t>
        </is>
      </c>
      <c r="CW8" s="78" t="n">
        <v>2</v>
      </c>
      <c r="CX8" s="69" t="n">
        <v>3</v>
      </c>
      <c r="CY8" s="62">
        <f>CR8-CX8</f>
        <v/>
      </c>
      <c r="CZ8" s="73" t="n">
        <v>1</v>
      </c>
      <c r="DB8" s="73" t="inlineStr">
        <is>
          <t>P3</t>
        </is>
      </c>
      <c r="DC8" s="74" t="n">
        <v>4</v>
      </c>
      <c r="DD8" s="73" t="n">
        <v>271</v>
      </c>
      <c r="DE8" s="71" t="n">
        <v>12</v>
      </c>
      <c r="DF8" s="74" t="n">
        <v>2</v>
      </c>
      <c r="DG8" s="76" t="n">
        <v>4</v>
      </c>
      <c r="DH8" s="77" t="inlineStr">
        <is>
          <t>H7</t>
        </is>
      </c>
      <c r="DI8" s="262" t="inlineStr">
        <is>
          <t>5i</t>
        </is>
      </c>
      <c r="DJ8" s="262" t="n"/>
      <c r="DK8" s="262" t="inlineStr">
        <is>
          <t xml:space="preserve">p p  </t>
        </is>
      </c>
      <c r="DL8" s="78" t="n">
        <v>2</v>
      </c>
      <c r="DM8" s="69" t="n">
        <v>3</v>
      </c>
      <c r="DN8" s="62">
        <f>DG8-DM8</f>
        <v/>
      </c>
      <c r="DO8" s="73" t="n">
        <v>1</v>
      </c>
    </row>
    <row r="9" ht="15" customHeight="1" thickBot="1">
      <c r="A9" s="73" t="inlineStr">
        <is>
          <t>P4</t>
        </is>
      </c>
      <c r="B9" s="80" t="n">
        <v>3</v>
      </c>
      <c r="C9" s="73" t="n">
        <v>60</v>
      </c>
      <c r="D9" s="71" t="n">
        <v>18</v>
      </c>
      <c r="E9" s="74" t="n">
        <v>1</v>
      </c>
      <c r="F9" s="76" t="n">
        <v>3</v>
      </c>
      <c r="G9" s="77" t="n"/>
      <c r="H9" s="262" t="n"/>
      <c r="I9" s="262" t="n"/>
      <c r="J9" s="262" t="n"/>
      <c r="K9" s="78" t="n"/>
      <c r="L9" s="69">
        <f>B9+E9</f>
        <v/>
      </c>
      <c r="M9" s="62">
        <f>F9-L9</f>
        <v/>
      </c>
      <c r="N9" s="73" t="n">
        <v>1</v>
      </c>
      <c r="P9" s="73" t="inlineStr">
        <is>
          <t>P4</t>
        </is>
      </c>
      <c r="Q9" s="80" t="n">
        <v>3</v>
      </c>
      <c r="R9" s="73" t="n">
        <v>60</v>
      </c>
      <c r="S9" s="71" t="n">
        <v>18</v>
      </c>
      <c r="T9" s="74" t="n">
        <v>1</v>
      </c>
      <c r="U9" s="76" t="n">
        <v>4</v>
      </c>
      <c r="V9" s="77" t="n"/>
      <c r="W9" s="262" t="n"/>
      <c r="X9" s="262" t="n"/>
      <c r="Y9" s="262" t="n"/>
      <c r="Z9" s="78" t="n"/>
      <c r="AA9" s="69">
        <f>Q9+T9</f>
        <v/>
      </c>
      <c r="AB9" s="62">
        <f>U9-AA9</f>
        <v/>
      </c>
      <c r="AC9" s="73" t="n">
        <v>2</v>
      </c>
      <c r="AE9" s="73" t="inlineStr">
        <is>
          <t>P4</t>
        </is>
      </c>
      <c r="AF9" s="80" t="n">
        <v>3</v>
      </c>
      <c r="AG9" s="73" t="n">
        <v>60</v>
      </c>
      <c r="AH9" s="71" t="n">
        <v>18</v>
      </c>
      <c r="AI9" s="74" t="n">
        <v>1</v>
      </c>
      <c r="AJ9" s="76" t="n">
        <v>4</v>
      </c>
      <c r="AK9" s="77" t="n"/>
      <c r="AL9" s="262" t="n"/>
      <c r="AM9" s="262" t="n"/>
      <c r="AN9" s="262" t="n"/>
      <c r="AO9" s="78" t="n"/>
      <c r="AP9" s="69">
        <f>AF9+AI9</f>
        <v/>
      </c>
      <c r="AQ9" s="62">
        <f>AJ9-AP9</f>
        <v/>
      </c>
      <c r="AR9" s="73" t="n">
        <v>2</v>
      </c>
      <c r="AT9" s="73" t="inlineStr">
        <is>
          <t>P4</t>
        </is>
      </c>
      <c r="AU9" s="80" t="n">
        <v>3</v>
      </c>
      <c r="AV9" s="73" t="n">
        <v>60</v>
      </c>
      <c r="AW9" s="71" t="n">
        <v>18</v>
      </c>
      <c r="AX9" s="74" t="n">
        <v>1</v>
      </c>
      <c r="AY9" s="76" t="n">
        <v>3</v>
      </c>
      <c r="AZ9" s="77" t="n"/>
      <c r="BA9" s="262" t="n"/>
      <c r="BB9" s="262" t="n"/>
      <c r="BC9" s="262" t="n"/>
      <c r="BD9" s="78" t="n"/>
      <c r="BE9" s="69">
        <f>AU9+AX9</f>
        <v/>
      </c>
      <c r="BF9" s="62">
        <f>AY9-BE9</f>
        <v/>
      </c>
      <c r="BG9" s="73" t="n">
        <v>3</v>
      </c>
      <c r="BI9" s="73" t="inlineStr">
        <is>
          <t>P4</t>
        </is>
      </c>
      <c r="BJ9" s="79" t="n">
        <v>3</v>
      </c>
      <c r="BK9" s="73" t="n">
        <v>76</v>
      </c>
      <c r="BL9" s="71" t="n">
        <v>11</v>
      </c>
      <c r="BM9" s="74" t="n">
        <v>1</v>
      </c>
      <c r="BN9" s="76" t="n">
        <v>4</v>
      </c>
      <c r="BO9" s="77" t="n"/>
      <c r="BP9" s="262" t="n"/>
      <c r="BQ9" s="262" t="n"/>
      <c r="BR9" s="262" t="n"/>
      <c r="BS9" s="78" t="n"/>
      <c r="BT9" s="69">
        <f>BJ9+BM9</f>
        <v/>
      </c>
      <c r="BU9" s="62">
        <f>BN9-BT9</f>
        <v/>
      </c>
      <c r="BV9" s="73" t="n">
        <v>2</v>
      </c>
      <c r="BX9" s="73" t="inlineStr">
        <is>
          <t>P4</t>
        </is>
      </c>
      <c r="BY9" s="80" t="n">
        <v>3</v>
      </c>
      <c r="BZ9" s="73" t="n">
        <v>45</v>
      </c>
      <c r="CA9" s="71" t="n">
        <v>17</v>
      </c>
      <c r="CB9" s="74" t="n">
        <v>1</v>
      </c>
      <c r="CC9" s="76" t="n">
        <v>2</v>
      </c>
      <c r="CD9" s="77" t="inlineStr">
        <is>
          <t>sw</t>
        </is>
      </c>
      <c r="CE9" s="262" t="n"/>
      <c r="CF9" s="262" t="n"/>
      <c r="CG9" s="262" t="n"/>
      <c r="CH9" s="78" t="n">
        <v>2</v>
      </c>
      <c r="CI9" s="69">
        <f>BY9+CB9</f>
        <v/>
      </c>
      <c r="CJ9" s="62">
        <f>CC9-CI9</f>
        <v/>
      </c>
      <c r="CK9" s="73" t="n">
        <v>4</v>
      </c>
      <c r="CM9" s="73" t="inlineStr">
        <is>
          <t>P4</t>
        </is>
      </c>
      <c r="CN9" s="74" t="n">
        <v>3</v>
      </c>
      <c r="CO9" s="73" t="n">
        <v>112</v>
      </c>
      <c r="CP9" s="71" t="n">
        <v>18</v>
      </c>
      <c r="CQ9" s="74" t="n">
        <v>2</v>
      </c>
      <c r="CR9" s="147" t="n">
        <v>4</v>
      </c>
      <c r="CS9" s="77" t="inlineStr">
        <is>
          <t>9i</t>
        </is>
      </c>
      <c r="CT9" s="262" t="n"/>
      <c r="CU9" s="262" t="n"/>
      <c r="CV9" s="262" t="inlineStr">
        <is>
          <t>p</t>
        </is>
      </c>
      <c r="CW9" s="78" t="n">
        <v>2</v>
      </c>
      <c r="CX9" s="69">
        <f>CN9+CQ9</f>
        <v/>
      </c>
      <c r="CY9" s="62">
        <f>CR9-CX9</f>
        <v/>
      </c>
      <c r="CZ9" s="73" t="n">
        <v>4</v>
      </c>
      <c r="DB9" s="73" t="inlineStr">
        <is>
          <t>P4</t>
        </is>
      </c>
      <c r="DC9" s="74" t="n">
        <v>3</v>
      </c>
      <c r="DD9" s="73" t="n">
        <v>112</v>
      </c>
      <c r="DE9" s="71" t="n">
        <v>18</v>
      </c>
      <c r="DF9" s="74" t="n">
        <v>2</v>
      </c>
      <c r="DG9" s="147" t="n">
        <v>4</v>
      </c>
      <c r="DH9" s="77" t="inlineStr">
        <is>
          <t>9i</t>
        </is>
      </c>
      <c r="DI9" s="262" t="n"/>
      <c r="DJ9" s="262" t="n"/>
      <c r="DK9" s="262" t="inlineStr">
        <is>
          <t>p</t>
        </is>
      </c>
      <c r="DL9" s="78" t="n">
        <v>2</v>
      </c>
      <c r="DM9" s="69">
        <f>DC9+DF9</f>
        <v/>
      </c>
      <c r="DN9" s="62">
        <f>DG9-DM9</f>
        <v/>
      </c>
      <c r="DO9" s="73" t="n">
        <v>4</v>
      </c>
    </row>
    <row r="10" ht="15" customHeight="1" thickBot="1">
      <c r="A10" s="73" t="inlineStr">
        <is>
          <t>P5</t>
        </is>
      </c>
      <c r="B10" s="74" t="n">
        <v>3</v>
      </c>
      <c r="C10" s="73" t="n">
        <v>92</v>
      </c>
      <c r="D10" s="71" t="n">
        <v>10</v>
      </c>
      <c r="E10" s="74" t="n">
        <v>0</v>
      </c>
      <c r="F10" s="76" t="n">
        <v>3</v>
      </c>
      <c r="G10" s="77" t="n"/>
      <c r="H10" s="262" t="n"/>
      <c r="I10" s="262" t="n"/>
      <c r="J10" s="262" t="n"/>
      <c r="K10" s="78" t="n"/>
      <c r="L10" s="69">
        <f>B10+E10</f>
        <v/>
      </c>
      <c r="M10" s="62">
        <f>F10-L10</f>
        <v/>
      </c>
      <c r="N10" s="73" t="n">
        <v>2</v>
      </c>
      <c r="P10" s="73" t="inlineStr">
        <is>
          <t>P5</t>
        </is>
      </c>
      <c r="Q10" s="74" t="n">
        <v>3</v>
      </c>
      <c r="R10" s="73" t="n">
        <v>92</v>
      </c>
      <c r="S10" s="71" t="n">
        <v>10</v>
      </c>
      <c r="T10" s="74" t="n">
        <v>0</v>
      </c>
      <c r="U10" s="76" t="n">
        <v>4</v>
      </c>
      <c r="V10" s="77" t="n"/>
      <c r="W10" s="262" t="n"/>
      <c r="X10" s="262" t="n"/>
      <c r="Y10" s="262" t="n"/>
      <c r="Z10" s="78" t="n"/>
      <c r="AA10" s="69">
        <f>Q10+T10</f>
        <v/>
      </c>
      <c r="AB10" s="62">
        <f>U10-AA10</f>
        <v/>
      </c>
      <c r="AC10" s="73" t="n">
        <v>1</v>
      </c>
      <c r="AE10" s="73" t="inlineStr">
        <is>
          <t>P5</t>
        </is>
      </c>
      <c r="AF10" s="74" t="n">
        <v>3</v>
      </c>
      <c r="AG10" s="73" t="n">
        <v>92</v>
      </c>
      <c r="AH10" s="71" t="n">
        <v>10</v>
      </c>
      <c r="AI10" s="74" t="n">
        <v>0</v>
      </c>
      <c r="AJ10" s="76" t="n">
        <v>4</v>
      </c>
      <c r="AK10" s="77" t="n"/>
      <c r="AL10" s="262" t="n"/>
      <c r="AM10" s="262" t="n"/>
      <c r="AN10" s="262" t="n"/>
      <c r="AO10" s="78" t="n"/>
      <c r="AP10" s="69">
        <f>AF10+AI10</f>
        <v/>
      </c>
      <c r="AQ10" s="62">
        <f>AJ10-AP10</f>
        <v/>
      </c>
      <c r="AR10" s="73" t="n">
        <v>1</v>
      </c>
      <c r="AT10" s="73" t="inlineStr">
        <is>
          <t>P5</t>
        </is>
      </c>
      <c r="AU10" s="74" t="n">
        <v>3</v>
      </c>
      <c r="AV10" s="73" t="n">
        <v>92</v>
      </c>
      <c r="AW10" s="71" t="n">
        <v>10</v>
      </c>
      <c r="AX10" s="74" t="n">
        <v>0</v>
      </c>
      <c r="AY10" s="76" t="n">
        <v>4</v>
      </c>
      <c r="AZ10" s="77" t="n"/>
      <c r="BA10" s="262" t="n"/>
      <c r="BB10" s="262" t="n"/>
      <c r="BC10" s="262" t="n"/>
      <c r="BD10" s="78" t="n"/>
      <c r="BE10" s="69">
        <f>AU10+AX10</f>
        <v/>
      </c>
      <c r="BF10" s="62">
        <f>AY10-BE10</f>
        <v/>
      </c>
      <c r="BG10" s="73" t="n">
        <v>1</v>
      </c>
      <c r="BI10" s="73" t="inlineStr">
        <is>
          <t>P5</t>
        </is>
      </c>
      <c r="BJ10" s="79" t="n">
        <v>3</v>
      </c>
      <c r="BK10" s="73" t="n">
        <v>96</v>
      </c>
      <c r="BL10" s="71" t="n">
        <v>3</v>
      </c>
      <c r="BM10" s="74" t="n">
        <v>2</v>
      </c>
      <c r="BN10" s="76" t="n">
        <v>4</v>
      </c>
      <c r="BO10" s="77" t="n"/>
      <c r="BP10" s="262" t="n"/>
      <c r="BQ10" s="262" t="n"/>
      <c r="BR10" s="262" t="n"/>
      <c r="BS10" s="78" t="n"/>
      <c r="BT10" s="69">
        <f>BJ10+BM10</f>
        <v/>
      </c>
      <c r="BU10" s="62">
        <f>BN10-BT10</f>
        <v/>
      </c>
      <c r="BV10" s="73" t="n">
        <v>1</v>
      </c>
      <c r="BX10" s="73" t="inlineStr">
        <is>
          <t>P5</t>
        </is>
      </c>
      <c r="BY10" s="74" t="n">
        <v>4</v>
      </c>
      <c r="BZ10" s="73" t="n">
        <v>245</v>
      </c>
      <c r="CA10" s="71" t="n">
        <v>1</v>
      </c>
      <c r="CB10" s="74" t="n">
        <v>2</v>
      </c>
      <c r="CC10" s="76" t="n">
        <v>5</v>
      </c>
      <c r="CD10" s="77" t="inlineStr">
        <is>
          <t>sw</t>
        </is>
      </c>
      <c r="CE10" s="262" t="n">
        <v>2</v>
      </c>
      <c r="CF10" s="262" t="n"/>
      <c r="CG10" s="262" t="n"/>
      <c r="CH10" s="78" t="n">
        <v>2</v>
      </c>
      <c r="CI10" s="69">
        <f>BY10+CB10</f>
        <v/>
      </c>
      <c r="CJ10" s="62">
        <f>CC10-CI10</f>
        <v/>
      </c>
      <c r="CK10" s="73" t="n">
        <v>3</v>
      </c>
      <c r="CM10" s="73" t="inlineStr">
        <is>
          <t>P5</t>
        </is>
      </c>
      <c r="CN10" s="74" t="n">
        <v>4</v>
      </c>
      <c r="CO10" s="73" t="n">
        <v>298</v>
      </c>
      <c r="CP10" s="71" t="n">
        <v>4</v>
      </c>
      <c r="CQ10" s="74" t="n">
        <v>2</v>
      </c>
      <c r="CR10" s="76" t="n">
        <v>6</v>
      </c>
      <c r="CS10" s="77" t="inlineStr">
        <is>
          <t>H7</t>
        </is>
      </c>
      <c r="CT10" s="262" t="inlineStr">
        <is>
          <t>100i</t>
        </is>
      </c>
      <c r="CU10" s="262" t="n"/>
      <c r="CV10" s="262" t="inlineStr">
        <is>
          <t>p sw</t>
        </is>
      </c>
      <c r="CW10" s="78" t="n">
        <v>2</v>
      </c>
      <c r="CX10" s="69">
        <f>CN10+CQ10</f>
        <v/>
      </c>
      <c r="CY10" s="62">
        <f>CR10-CX10</f>
        <v/>
      </c>
      <c r="CZ10" s="73" t="n">
        <v>3</v>
      </c>
      <c r="DB10" s="73" t="inlineStr">
        <is>
          <t>P5</t>
        </is>
      </c>
      <c r="DC10" s="74" t="n">
        <v>4</v>
      </c>
      <c r="DD10" s="73" t="n">
        <v>298</v>
      </c>
      <c r="DE10" s="71" t="n">
        <v>4</v>
      </c>
      <c r="DF10" s="74" t="n">
        <v>2</v>
      </c>
      <c r="DG10" s="76" t="n">
        <v>6</v>
      </c>
      <c r="DH10" s="77" t="inlineStr">
        <is>
          <t>H7</t>
        </is>
      </c>
      <c r="DI10" s="262" t="inlineStr">
        <is>
          <t>100i</t>
        </is>
      </c>
      <c r="DJ10" s="262" t="n"/>
      <c r="DK10" s="262" t="inlineStr">
        <is>
          <t>p sw</t>
        </is>
      </c>
      <c r="DL10" s="78" t="n">
        <v>2</v>
      </c>
      <c r="DM10" s="69">
        <f>DC10+DF10</f>
        <v/>
      </c>
      <c r="DN10" s="62">
        <f>DG10-DM10</f>
        <v/>
      </c>
      <c r="DO10" s="73" t="n">
        <v>3</v>
      </c>
    </row>
    <row r="11" ht="15" customHeight="1" thickBot="1">
      <c r="A11" s="73" t="inlineStr">
        <is>
          <t>P6</t>
        </is>
      </c>
      <c r="B11" s="80" t="n">
        <v>3</v>
      </c>
      <c r="C11" s="75" t="n">
        <v>123</v>
      </c>
      <c r="D11" s="64" t="n">
        <v>4</v>
      </c>
      <c r="E11" s="74" t="n">
        <v>1</v>
      </c>
      <c r="F11" s="76" t="n">
        <v>4</v>
      </c>
      <c r="G11" s="77" t="n"/>
      <c r="H11" s="262" t="n"/>
      <c r="I11" s="262" t="n"/>
      <c r="J11" s="262" t="n"/>
      <c r="K11" s="78" t="n"/>
      <c r="L11" s="69">
        <f>B11+E11</f>
        <v/>
      </c>
      <c r="M11" s="62">
        <f>F11-L11</f>
        <v/>
      </c>
      <c r="N11" s="73" t="n">
        <v>2</v>
      </c>
      <c r="P11" s="73" t="inlineStr">
        <is>
          <t>P6</t>
        </is>
      </c>
      <c r="Q11" s="80" t="n">
        <v>3</v>
      </c>
      <c r="R11" s="75" t="n">
        <v>123</v>
      </c>
      <c r="S11" s="64" t="n">
        <v>4</v>
      </c>
      <c r="T11" s="74" t="n">
        <v>1</v>
      </c>
      <c r="U11" s="76" t="n">
        <v>4</v>
      </c>
      <c r="V11" s="77" t="n"/>
      <c r="W11" s="262" t="n"/>
      <c r="X11" s="262" t="n"/>
      <c r="Y11" s="262" t="n"/>
      <c r="Z11" s="78" t="n"/>
      <c r="AA11" s="69">
        <f>Q11+T11</f>
        <v/>
      </c>
      <c r="AB11" s="62">
        <f>U11-AA11</f>
        <v/>
      </c>
      <c r="AC11" s="73" t="n">
        <v>2</v>
      </c>
      <c r="AE11" s="73" t="inlineStr">
        <is>
          <t>P6</t>
        </is>
      </c>
      <c r="AF11" s="80" t="n">
        <v>3</v>
      </c>
      <c r="AG11" s="75" t="n">
        <v>123</v>
      </c>
      <c r="AH11" s="64" t="n">
        <v>4</v>
      </c>
      <c r="AI11" s="74" t="n">
        <v>1</v>
      </c>
      <c r="AJ11" s="76" t="n">
        <v>4</v>
      </c>
      <c r="AK11" s="77" t="n"/>
      <c r="AL11" s="262" t="n"/>
      <c r="AM11" s="262" t="n"/>
      <c r="AN11" s="262" t="n"/>
      <c r="AO11" s="78" t="n"/>
      <c r="AP11" s="69">
        <f>AF11+AI11</f>
        <v/>
      </c>
      <c r="AQ11" s="62">
        <f>AJ11-AP11</f>
        <v/>
      </c>
      <c r="AR11" s="73" t="n">
        <v>2</v>
      </c>
      <c r="AT11" s="73" t="inlineStr">
        <is>
          <t>P6</t>
        </is>
      </c>
      <c r="AU11" s="80" t="n">
        <v>3</v>
      </c>
      <c r="AV11" s="75" t="n">
        <v>123</v>
      </c>
      <c r="AW11" s="64" t="n">
        <v>4</v>
      </c>
      <c r="AX11" s="74" t="n">
        <v>1</v>
      </c>
      <c r="AY11" s="76" t="n">
        <v>5</v>
      </c>
      <c r="AZ11" s="77" t="n"/>
      <c r="BA11" s="262" t="n"/>
      <c r="BB11" s="262" t="n"/>
      <c r="BC11" s="262" t="n"/>
      <c r="BD11" s="78" t="n"/>
      <c r="BE11" s="69">
        <f>AU11+AX11</f>
        <v/>
      </c>
      <c r="BF11" s="62">
        <f>AY11-BE11</f>
        <v/>
      </c>
      <c r="BG11" s="73" t="n">
        <v>1</v>
      </c>
      <c r="BI11" s="73" t="inlineStr">
        <is>
          <t>P6</t>
        </is>
      </c>
      <c r="BJ11" s="79" t="n">
        <v>3</v>
      </c>
      <c r="BK11" s="73" t="n">
        <v>104</v>
      </c>
      <c r="BL11" s="64" t="n">
        <v>1</v>
      </c>
      <c r="BM11" s="74" t="n">
        <v>2</v>
      </c>
      <c r="BN11" s="76" t="n">
        <v>4</v>
      </c>
      <c r="BO11" s="77" t="n"/>
      <c r="BP11" s="262" t="n"/>
      <c r="BQ11" s="262" t="n"/>
      <c r="BR11" s="262" t="n"/>
      <c r="BS11" s="78" t="n"/>
      <c r="BT11" s="69">
        <f>BJ11+BM11</f>
        <v/>
      </c>
      <c r="BU11" s="62">
        <f>BN11-BT11</f>
        <v/>
      </c>
      <c r="BV11" s="73" t="n">
        <v>1</v>
      </c>
      <c r="BX11" s="73" t="inlineStr">
        <is>
          <t>P6</t>
        </is>
      </c>
      <c r="BY11" s="80" t="n">
        <v>3</v>
      </c>
      <c r="BZ11" s="75" t="n">
        <v>93</v>
      </c>
      <c r="CA11" s="71" t="n">
        <v>9</v>
      </c>
      <c r="CB11" s="74" t="n">
        <v>1</v>
      </c>
      <c r="CC11" s="76" t="n">
        <v>4</v>
      </c>
      <c r="CD11" s="77" t="inlineStr">
        <is>
          <t>7i</t>
        </is>
      </c>
      <c r="CE11" s="262" t="n"/>
      <c r="CF11" s="262" t="n"/>
      <c r="CG11" s="262" t="n">
        <v>1</v>
      </c>
      <c r="CH11" s="78" t="n">
        <v>2</v>
      </c>
      <c r="CI11" s="69">
        <f>BY11+CB11</f>
        <v/>
      </c>
      <c r="CJ11" s="62">
        <f>CC11-CI11</f>
        <v/>
      </c>
      <c r="CK11" s="73" t="n">
        <v>2</v>
      </c>
      <c r="CM11" s="73" t="inlineStr">
        <is>
          <t>P6</t>
        </is>
      </c>
      <c r="CN11" s="74" t="n">
        <v>3</v>
      </c>
      <c r="CO11" s="75" t="n">
        <v>147</v>
      </c>
      <c r="CP11" s="71" t="n">
        <v>8</v>
      </c>
      <c r="CQ11" s="74" t="n">
        <v>2</v>
      </c>
      <c r="CR11" s="76" t="n">
        <v>5</v>
      </c>
      <c r="CS11" s="77" t="inlineStr">
        <is>
          <t>5i</t>
        </is>
      </c>
      <c r="CT11" s="262" t="n"/>
      <c r="CU11" s="262" t="n"/>
      <c r="CV11" s="262" t="inlineStr">
        <is>
          <t>p sw</t>
        </is>
      </c>
      <c r="CW11" s="78" t="n">
        <v>2</v>
      </c>
      <c r="CX11" s="69">
        <f>CN11+CQ11</f>
        <v/>
      </c>
      <c r="CY11" s="62">
        <f>CR11-CX11</f>
        <v/>
      </c>
      <c r="CZ11" s="73" t="n">
        <v>2</v>
      </c>
      <c r="DB11" s="73" t="inlineStr">
        <is>
          <t>P6</t>
        </is>
      </c>
      <c r="DC11" s="74" t="n">
        <v>3</v>
      </c>
      <c r="DD11" s="75" t="n">
        <v>147</v>
      </c>
      <c r="DE11" s="71" t="n">
        <v>8</v>
      </c>
      <c r="DF11" s="74" t="n">
        <v>2</v>
      </c>
      <c r="DG11" s="76" t="n">
        <v>5</v>
      </c>
      <c r="DH11" s="77" t="inlineStr">
        <is>
          <t>5i</t>
        </is>
      </c>
      <c r="DI11" s="262" t="n"/>
      <c r="DJ11" s="262" t="n"/>
      <c r="DK11" s="262" t="inlineStr">
        <is>
          <t>p sw</t>
        </is>
      </c>
      <c r="DL11" s="78" t="n">
        <v>2</v>
      </c>
      <c r="DM11" s="69">
        <f>DC11+DF11</f>
        <v/>
      </c>
      <c r="DN11" s="62">
        <f>DG11-DM11</f>
        <v/>
      </c>
      <c r="DO11" s="73" t="n">
        <v>2</v>
      </c>
    </row>
    <row r="12" ht="15" customHeight="1" thickBot="1">
      <c r="A12" s="73" t="inlineStr">
        <is>
          <t>P7</t>
        </is>
      </c>
      <c r="B12" s="80" t="n">
        <v>3</v>
      </c>
      <c r="C12" s="75" t="n">
        <v>118</v>
      </c>
      <c r="D12" s="64" t="n">
        <v>2</v>
      </c>
      <c r="E12" s="74" t="n">
        <v>1</v>
      </c>
      <c r="F12" s="76" t="n">
        <v>5</v>
      </c>
      <c r="G12" s="77" t="n"/>
      <c r="H12" s="262" t="n"/>
      <c r="I12" s="262" t="n"/>
      <c r="J12" s="262" t="n"/>
      <c r="K12" s="78" t="n"/>
      <c r="L12" s="69">
        <f>B12+E12</f>
        <v/>
      </c>
      <c r="M12" s="62">
        <f>F12-L12</f>
        <v/>
      </c>
      <c r="N12" s="73" t="n">
        <v>3</v>
      </c>
      <c r="P12" s="73" t="inlineStr">
        <is>
          <t>P7</t>
        </is>
      </c>
      <c r="Q12" s="80" t="n">
        <v>3</v>
      </c>
      <c r="R12" s="75" t="n">
        <v>118</v>
      </c>
      <c r="S12" s="64" t="n">
        <v>2</v>
      </c>
      <c r="T12" s="74" t="n">
        <v>1</v>
      </c>
      <c r="U12" s="76" t="n">
        <v>5</v>
      </c>
      <c r="V12" s="77" t="n"/>
      <c r="W12" s="262" t="n"/>
      <c r="X12" s="262" t="n"/>
      <c r="Y12" s="262" t="n"/>
      <c r="Z12" s="78" t="n"/>
      <c r="AA12" s="69">
        <f>Q12+T12</f>
        <v/>
      </c>
      <c r="AB12" s="62">
        <f>U12-AA12</f>
        <v/>
      </c>
      <c r="AC12" s="73" t="n">
        <v>1</v>
      </c>
      <c r="AE12" s="73" t="inlineStr">
        <is>
          <t>P7</t>
        </is>
      </c>
      <c r="AF12" s="80" t="n">
        <v>3</v>
      </c>
      <c r="AG12" s="75" t="n">
        <v>118</v>
      </c>
      <c r="AH12" s="64" t="n">
        <v>2</v>
      </c>
      <c r="AI12" s="74" t="n">
        <v>1</v>
      </c>
      <c r="AJ12" s="76" t="n">
        <v>5</v>
      </c>
      <c r="AK12" s="77" t="n"/>
      <c r="AL12" s="262" t="n"/>
      <c r="AM12" s="262" t="n"/>
      <c r="AN12" s="262" t="n"/>
      <c r="AO12" s="78" t="n"/>
      <c r="AP12" s="69">
        <f>AF12+AI12</f>
        <v/>
      </c>
      <c r="AQ12" s="62">
        <f>AJ12-AP12</f>
        <v/>
      </c>
      <c r="AR12" s="73" t="n">
        <v>1</v>
      </c>
      <c r="AT12" s="73" t="inlineStr">
        <is>
          <t>P7</t>
        </is>
      </c>
      <c r="AU12" s="80" t="n">
        <v>3</v>
      </c>
      <c r="AV12" s="75" t="n">
        <v>118</v>
      </c>
      <c r="AW12" s="64" t="n">
        <v>2</v>
      </c>
      <c r="AX12" s="74" t="n">
        <v>1</v>
      </c>
      <c r="AY12" s="76" t="n">
        <v>7</v>
      </c>
      <c r="AZ12" s="77" t="n"/>
      <c r="BA12" s="262" t="n"/>
      <c r="BB12" s="262" t="n"/>
      <c r="BC12" s="262" t="n"/>
      <c r="BD12" s="78" t="n"/>
      <c r="BE12" s="69">
        <f>AU12+AX12</f>
        <v/>
      </c>
      <c r="BF12" s="62">
        <f>AY12-BE12</f>
        <v/>
      </c>
      <c r="BG12" s="73" t="n">
        <v>0</v>
      </c>
      <c r="BI12" s="73" t="inlineStr">
        <is>
          <t>P7</t>
        </is>
      </c>
      <c r="BJ12" s="79" t="n">
        <v>3</v>
      </c>
      <c r="BK12" s="73" t="n">
        <v>65</v>
      </c>
      <c r="BL12" s="64" t="n">
        <v>15</v>
      </c>
      <c r="BM12" s="74" t="n">
        <v>1</v>
      </c>
      <c r="BN12" s="76" t="n">
        <v>4</v>
      </c>
      <c r="BO12" s="77" t="n"/>
      <c r="BP12" s="262" t="n"/>
      <c r="BQ12" s="262" t="n"/>
      <c r="BR12" s="262" t="n"/>
      <c r="BS12" s="78" t="n"/>
      <c r="BT12" s="69">
        <f>BJ12+BM12</f>
        <v/>
      </c>
      <c r="BU12" s="62">
        <f>BN12-BT12</f>
        <v/>
      </c>
      <c r="BV12" s="73" t="n">
        <v>2</v>
      </c>
      <c r="BX12" s="73" t="inlineStr">
        <is>
          <t>P7</t>
        </is>
      </c>
      <c r="BY12" s="80" t="n">
        <v>3</v>
      </c>
      <c r="BZ12" s="75" t="n">
        <v>60</v>
      </c>
      <c r="CA12" s="71" t="n">
        <v>11</v>
      </c>
      <c r="CB12" s="74" t="n">
        <v>1</v>
      </c>
      <c r="CC12" s="76" t="n">
        <v>5</v>
      </c>
      <c r="CD12" s="77" t="inlineStr">
        <is>
          <t>9i</t>
        </is>
      </c>
      <c r="CE12" s="262" t="n"/>
      <c r="CF12" s="262" t="n"/>
      <c r="CG12" s="262" t="n">
        <v>1</v>
      </c>
      <c r="CH12" s="78" t="n">
        <v>1</v>
      </c>
      <c r="CI12" s="69">
        <f>BY12+CB12</f>
        <v/>
      </c>
      <c r="CJ12" s="62">
        <f>CC12-CI12</f>
        <v/>
      </c>
      <c r="CK12" s="73" t="n">
        <v>1</v>
      </c>
      <c r="CM12" s="73" t="inlineStr">
        <is>
          <t>P7</t>
        </is>
      </c>
      <c r="CN12" s="74" t="n">
        <v>5</v>
      </c>
      <c r="CO12" s="75" t="n">
        <v>342</v>
      </c>
      <c r="CP12" s="71" t="n">
        <v>6</v>
      </c>
      <c r="CQ12" s="74" t="n">
        <v>2</v>
      </c>
      <c r="CR12" s="76" t="n">
        <v>6</v>
      </c>
      <c r="CS12" s="77" t="inlineStr">
        <is>
          <t>H7</t>
        </is>
      </c>
      <c r="CT12" s="262" t="inlineStr">
        <is>
          <t>5i 5i</t>
        </is>
      </c>
      <c r="CU12" s="262" t="n"/>
      <c r="CV12" s="262" t="inlineStr">
        <is>
          <t>p sw</t>
        </is>
      </c>
      <c r="CW12" s="78" t="n">
        <v>2</v>
      </c>
      <c r="CX12" s="69">
        <f>CN12+CQ12</f>
        <v/>
      </c>
      <c r="CY12" s="62">
        <f>CR12-CX12</f>
        <v/>
      </c>
      <c r="CZ12" s="73" t="n">
        <v>1</v>
      </c>
      <c r="DB12" s="73" t="inlineStr">
        <is>
          <t>P7</t>
        </is>
      </c>
      <c r="DC12" s="74" t="n">
        <v>5</v>
      </c>
      <c r="DD12" s="75" t="n">
        <v>342</v>
      </c>
      <c r="DE12" s="71" t="n">
        <v>6</v>
      </c>
      <c r="DF12" s="74" t="n">
        <v>2</v>
      </c>
      <c r="DG12" s="76" t="n">
        <v>6</v>
      </c>
      <c r="DH12" s="77" t="inlineStr">
        <is>
          <t>H7</t>
        </is>
      </c>
      <c r="DI12" s="262" t="inlineStr">
        <is>
          <t>5i 5i</t>
        </is>
      </c>
      <c r="DJ12" s="262" t="n"/>
      <c r="DK12" s="262" t="inlineStr">
        <is>
          <t>p sw</t>
        </is>
      </c>
      <c r="DL12" s="78" t="n">
        <v>2</v>
      </c>
      <c r="DM12" s="69">
        <f>DC12+DF12</f>
        <v/>
      </c>
      <c r="DN12" s="62">
        <f>DG12-DM12</f>
        <v/>
      </c>
      <c r="DO12" s="73" t="n">
        <v>1</v>
      </c>
    </row>
    <row r="13" ht="15" customHeight="1" thickBot="1">
      <c r="A13" s="73" t="inlineStr">
        <is>
          <t>P8</t>
        </is>
      </c>
      <c r="B13" s="74" t="n">
        <v>3</v>
      </c>
      <c r="C13" s="73" t="n">
        <v>67</v>
      </c>
      <c r="D13" s="71" t="n">
        <v>12</v>
      </c>
      <c r="E13" s="74" t="n">
        <v>0</v>
      </c>
      <c r="F13" s="76" t="n">
        <v>3</v>
      </c>
      <c r="G13" s="77" t="n"/>
      <c r="H13" s="262" t="n"/>
      <c r="I13" s="262" t="n"/>
      <c r="J13" s="262" t="n"/>
      <c r="K13" s="78" t="n"/>
      <c r="L13" s="69">
        <f>B13+E13</f>
        <v/>
      </c>
      <c r="M13" s="62">
        <f>F13-L13</f>
        <v/>
      </c>
      <c r="N13" s="73" t="n">
        <v>2</v>
      </c>
      <c r="P13" s="73" t="inlineStr">
        <is>
          <t>P8</t>
        </is>
      </c>
      <c r="Q13" s="74" t="n">
        <v>3</v>
      </c>
      <c r="R13" s="73" t="n">
        <v>67</v>
      </c>
      <c r="S13" s="71" t="n">
        <v>12</v>
      </c>
      <c r="T13" s="74" t="n">
        <v>0</v>
      </c>
      <c r="U13" s="76" t="n">
        <v>3</v>
      </c>
      <c r="V13" s="77" t="n"/>
      <c r="W13" s="262" t="n"/>
      <c r="X13" s="262" t="n"/>
      <c r="Y13" s="262" t="n"/>
      <c r="Z13" s="78" t="n"/>
      <c r="AA13" s="69">
        <f>Q13+T13</f>
        <v/>
      </c>
      <c r="AB13" s="62">
        <f>U13-AA13</f>
        <v/>
      </c>
      <c r="AC13" s="73" t="n">
        <v>2</v>
      </c>
      <c r="AE13" s="73" t="inlineStr">
        <is>
          <t>P8</t>
        </is>
      </c>
      <c r="AF13" s="74" t="n">
        <v>3</v>
      </c>
      <c r="AG13" s="73" t="n">
        <v>67</v>
      </c>
      <c r="AH13" s="71" t="n">
        <v>12</v>
      </c>
      <c r="AI13" s="74" t="n">
        <v>0</v>
      </c>
      <c r="AJ13" s="76" t="n">
        <v>4</v>
      </c>
      <c r="AK13" s="77" t="n"/>
      <c r="AL13" s="262" t="n"/>
      <c r="AM13" s="262" t="n"/>
      <c r="AN13" s="262" t="n"/>
      <c r="AO13" s="78" t="n"/>
      <c r="AP13" s="69">
        <f>AF13+AI13</f>
        <v/>
      </c>
      <c r="AQ13" s="62">
        <f>AJ13-AP13</f>
        <v/>
      </c>
      <c r="AR13" s="73" t="n">
        <v>1</v>
      </c>
      <c r="AT13" s="73" t="inlineStr">
        <is>
          <t>P8</t>
        </is>
      </c>
      <c r="AU13" s="74" t="n">
        <v>3</v>
      </c>
      <c r="AV13" s="73" t="n">
        <v>67</v>
      </c>
      <c r="AW13" s="71" t="n">
        <v>12</v>
      </c>
      <c r="AX13" s="74" t="n">
        <v>0</v>
      </c>
      <c r="AY13" s="76" t="n">
        <v>5</v>
      </c>
      <c r="AZ13" s="77" t="n"/>
      <c r="BA13" s="262" t="n"/>
      <c r="BB13" s="262" t="n"/>
      <c r="BC13" s="262" t="n"/>
      <c r="BD13" s="78" t="n"/>
      <c r="BE13" s="69">
        <f>AU13+AX13</f>
        <v/>
      </c>
      <c r="BF13" s="62">
        <f>AY13-BE13</f>
        <v/>
      </c>
      <c r="BG13" s="73" t="n">
        <v>0</v>
      </c>
      <c r="BI13" s="73" t="inlineStr">
        <is>
          <t>P8</t>
        </is>
      </c>
      <c r="BJ13" s="79" t="n">
        <v>3</v>
      </c>
      <c r="BK13" s="73" t="n">
        <v>91</v>
      </c>
      <c r="BL13" s="71" t="n">
        <v>9</v>
      </c>
      <c r="BM13" s="74" t="n">
        <v>1</v>
      </c>
      <c r="BN13" s="76" t="n">
        <v>5</v>
      </c>
      <c r="BO13" s="77" t="n"/>
      <c r="BP13" s="262" t="n"/>
      <c r="BQ13" s="262" t="n"/>
      <c r="BR13" s="262" t="n"/>
      <c r="BS13" s="78" t="n"/>
      <c r="BT13" s="69">
        <f>BJ13+BM13</f>
        <v/>
      </c>
      <c r="BU13" s="62">
        <f>BN13-BT13</f>
        <v/>
      </c>
      <c r="BV13" s="73" t="n">
        <v>3</v>
      </c>
      <c r="BX13" s="73" t="inlineStr">
        <is>
          <t>P8</t>
        </is>
      </c>
      <c r="BY13" s="74" t="n">
        <v>3</v>
      </c>
      <c r="BZ13" s="73" t="n">
        <v>88</v>
      </c>
      <c r="CA13" s="71" t="n">
        <v>13</v>
      </c>
      <c r="CB13" s="74" t="n">
        <v>1</v>
      </c>
      <c r="CC13" s="76" t="n">
        <v>4</v>
      </c>
      <c r="CD13" s="77" t="inlineStr">
        <is>
          <t>p</t>
        </is>
      </c>
      <c r="CE13" s="262" t="n"/>
      <c r="CF13" s="262" t="n"/>
      <c r="CG13" s="262" t="n">
        <v>2</v>
      </c>
      <c r="CH13" s="78" t="n">
        <v>1</v>
      </c>
      <c r="CI13" s="69">
        <f>BY13+CB13</f>
        <v/>
      </c>
      <c r="CJ13" s="62">
        <f>CC13-CI13</f>
        <v/>
      </c>
      <c r="CK13" s="73" t="n">
        <v>2</v>
      </c>
      <c r="CM13" s="73" t="inlineStr">
        <is>
          <t>P8</t>
        </is>
      </c>
      <c r="CN13" s="74" t="n">
        <v>4</v>
      </c>
      <c r="CO13" s="73" t="n">
        <v>240</v>
      </c>
      <c r="CP13" s="71" t="n">
        <v>14</v>
      </c>
      <c r="CQ13" s="74" t="n">
        <v>2</v>
      </c>
      <c r="CR13" s="76" t="n">
        <v>6</v>
      </c>
      <c r="CS13" s="77" t="inlineStr">
        <is>
          <t>100i</t>
        </is>
      </c>
      <c r="CT13" s="262" t="inlineStr">
        <is>
          <t>7i</t>
        </is>
      </c>
      <c r="CU13" s="262" t="n"/>
      <c r="CV13" s="262" t="inlineStr">
        <is>
          <t>putt</t>
        </is>
      </c>
      <c r="CW13" s="78" t="n">
        <v>2</v>
      </c>
      <c r="CX13" s="69">
        <f>CN13+CQ13</f>
        <v/>
      </c>
      <c r="CY13" s="62">
        <f>CR13-CX13</f>
        <v/>
      </c>
      <c r="CZ13" s="73" t="n">
        <v>2</v>
      </c>
      <c r="DB13" s="73" t="inlineStr">
        <is>
          <t>P8</t>
        </is>
      </c>
      <c r="DC13" s="74" t="n">
        <v>4</v>
      </c>
      <c r="DD13" s="73" t="n">
        <v>240</v>
      </c>
      <c r="DE13" s="71" t="n">
        <v>14</v>
      </c>
      <c r="DF13" s="74" t="n">
        <v>2</v>
      </c>
      <c r="DG13" s="76" t="n">
        <v>6</v>
      </c>
      <c r="DH13" s="77" t="inlineStr">
        <is>
          <t>100i</t>
        </is>
      </c>
      <c r="DI13" s="262" t="inlineStr">
        <is>
          <t>7i</t>
        </is>
      </c>
      <c r="DJ13" s="262" t="n"/>
      <c r="DK13" s="262" t="inlineStr">
        <is>
          <t>putt</t>
        </is>
      </c>
      <c r="DL13" s="78" t="n">
        <v>2</v>
      </c>
      <c r="DM13" s="69">
        <f>DC13+DF13</f>
        <v/>
      </c>
      <c r="DN13" s="62">
        <f>DG13-DM13</f>
        <v/>
      </c>
      <c r="DO13" s="73" t="n">
        <v>2</v>
      </c>
    </row>
    <row r="14" ht="15" customHeight="1" thickBot="1">
      <c r="A14" s="73" t="inlineStr">
        <is>
          <t>P9</t>
        </is>
      </c>
      <c r="B14" s="74" t="n">
        <v>3</v>
      </c>
      <c r="C14" s="73" t="n">
        <v>75</v>
      </c>
      <c r="D14" s="71" t="n">
        <v>14</v>
      </c>
      <c r="E14" s="74" t="n">
        <v>0</v>
      </c>
      <c r="F14" s="81" t="n">
        <v>3</v>
      </c>
      <c r="G14" s="82" t="n"/>
      <c r="H14" s="83" t="n"/>
      <c r="I14" s="83" t="n"/>
      <c r="J14" s="83" t="n"/>
      <c r="K14" s="84" t="n"/>
      <c r="L14" s="69" t="n">
        <v>3</v>
      </c>
      <c r="M14" s="62">
        <f>F14-L14</f>
        <v/>
      </c>
      <c r="N14" s="85" t="n">
        <v>2</v>
      </c>
      <c r="P14" s="73" t="inlineStr">
        <is>
          <t>P9</t>
        </is>
      </c>
      <c r="Q14" s="74" t="n">
        <v>3</v>
      </c>
      <c r="R14" s="73" t="n">
        <v>75</v>
      </c>
      <c r="S14" s="71" t="n">
        <v>14</v>
      </c>
      <c r="T14" s="74" t="n">
        <v>0</v>
      </c>
      <c r="U14" s="81" t="n">
        <v>5</v>
      </c>
      <c r="V14" s="82" t="n"/>
      <c r="W14" s="83" t="n"/>
      <c r="X14" s="83" t="n"/>
      <c r="Y14" s="83" t="n"/>
      <c r="Z14" s="84" t="n"/>
      <c r="AA14" s="69" t="n">
        <v>3</v>
      </c>
      <c r="AB14" s="62">
        <f>U14-AA14</f>
        <v/>
      </c>
      <c r="AC14" s="85" t="n">
        <v>0</v>
      </c>
      <c r="AE14" s="73" t="inlineStr">
        <is>
          <t>P9</t>
        </is>
      </c>
      <c r="AF14" s="74" t="n">
        <v>3</v>
      </c>
      <c r="AG14" s="73" t="n">
        <v>75</v>
      </c>
      <c r="AH14" s="71" t="n">
        <v>14</v>
      </c>
      <c r="AI14" s="74" t="n">
        <v>0</v>
      </c>
      <c r="AJ14" s="81" t="n">
        <v>4</v>
      </c>
      <c r="AK14" s="82" t="n"/>
      <c r="AL14" s="83" t="n"/>
      <c r="AM14" s="83" t="n"/>
      <c r="AN14" s="83" t="n"/>
      <c r="AO14" s="84" t="n"/>
      <c r="AP14" s="69" t="n">
        <v>3</v>
      </c>
      <c r="AQ14" s="62">
        <f>AJ14-AP14</f>
        <v/>
      </c>
      <c r="AR14" s="85" t="n">
        <v>1</v>
      </c>
      <c r="AT14" s="73" t="inlineStr">
        <is>
          <t>P9</t>
        </is>
      </c>
      <c r="AU14" s="74" t="n">
        <v>3</v>
      </c>
      <c r="AV14" s="73" t="n">
        <v>75</v>
      </c>
      <c r="AW14" s="71" t="n">
        <v>14</v>
      </c>
      <c r="AX14" s="74" t="n">
        <v>0</v>
      </c>
      <c r="AY14" s="81" t="n">
        <v>4</v>
      </c>
      <c r="AZ14" s="82" t="n"/>
      <c r="BA14" s="83" t="n"/>
      <c r="BB14" s="83" t="n"/>
      <c r="BC14" s="83" t="n"/>
      <c r="BD14" s="84" t="n"/>
      <c r="BE14" s="69" t="n">
        <v>3</v>
      </c>
      <c r="BF14" s="62">
        <f>AY14-BE14</f>
        <v/>
      </c>
      <c r="BG14" s="85" t="n">
        <v>1</v>
      </c>
      <c r="BI14" s="73" t="inlineStr">
        <is>
          <t>P9</t>
        </is>
      </c>
      <c r="BJ14" s="79" t="n">
        <v>3</v>
      </c>
      <c r="BK14" s="73" t="n">
        <v>64</v>
      </c>
      <c r="BL14" s="71" t="n">
        <v>17</v>
      </c>
      <c r="BM14" s="74" t="n">
        <v>1</v>
      </c>
      <c r="BN14" s="81" t="n">
        <v>3</v>
      </c>
      <c r="BO14" s="82" t="n"/>
      <c r="BP14" s="83" t="n"/>
      <c r="BQ14" s="83" t="n"/>
      <c r="BR14" s="83" t="n"/>
      <c r="BS14" s="84" t="n"/>
      <c r="BT14" s="69" t="n">
        <v>3</v>
      </c>
      <c r="BU14" s="62">
        <f>BN14-BT14</f>
        <v/>
      </c>
      <c r="BV14" s="85" t="n">
        <v>2</v>
      </c>
      <c r="BX14" s="73" t="inlineStr">
        <is>
          <t>P9</t>
        </is>
      </c>
      <c r="BY14" s="74" t="n">
        <v>3</v>
      </c>
      <c r="BZ14" s="73" t="n">
        <v>181</v>
      </c>
      <c r="CA14" s="71" t="n">
        <v>3</v>
      </c>
      <c r="CB14" s="74" t="n">
        <v>2</v>
      </c>
      <c r="CC14" s="81" t="n">
        <v>4</v>
      </c>
      <c r="CD14" s="82" t="inlineStr">
        <is>
          <t>7i</t>
        </is>
      </c>
      <c r="CE14" s="83" t="n"/>
      <c r="CF14" s="83" t="n"/>
      <c r="CG14" s="83" t="n">
        <v>1</v>
      </c>
      <c r="CH14" s="84" t="n">
        <v>2</v>
      </c>
      <c r="CI14" s="69" t="n">
        <v>3</v>
      </c>
      <c r="CJ14" s="62">
        <f>CC14-CI14</f>
        <v/>
      </c>
      <c r="CK14" s="85" t="n">
        <v>1</v>
      </c>
      <c r="CM14" s="73" t="inlineStr">
        <is>
          <t>P9</t>
        </is>
      </c>
      <c r="CN14" s="74" t="n">
        <v>4</v>
      </c>
      <c r="CO14" s="73" t="n">
        <v>298</v>
      </c>
      <c r="CP14" s="71" t="n">
        <v>10</v>
      </c>
      <c r="CQ14" s="74" t="n">
        <v>2</v>
      </c>
      <c r="CR14" s="81" t="n">
        <v>8</v>
      </c>
      <c r="CS14" s="82" t="inlineStr">
        <is>
          <t>H5</t>
        </is>
      </c>
      <c r="CT14" s="83" t="inlineStr">
        <is>
          <t>Left Putt, 5i,5i</t>
        </is>
      </c>
      <c r="CU14" s="83" t="n"/>
      <c r="CV14" s="83" t="inlineStr">
        <is>
          <t>9i, sw</t>
        </is>
      </c>
      <c r="CW14" s="84" t="n">
        <v>3</v>
      </c>
      <c r="CX14" s="69" t="n">
        <v>3</v>
      </c>
      <c r="CY14" s="62">
        <f>CR14-CX14</f>
        <v/>
      </c>
      <c r="CZ14" s="85" t="n">
        <v>1</v>
      </c>
      <c r="DB14" s="73" t="inlineStr">
        <is>
          <t>P9</t>
        </is>
      </c>
      <c r="DC14" s="74" t="n">
        <v>4</v>
      </c>
      <c r="DD14" s="73" t="n">
        <v>298</v>
      </c>
      <c r="DE14" s="71" t="n">
        <v>10</v>
      </c>
      <c r="DF14" s="74" t="n">
        <v>2</v>
      </c>
      <c r="DG14" s="81" t="n">
        <v>8</v>
      </c>
      <c r="DH14" s="82" t="inlineStr">
        <is>
          <t>H5</t>
        </is>
      </c>
      <c r="DI14" s="83" t="inlineStr">
        <is>
          <t>Left Putt, 5i,5i</t>
        </is>
      </c>
      <c r="DJ14" s="83" t="n"/>
      <c r="DK14" s="83" t="inlineStr">
        <is>
          <t>9i, sw</t>
        </is>
      </c>
      <c r="DL14" s="84" t="n">
        <v>3</v>
      </c>
      <c r="DM14" s="69" t="n">
        <v>3</v>
      </c>
      <c r="DN14" s="62">
        <f>DG14-DM14</f>
        <v/>
      </c>
      <c r="DO14" s="85" t="n">
        <v>1</v>
      </c>
    </row>
    <row r="15" ht="15" customHeight="1" thickBot="1">
      <c r="A15" s="35" t="inlineStr">
        <is>
          <t>Lost 1 ball</t>
        </is>
      </c>
      <c r="B15" s="86" t="n"/>
      <c r="C15" s="86" t="n"/>
      <c r="D15" s="87" t="inlineStr">
        <is>
          <t>Course Handicap:</t>
        </is>
      </c>
      <c r="E15" s="86">
        <f>SUM(E6:E14)</f>
        <v/>
      </c>
      <c r="F15" s="88">
        <f>SUM(F6:F14)</f>
        <v/>
      </c>
      <c r="G15" s="35">
        <f>SUM(G6:G14)</f>
        <v/>
      </c>
      <c r="H15" s="35">
        <f>SUM(H6:H14)</f>
        <v/>
      </c>
      <c r="I15" s="35">
        <f>SUM(I6:I14)</f>
        <v/>
      </c>
      <c r="J15" s="35">
        <f>SUM(J6:J14)</f>
        <v/>
      </c>
      <c r="K15" s="35">
        <f>SUM(K6:K14)</f>
        <v/>
      </c>
      <c r="L15" s="89">
        <f>SUM(L6:L14)</f>
        <v/>
      </c>
      <c r="M15" s="88">
        <f>L15-F28</f>
        <v/>
      </c>
      <c r="N15" s="90">
        <f>SUM(N6:N14)</f>
        <v/>
      </c>
      <c r="P15" s="35" t="inlineStr">
        <is>
          <t>Lost 1 ball</t>
        </is>
      </c>
      <c r="Q15" s="86" t="n"/>
      <c r="R15" s="86" t="n"/>
      <c r="S15" s="87" t="inlineStr">
        <is>
          <t>Course Handicap:</t>
        </is>
      </c>
      <c r="T15" s="86">
        <f>SUM(T6:T14)</f>
        <v/>
      </c>
      <c r="U15" s="88">
        <f>SUM(U6:U14)</f>
        <v/>
      </c>
      <c r="V15" s="35">
        <f>SUM(V6:V14)</f>
        <v/>
      </c>
      <c r="W15" s="35">
        <f>SUM(W6:W14)</f>
        <v/>
      </c>
      <c r="X15" s="35">
        <f>SUM(X6:X14)</f>
        <v/>
      </c>
      <c r="Y15" s="35">
        <f>SUM(Y6:Y14)</f>
        <v/>
      </c>
      <c r="Z15" s="35">
        <f>SUM(Z6:Z14)</f>
        <v/>
      </c>
      <c r="AA15" s="89">
        <f>SUM(AA6:AA14)</f>
        <v/>
      </c>
      <c r="AB15" s="88">
        <f>AA15-U28</f>
        <v/>
      </c>
      <c r="AC15" s="90">
        <f>SUM(AC6:AC14)</f>
        <v/>
      </c>
      <c r="AE15" s="35" t="inlineStr">
        <is>
          <t>Lost 1 ball</t>
        </is>
      </c>
      <c r="AF15" s="86" t="n"/>
      <c r="AG15" s="86" t="n"/>
      <c r="AH15" s="87" t="inlineStr">
        <is>
          <t>Course Handicap:</t>
        </is>
      </c>
      <c r="AI15" s="86">
        <f>SUM(AI6:AI14)</f>
        <v/>
      </c>
      <c r="AJ15" s="88">
        <f>SUM(AJ6:AJ14)</f>
        <v/>
      </c>
      <c r="AK15" s="35">
        <f>SUM(AK6:AK14)</f>
        <v/>
      </c>
      <c r="AL15" s="35">
        <f>SUM(AL6:AL14)</f>
        <v/>
      </c>
      <c r="AM15" s="35">
        <f>SUM(AM6:AM14)</f>
        <v/>
      </c>
      <c r="AN15" s="35">
        <f>SUM(AN6:AN14)</f>
        <v/>
      </c>
      <c r="AO15" s="35">
        <f>SUM(AO6:AO14)</f>
        <v/>
      </c>
      <c r="AP15" s="89">
        <f>SUM(AP6:AP14)</f>
        <v/>
      </c>
      <c r="AQ15" s="88">
        <f>AP15-AJ28</f>
        <v/>
      </c>
      <c r="AR15" s="90">
        <f>SUM(AR6:AR14)</f>
        <v/>
      </c>
      <c r="AT15" s="35" t="inlineStr">
        <is>
          <t>Lost 1 ball</t>
        </is>
      </c>
      <c r="AU15" s="86" t="n"/>
      <c r="AV15" s="86" t="n"/>
      <c r="AW15" s="87" t="inlineStr">
        <is>
          <t>Course Handicap:</t>
        </is>
      </c>
      <c r="AX15" s="86">
        <f>SUM(AX6:AX14)</f>
        <v/>
      </c>
      <c r="AY15" s="88">
        <f>SUM(AY6:AY14)</f>
        <v/>
      </c>
      <c r="AZ15" s="35">
        <f>SUM(AZ6:AZ14)</f>
        <v/>
      </c>
      <c r="BA15" s="35">
        <f>SUM(BA6:BA14)</f>
        <v/>
      </c>
      <c r="BB15" s="35">
        <f>SUM(BB6:BB14)</f>
        <v/>
      </c>
      <c r="BC15" s="35">
        <f>SUM(BC6:BC14)</f>
        <v/>
      </c>
      <c r="BD15" s="35">
        <f>SUM(BD6:BD14)</f>
        <v/>
      </c>
      <c r="BE15" s="89">
        <f>SUM(BE6:BE14)</f>
        <v/>
      </c>
      <c r="BF15" s="88">
        <f>BE15-AY28</f>
        <v/>
      </c>
      <c r="BG15" s="90">
        <f>SUM(BG6:BG14)</f>
        <v/>
      </c>
      <c r="BI15" s="35" t="n"/>
      <c r="BJ15" s="86" t="n"/>
      <c r="BK15" s="86" t="n"/>
      <c r="BL15" s="87" t="inlineStr">
        <is>
          <t>Course Handicap:</t>
        </is>
      </c>
      <c r="BM15" s="86">
        <f>SUM(BM6:BM14)</f>
        <v/>
      </c>
      <c r="BN15" s="88">
        <f>SUM(BN6:BN14)</f>
        <v/>
      </c>
      <c r="BO15" s="35">
        <f>SUM(BO6:BO14)</f>
        <v/>
      </c>
      <c r="BP15" s="35">
        <f>SUM(BP6:BP14)</f>
        <v/>
      </c>
      <c r="BQ15" s="35">
        <f>SUM(BQ6:BQ14)</f>
        <v/>
      </c>
      <c r="BR15" s="35">
        <f>SUM(BR6:BR14)</f>
        <v/>
      </c>
      <c r="BS15" s="35">
        <f>SUM(BS6:BS14)</f>
        <v/>
      </c>
      <c r="BT15" s="89">
        <f>SUM(BT6:BT14)</f>
        <v/>
      </c>
      <c r="BU15" s="88">
        <f>BT15-BN28</f>
        <v/>
      </c>
      <c r="BV15" s="90">
        <f>SUM(BV6:BV14)</f>
        <v/>
      </c>
      <c r="BX15" s="35" t="inlineStr">
        <is>
          <t>Lost 1 ball</t>
        </is>
      </c>
      <c r="BY15" s="86" t="n"/>
      <c r="BZ15" s="86" t="n"/>
      <c r="CA15" s="87" t="inlineStr">
        <is>
          <t>Course Handicap:</t>
        </is>
      </c>
      <c r="CB15" s="86" t="n">
        <v>11</v>
      </c>
      <c r="CC15" s="88">
        <f>SUM(CC6:CC14)</f>
        <v/>
      </c>
      <c r="CD15" s="35" t="n">
        <v>9</v>
      </c>
      <c r="CE15" s="35">
        <f>SUM(CE6:CE14)</f>
        <v/>
      </c>
      <c r="CF15" s="35">
        <f>SUM(CF6:CF14)</f>
        <v/>
      </c>
      <c r="CG15" s="35">
        <f>SUM(CG6:CG14)</f>
        <v/>
      </c>
      <c r="CH15" s="35">
        <f>SUM(CH6:CH14)</f>
        <v/>
      </c>
      <c r="CI15" s="89">
        <f>SUM(CI6:CI14)</f>
        <v/>
      </c>
      <c r="CJ15" s="88">
        <f>CI15-CC28</f>
        <v/>
      </c>
      <c r="CK15" s="90">
        <f>SUM(CK6:CK14)</f>
        <v/>
      </c>
      <c r="CM15" s="35" t="inlineStr">
        <is>
          <t>Lost 2 balls</t>
        </is>
      </c>
      <c r="CN15" s="86">
        <f>SUM(CN6:CN14)</f>
        <v/>
      </c>
      <c r="CO15" s="86" t="n"/>
      <c r="CP15" s="87" t="inlineStr">
        <is>
          <t>Course Handicap:</t>
        </is>
      </c>
      <c r="CQ15" s="86" t="n">
        <v>18</v>
      </c>
      <c r="CR15" s="88">
        <f>SUM(CR6:CR14)</f>
        <v/>
      </c>
      <c r="CS15" s="35" t="n">
        <v>11</v>
      </c>
      <c r="CT15" s="35" t="n">
        <v>12</v>
      </c>
      <c r="CU15" s="35">
        <f>SUM(CU6:CU14)</f>
        <v/>
      </c>
      <c r="CV15" s="35" t="n">
        <v>16</v>
      </c>
      <c r="CW15" s="35">
        <f>SUM(CW6:CW14)</f>
        <v/>
      </c>
      <c r="CX15" s="89">
        <f>SUM(CX6:CX14)</f>
        <v/>
      </c>
      <c r="CY15" s="88">
        <f>CX15-CR28</f>
        <v/>
      </c>
      <c r="CZ15" s="90">
        <f>SUM(CZ6:CZ14)</f>
        <v/>
      </c>
      <c r="DB15" s="35" t="inlineStr">
        <is>
          <t>Lost 2 balls</t>
        </is>
      </c>
      <c r="DC15" s="86">
        <f>SUM(DC6:DC14)</f>
        <v/>
      </c>
      <c r="DD15" s="86" t="n"/>
      <c r="DE15" s="87" t="inlineStr">
        <is>
          <t>Course Handicap:</t>
        </is>
      </c>
      <c r="DF15" s="86" t="n">
        <v>18</v>
      </c>
      <c r="DG15" s="88">
        <f>SUM(DG6:DG14)</f>
        <v/>
      </c>
      <c r="DH15" s="35" t="n">
        <v>11</v>
      </c>
      <c r="DI15" s="35" t="n">
        <v>12</v>
      </c>
      <c r="DJ15" s="35">
        <f>SUM(DJ6:DJ14)</f>
        <v/>
      </c>
      <c r="DK15" s="35" t="n">
        <v>16</v>
      </c>
      <c r="DL15" s="35">
        <f>SUM(DL6:DL14)</f>
        <v/>
      </c>
      <c r="DM15" s="89">
        <f>SUM(DM6:DM14)</f>
        <v/>
      </c>
      <c r="DN15" s="88">
        <f>DM15-DG28</f>
        <v/>
      </c>
      <c r="DO15" s="90">
        <f>SUM(DO6:DO14)</f>
        <v/>
      </c>
    </row>
    <row r="16" ht="15" customHeight="1" thickBot="1">
      <c r="A16" s="91" t="n"/>
      <c r="B16" s="92" t="n"/>
      <c r="C16" s="92" t="n"/>
      <c r="D16" s="93" t="n"/>
      <c r="E16" s="92" t="n"/>
      <c r="F16" s="94" t="n"/>
      <c r="G16" s="91" t="n"/>
      <c r="H16" s="92" t="n"/>
      <c r="I16" s="92" t="n"/>
      <c r="J16" s="92" t="n"/>
      <c r="K16" s="94" t="n"/>
      <c r="L16" s="60" t="inlineStr">
        <is>
          <t>Net Par</t>
        </is>
      </c>
      <c r="M16" s="61" t="inlineStr">
        <is>
          <t>StrokDif</t>
        </is>
      </c>
      <c r="N16" s="61" t="inlineStr">
        <is>
          <t>Points:</t>
        </is>
      </c>
      <c r="P16" s="91" t="n"/>
      <c r="Q16" s="92" t="n"/>
      <c r="R16" s="92" t="n"/>
      <c r="S16" s="93" t="n"/>
      <c r="T16" s="92" t="n"/>
      <c r="U16" s="94" t="n"/>
      <c r="V16" s="91" t="n"/>
      <c r="W16" s="92" t="n"/>
      <c r="X16" s="92" t="n"/>
      <c r="Y16" s="92" t="n"/>
      <c r="Z16" s="94" t="n"/>
      <c r="AA16" s="60" t="inlineStr">
        <is>
          <t>Net Par</t>
        </is>
      </c>
      <c r="AB16" s="61" t="inlineStr">
        <is>
          <t>StrokDif</t>
        </is>
      </c>
      <c r="AC16" s="61" t="inlineStr">
        <is>
          <t>Points:</t>
        </is>
      </c>
      <c r="AE16" s="91" t="n"/>
      <c r="AF16" s="92" t="n"/>
      <c r="AG16" s="92" t="n"/>
      <c r="AH16" s="93" t="n"/>
      <c r="AI16" s="92" t="n"/>
      <c r="AJ16" s="94" t="n"/>
      <c r="AK16" s="91" t="n"/>
      <c r="AL16" s="92" t="n"/>
      <c r="AM16" s="92" t="n"/>
      <c r="AN16" s="92" t="n"/>
      <c r="AO16" s="94" t="n"/>
      <c r="AP16" s="60" t="inlineStr">
        <is>
          <t>Net Par</t>
        </is>
      </c>
      <c r="AQ16" s="61" t="inlineStr">
        <is>
          <t>StrokDif</t>
        </is>
      </c>
      <c r="AR16" s="61" t="inlineStr">
        <is>
          <t>Points:</t>
        </is>
      </c>
      <c r="AT16" s="91" t="n"/>
      <c r="AU16" s="92" t="n"/>
      <c r="AV16" s="92" t="n"/>
      <c r="AW16" s="93" t="n"/>
      <c r="AX16" s="92" t="n"/>
      <c r="AY16" s="94" t="n"/>
      <c r="AZ16" s="91" t="n"/>
      <c r="BA16" s="92" t="n"/>
      <c r="BB16" s="92" t="n"/>
      <c r="BC16" s="92" t="n"/>
      <c r="BD16" s="94" t="n"/>
      <c r="BE16" s="60" t="inlineStr">
        <is>
          <t>Net Par</t>
        </is>
      </c>
      <c r="BF16" s="61" t="inlineStr">
        <is>
          <t>StrokDif</t>
        </is>
      </c>
      <c r="BG16" s="61" t="inlineStr">
        <is>
          <t>Points:</t>
        </is>
      </c>
      <c r="BI16" s="91" t="n"/>
      <c r="BJ16" s="92" t="n"/>
      <c r="BK16" s="92" t="inlineStr">
        <is>
          <t>If Garmin Hcp</t>
        </is>
      </c>
      <c r="BL16" s="93" t="n"/>
      <c r="BM16" s="92" t="inlineStr">
        <is>
          <t>CH: 6</t>
        </is>
      </c>
      <c r="BN16" s="94" t="n"/>
      <c r="BO16" s="91" t="n"/>
      <c r="BP16" s="92" t="n"/>
      <c r="BQ16" s="92" t="n"/>
      <c r="BR16" s="92" t="n"/>
      <c r="BS16" s="94" t="n"/>
      <c r="BT16" s="60" t="inlineStr">
        <is>
          <t>Net Par</t>
        </is>
      </c>
      <c r="BU16" s="61" t="inlineStr">
        <is>
          <t>StrokDif</t>
        </is>
      </c>
      <c r="BV16" s="61" t="inlineStr">
        <is>
          <t>Points:</t>
        </is>
      </c>
      <c r="BX16" s="91" t="n"/>
      <c r="BY16" s="92" t="n"/>
      <c r="BZ16" s="92" t="n"/>
      <c r="CA16" s="93" t="n"/>
      <c r="CB16" s="92" t="n"/>
      <c r="CC16" s="94" t="n"/>
      <c r="CD16" s="91" t="n"/>
      <c r="CE16" s="92" t="n"/>
      <c r="CF16" s="92" t="n"/>
      <c r="CG16" s="92" t="n"/>
      <c r="CH16" s="94" t="n"/>
      <c r="CI16" s="60" t="inlineStr">
        <is>
          <t>Net Par</t>
        </is>
      </c>
      <c r="CJ16" s="61" t="inlineStr">
        <is>
          <t>StrokDif</t>
        </is>
      </c>
      <c r="CK16" s="61" t="inlineStr">
        <is>
          <t>Points:</t>
        </is>
      </c>
      <c r="CM16" s="91" t="n"/>
      <c r="CN16" s="92" t="n"/>
      <c r="CO16" s="92" t="n"/>
      <c r="CP16" s="93" t="n"/>
      <c r="CQ16" s="92" t="n"/>
      <c r="CR16" s="94" t="n"/>
      <c r="CS16" s="91" t="n"/>
      <c r="CT16" s="92" t="n"/>
      <c r="CU16" s="92" t="n"/>
      <c r="CV16" s="92" t="n"/>
      <c r="CW16" s="94" t="n"/>
      <c r="CX16" s="60" t="inlineStr">
        <is>
          <t>Net Par</t>
        </is>
      </c>
      <c r="CY16" s="61" t="inlineStr">
        <is>
          <t>StrokDif</t>
        </is>
      </c>
      <c r="CZ16" s="61" t="inlineStr">
        <is>
          <t>Points:</t>
        </is>
      </c>
      <c r="DB16" s="91" t="n"/>
      <c r="DC16" s="92" t="n"/>
      <c r="DD16" s="92" t="n"/>
      <c r="DE16" s="93" t="n"/>
      <c r="DF16" s="92" t="n"/>
      <c r="DG16" s="94" t="n"/>
      <c r="DH16" s="91" t="n"/>
      <c r="DI16" s="92" t="n"/>
      <c r="DJ16" s="92" t="n"/>
      <c r="DK16" s="92" t="n"/>
      <c r="DL16" s="94" t="n"/>
      <c r="DM16" s="60" t="inlineStr">
        <is>
          <t>Net Par</t>
        </is>
      </c>
      <c r="DN16" s="61" t="inlineStr">
        <is>
          <t>StrokDif</t>
        </is>
      </c>
      <c r="DO16" s="61" t="inlineStr">
        <is>
          <t>Points:</t>
        </is>
      </c>
    </row>
    <row r="17" ht="15" customHeight="1" thickBot="1">
      <c r="A17" s="73" t="inlineStr">
        <is>
          <t>P10</t>
        </is>
      </c>
      <c r="B17" s="45" t="n">
        <v>3</v>
      </c>
      <c r="C17" s="75" t="n">
        <v>58</v>
      </c>
      <c r="D17" s="95" t="n">
        <v>7</v>
      </c>
      <c r="E17" s="45" t="n">
        <v>0</v>
      </c>
      <c r="F17" s="41" t="n"/>
      <c r="G17" s="66" t="n"/>
      <c r="H17" s="67" t="n"/>
      <c r="I17" s="67" t="n"/>
      <c r="J17" s="67" t="n"/>
      <c r="K17" s="68" t="n"/>
      <c r="L17" s="69">
        <f>B17+E17</f>
        <v/>
      </c>
      <c r="M17" s="62">
        <f>F17-L17</f>
        <v/>
      </c>
      <c r="N17" s="62" t="n"/>
      <c r="P17" s="73" t="inlineStr">
        <is>
          <t>P10</t>
        </is>
      </c>
      <c r="Q17" s="45" t="n">
        <v>3</v>
      </c>
      <c r="R17" s="75" t="n">
        <v>58</v>
      </c>
      <c r="S17" s="95" t="n">
        <v>7</v>
      </c>
      <c r="T17" s="45" t="n">
        <v>0</v>
      </c>
      <c r="U17" s="41" t="n">
        <v>4</v>
      </c>
      <c r="V17" s="66" t="n"/>
      <c r="W17" s="67" t="n"/>
      <c r="X17" s="67" t="n"/>
      <c r="Y17" s="67" t="n"/>
      <c r="Z17" s="68" t="n"/>
      <c r="AA17" s="69">
        <f>Q17+T17</f>
        <v/>
      </c>
      <c r="AB17" s="62">
        <f>U17-AA17</f>
        <v/>
      </c>
      <c r="AC17" s="62" t="n"/>
      <c r="AE17" s="73" t="inlineStr">
        <is>
          <t>P10</t>
        </is>
      </c>
      <c r="AF17" s="45" t="n">
        <v>3</v>
      </c>
      <c r="AG17" s="75" t="n">
        <v>58</v>
      </c>
      <c r="AH17" s="95" t="n">
        <v>7</v>
      </c>
      <c r="AI17" s="45" t="n">
        <v>0</v>
      </c>
      <c r="AJ17" s="41" t="n"/>
      <c r="AK17" s="66" t="n"/>
      <c r="AL17" s="67" t="n"/>
      <c r="AM17" s="67" t="n"/>
      <c r="AN17" s="67" t="n"/>
      <c r="AO17" s="68" t="n"/>
      <c r="AP17" s="69">
        <f>AF17+AI17</f>
        <v/>
      </c>
      <c r="AQ17" s="62">
        <f>AJ17-AP17</f>
        <v/>
      </c>
      <c r="AR17" s="62" t="n">
        <v>3</v>
      </c>
      <c r="AT17" s="73" t="inlineStr">
        <is>
          <t>P10</t>
        </is>
      </c>
      <c r="AU17" s="45" t="n">
        <v>3</v>
      </c>
      <c r="AV17" s="75" t="n">
        <v>58</v>
      </c>
      <c r="AW17" s="95" t="n">
        <v>7</v>
      </c>
      <c r="AX17" s="45" t="n">
        <v>0</v>
      </c>
      <c r="AY17" s="41" t="n"/>
      <c r="AZ17" s="66" t="n"/>
      <c r="BA17" s="67" t="n"/>
      <c r="BB17" s="67" t="n"/>
      <c r="BC17" s="67" t="n"/>
      <c r="BD17" s="68" t="n"/>
      <c r="BE17" s="69">
        <f>AU17+AX17</f>
        <v/>
      </c>
      <c r="BF17" s="62">
        <f>AY17-BE17</f>
        <v/>
      </c>
      <c r="BG17" s="62" t="n"/>
      <c r="BI17" s="73" t="inlineStr">
        <is>
          <t>P10</t>
        </is>
      </c>
      <c r="BJ17" s="70" t="n">
        <v>3</v>
      </c>
      <c r="BK17" s="62" t="n">
        <v>87</v>
      </c>
      <c r="BL17" s="96" t="n">
        <v>6</v>
      </c>
      <c r="BM17" s="45" t="n">
        <v>1</v>
      </c>
      <c r="BN17" s="65" t="n">
        <v>4</v>
      </c>
      <c r="BO17" s="66" t="n"/>
      <c r="BP17" s="67" t="n"/>
      <c r="BQ17" s="67" t="n"/>
      <c r="BR17" s="67" t="n"/>
      <c r="BS17" s="68" t="n"/>
      <c r="BT17" s="69">
        <f>BJ17+BM17</f>
        <v/>
      </c>
      <c r="BU17" s="62">
        <f>BN17-BT17</f>
        <v/>
      </c>
      <c r="BV17" s="62" t="n">
        <v>2</v>
      </c>
      <c r="BX17" s="73" t="inlineStr">
        <is>
          <t>P10</t>
        </is>
      </c>
      <c r="BY17" s="45" t="n">
        <v>4</v>
      </c>
      <c r="BZ17" s="63" t="n">
        <v>232</v>
      </c>
      <c r="CA17" s="71" t="n">
        <v>6</v>
      </c>
      <c r="CB17" s="45" t="n">
        <v>2</v>
      </c>
      <c r="CC17" s="65" t="n">
        <v>5</v>
      </c>
      <c r="CD17" s="66" t="n"/>
      <c r="CE17" s="67" t="n"/>
      <c r="CF17" s="67" t="n"/>
      <c r="CG17" s="67" t="n"/>
      <c r="CH17" s="68" t="n"/>
      <c r="CI17" s="69">
        <f>BY17+CB17</f>
        <v/>
      </c>
      <c r="CJ17" s="62">
        <f>CC17-CI17</f>
        <v/>
      </c>
      <c r="CK17" s="62" t="n">
        <v>3</v>
      </c>
      <c r="CM17" s="73" t="inlineStr">
        <is>
          <t>P10</t>
        </is>
      </c>
      <c r="CN17" s="45" t="n">
        <v>4</v>
      </c>
      <c r="CO17" s="63" t="n">
        <v>304</v>
      </c>
      <c r="CP17" s="71" t="n">
        <v>5</v>
      </c>
      <c r="CQ17" s="45" t="n"/>
      <c r="CR17" s="65" t="n"/>
      <c r="CS17" s="66" t="n"/>
      <c r="CT17" s="67" t="n"/>
      <c r="CU17" s="67" t="n"/>
      <c r="CV17" s="67" t="n"/>
      <c r="CW17" s="68" t="n"/>
      <c r="CX17" s="69">
        <f>CN17+CQ17</f>
        <v/>
      </c>
      <c r="CY17" s="62">
        <f>CR17-CX17</f>
        <v/>
      </c>
      <c r="CZ17" s="62" t="n">
        <v>3</v>
      </c>
      <c r="DB17" s="73" t="inlineStr">
        <is>
          <t>P10</t>
        </is>
      </c>
      <c r="DC17" s="45" t="n">
        <v>4</v>
      </c>
      <c r="DD17" s="63" t="n">
        <v>304</v>
      </c>
      <c r="DE17" s="71" t="n">
        <v>5</v>
      </c>
      <c r="DF17" s="45" t="n"/>
      <c r="DG17" s="65" t="n"/>
      <c r="DH17" s="66" t="n"/>
      <c r="DI17" s="67" t="n"/>
      <c r="DJ17" s="67" t="n"/>
      <c r="DK17" s="67" t="n"/>
      <c r="DL17" s="68" t="n"/>
      <c r="DM17" s="69">
        <f>DC17+DF17</f>
        <v/>
      </c>
      <c r="DN17" s="62">
        <f>DG17-DM17</f>
        <v/>
      </c>
      <c r="DO17" s="62" t="n">
        <v>3</v>
      </c>
    </row>
    <row r="18" ht="15" customHeight="1" thickBot="1">
      <c r="A18" s="73" t="inlineStr">
        <is>
          <t>P11</t>
        </is>
      </c>
      <c r="B18" s="74" t="n">
        <v>3</v>
      </c>
      <c r="C18" s="75" t="n">
        <v>56</v>
      </c>
      <c r="D18" s="95" t="n">
        <v>5</v>
      </c>
      <c r="E18" s="74" t="n">
        <v>0</v>
      </c>
      <c r="F18" s="42" t="n"/>
      <c r="G18" s="77" t="n"/>
      <c r="H18" s="262" t="n"/>
      <c r="I18" s="262" t="n"/>
      <c r="J18" s="262" t="n"/>
      <c r="K18" s="78" t="n"/>
      <c r="L18" s="69">
        <f>B18+E18</f>
        <v/>
      </c>
      <c r="M18" s="62">
        <f>F18-L18</f>
        <v/>
      </c>
      <c r="N18" s="73" t="n"/>
      <c r="P18" s="73" t="inlineStr">
        <is>
          <t>P11</t>
        </is>
      </c>
      <c r="Q18" s="74" t="n">
        <v>3</v>
      </c>
      <c r="R18" s="75" t="n">
        <v>56</v>
      </c>
      <c r="S18" s="95" t="n">
        <v>5</v>
      </c>
      <c r="T18" s="74" t="n">
        <v>0</v>
      </c>
      <c r="U18" s="42" t="n">
        <v>5</v>
      </c>
      <c r="V18" s="77" t="n"/>
      <c r="W18" s="262" t="n"/>
      <c r="X18" s="262" t="n"/>
      <c r="Y18" s="262" t="n"/>
      <c r="Z18" s="78" t="n"/>
      <c r="AA18" s="69">
        <f>Q18+T18</f>
        <v/>
      </c>
      <c r="AB18" s="62">
        <f>U18-AA18</f>
        <v/>
      </c>
      <c r="AC18" s="73" t="n"/>
      <c r="AE18" s="73" t="inlineStr">
        <is>
          <t>P11</t>
        </is>
      </c>
      <c r="AF18" s="74" t="n">
        <v>3</v>
      </c>
      <c r="AG18" s="75" t="n">
        <v>56</v>
      </c>
      <c r="AH18" s="95" t="n">
        <v>5</v>
      </c>
      <c r="AI18" s="74" t="n">
        <v>0</v>
      </c>
      <c r="AJ18" s="42" t="n"/>
      <c r="AK18" s="77" t="n"/>
      <c r="AL18" s="262" t="n"/>
      <c r="AM18" s="262" t="n"/>
      <c r="AN18" s="262" t="n"/>
      <c r="AO18" s="78" t="n"/>
      <c r="AP18" s="69">
        <f>AF18+AI18</f>
        <v/>
      </c>
      <c r="AQ18" s="62">
        <f>AJ18-AP18</f>
        <v/>
      </c>
      <c r="AR18" s="73" t="n">
        <v>1</v>
      </c>
      <c r="AT18" s="73" t="inlineStr">
        <is>
          <t>P11</t>
        </is>
      </c>
      <c r="AU18" s="74" t="n">
        <v>3</v>
      </c>
      <c r="AV18" s="75" t="n">
        <v>56</v>
      </c>
      <c r="AW18" s="95" t="n">
        <v>5</v>
      </c>
      <c r="AX18" s="74" t="n">
        <v>0</v>
      </c>
      <c r="AY18" s="42" t="n"/>
      <c r="AZ18" s="77" t="n"/>
      <c r="BA18" s="262" t="n"/>
      <c r="BB18" s="262" t="n"/>
      <c r="BC18" s="262" t="n"/>
      <c r="BD18" s="78" t="n"/>
      <c r="BE18" s="69">
        <f>AU18+AX18</f>
        <v/>
      </c>
      <c r="BF18" s="62">
        <f>AY18-BE18</f>
        <v/>
      </c>
      <c r="BG18" s="73" t="n"/>
      <c r="BI18" s="73" t="inlineStr">
        <is>
          <t>P11</t>
        </is>
      </c>
      <c r="BJ18" s="79" t="n">
        <v>3</v>
      </c>
      <c r="BK18" s="73" t="n">
        <v>83</v>
      </c>
      <c r="BL18" s="96" t="n">
        <v>8</v>
      </c>
      <c r="BM18" s="74" t="n">
        <v>1</v>
      </c>
      <c r="BN18" s="76" t="n">
        <v>4</v>
      </c>
      <c r="BO18" s="77" t="n"/>
      <c r="BP18" s="262" t="n"/>
      <c r="BQ18" s="262" t="n"/>
      <c r="BR18" s="262" t="n"/>
      <c r="BS18" s="78" t="n"/>
      <c r="BT18" s="69">
        <f>BJ18+BM18</f>
        <v/>
      </c>
      <c r="BU18" s="62">
        <f>BN18-BT18</f>
        <v/>
      </c>
      <c r="BV18" s="73" t="n">
        <v>2</v>
      </c>
      <c r="BX18" s="73" t="inlineStr">
        <is>
          <t>P11</t>
        </is>
      </c>
      <c r="BY18" s="74" t="n">
        <v>3</v>
      </c>
      <c r="BZ18" s="75" t="n">
        <v>97</v>
      </c>
      <c r="CA18" s="71" t="n">
        <v>8</v>
      </c>
      <c r="CB18" s="74" t="n">
        <v>2</v>
      </c>
      <c r="CC18" s="76" t="n">
        <v>4</v>
      </c>
      <c r="CD18" s="77" t="n"/>
      <c r="CE18" s="262" t="n"/>
      <c r="CF18" s="262" t="n"/>
      <c r="CG18" s="262" t="n"/>
      <c r="CH18" s="78" t="n"/>
      <c r="CI18" s="69">
        <f>BY18+CB18</f>
        <v/>
      </c>
      <c r="CJ18" s="62">
        <f>CC18-CI18</f>
        <v/>
      </c>
      <c r="CK18" s="73" t="n">
        <v>3</v>
      </c>
      <c r="CM18" s="73" t="inlineStr">
        <is>
          <t>P11</t>
        </is>
      </c>
      <c r="CN18" s="74" t="n">
        <v>4</v>
      </c>
      <c r="CO18" s="75" t="n">
        <v>314</v>
      </c>
      <c r="CP18" s="71" t="n">
        <v>13</v>
      </c>
      <c r="CQ18" s="74" t="n"/>
      <c r="CR18" s="76" t="n"/>
      <c r="CS18" s="77" t="n"/>
      <c r="CT18" s="262" t="n"/>
      <c r="CU18" s="262" t="n"/>
      <c r="CV18" s="262" t="n"/>
      <c r="CW18" s="78" t="n"/>
      <c r="CX18" s="69">
        <f>CN18+CQ18</f>
        <v/>
      </c>
      <c r="CY18" s="62">
        <f>CR18-CX18</f>
        <v/>
      </c>
      <c r="CZ18" s="73" t="n">
        <v>3</v>
      </c>
      <c r="DB18" s="73" t="inlineStr">
        <is>
          <t>P11</t>
        </is>
      </c>
      <c r="DC18" s="74" t="n">
        <v>4</v>
      </c>
      <c r="DD18" s="75" t="n">
        <v>314</v>
      </c>
      <c r="DE18" s="71" t="n">
        <v>13</v>
      </c>
      <c r="DF18" s="74" t="n"/>
      <c r="DG18" s="76" t="n"/>
      <c r="DH18" s="77" t="n"/>
      <c r="DI18" s="262" t="n"/>
      <c r="DJ18" s="262" t="n"/>
      <c r="DK18" s="262" t="n"/>
      <c r="DL18" s="78" t="n"/>
      <c r="DM18" s="69">
        <f>DC18+DF18</f>
        <v/>
      </c>
      <c r="DN18" s="62">
        <f>DG18-DM18</f>
        <v/>
      </c>
      <c r="DO18" s="73" t="n">
        <v>3</v>
      </c>
    </row>
    <row r="19" ht="15" customHeight="1" thickBot="1">
      <c r="A19" s="73" t="inlineStr">
        <is>
          <t>P12</t>
        </is>
      </c>
      <c r="B19" s="74" t="n">
        <v>3</v>
      </c>
      <c r="C19" s="73" t="n">
        <v>56</v>
      </c>
      <c r="D19" s="96" t="n">
        <v>15</v>
      </c>
      <c r="E19" s="74" t="n">
        <v>0</v>
      </c>
      <c r="F19" s="42" t="n"/>
      <c r="G19" s="77" t="n"/>
      <c r="H19" s="262" t="n"/>
      <c r="I19" s="262" t="n"/>
      <c r="J19" s="262" t="n"/>
      <c r="K19" s="78" t="n"/>
      <c r="L19" s="69" t="n">
        <v>3</v>
      </c>
      <c r="M19" s="62">
        <f>F19-L19</f>
        <v/>
      </c>
      <c r="N19" s="73" t="n"/>
      <c r="P19" s="73" t="inlineStr">
        <is>
          <t>P12</t>
        </is>
      </c>
      <c r="Q19" s="74" t="n">
        <v>3</v>
      </c>
      <c r="R19" s="73" t="n">
        <v>56</v>
      </c>
      <c r="S19" s="96" t="n">
        <v>15</v>
      </c>
      <c r="T19" s="74" t="n">
        <v>0</v>
      </c>
      <c r="U19" s="42" t="n">
        <v>3</v>
      </c>
      <c r="V19" s="77" t="n"/>
      <c r="W19" s="262" t="n"/>
      <c r="X19" s="262" t="n"/>
      <c r="Y19" s="262" t="n"/>
      <c r="Z19" s="78" t="n"/>
      <c r="AA19" s="69" t="n">
        <v>3</v>
      </c>
      <c r="AB19" s="62">
        <f>U19-AA19</f>
        <v/>
      </c>
      <c r="AC19" s="73" t="n"/>
      <c r="AE19" s="73" t="inlineStr">
        <is>
          <t>P12</t>
        </is>
      </c>
      <c r="AF19" s="74" t="n">
        <v>3</v>
      </c>
      <c r="AG19" s="73" t="n">
        <v>56</v>
      </c>
      <c r="AH19" s="96" t="n">
        <v>15</v>
      </c>
      <c r="AI19" s="74" t="n">
        <v>0</v>
      </c>
      <c r="AJ19" s="42" t="n"/>
      <c r="AK19" s="77" t="n"/>
      <c r="AL19" s="262" t="n"/>
      <c r="AM19" s="262" t="n"/>
      <c r="AN19" s="262" t="n"/>
      <c r="AO19" s="78" t="n"/>
      <c r="AP19" s="69" t="n">
        <v>3</v>
      </c>
      <c r="AQ19" s="62">
        <f>AJ19-AP19</f>
        <v/>
      </c>
      <c r="AR19" s="73" t="n">
        <v>1</v>
      </c>
      <c r="AT19" s="73" t="inlineStr">
        <is>
          <t>P12</t>
        </is>
      </c>
      <c r="AU19" s="74" t="n">
        <v>3</v>
      </c>
      <c r="AV19" s="73" t="n">
        <v>56</v>
      </c>
      <c r="AW19" s="96" t="n">
        <v>15</v>
      </c>
      <c r="AX19" s="74" t="n">
        <v>0</v>
      </c>
      <c r="AY19" s="42" t="n"/>
      <c r="AZ19" s="77" t="n"/>
      <c r="BA19" s="262" t="n"/>
      <c r="BB19" s="262" t="n"/>
      <c r="BC19" s="262" t="n"/>
      <c r="BD19" s="78" t="n"/>
      <c r="BE19" s="69" t="n">
        <v>3</v>
      </c>
      <c r="BF19" s="62">
        <f>AY19-BE19</f>
        <v/>
      </c>
      <c r="BG19" s="73" t="n"/>
      <c r="BI19" s="73" t="inlineStr">
        <is>
          <t>P12</t>
        </is>
      </c>
      <c r="BJ19" s="79" t="n">
        <v>3</v>
      </c>
      <c r="BK19" s="73" t="n">
        <v>66</v>
      </c>
      <c r="BL19" s="96" t="n">
        <v>14</v>
      </c>
      <c r="BM19" s="74" t="n">
        <v>0</v>
      </c>
      <c r="BN19" s="76" t="n">
        <v>4</v>
      </c>
      <c r="BO19" s="77" t="n"/>
      <c r="BP19" s="262" t="n"/>
      <c r="BQ19" s="262" t="n"/>
      <c r="BR19" s="262" t="n"/>
      <c r="BS19" s="78" t="n"/>
      <c r="BT19" s="69" t="n">
        <v>3</v>
      </c>
      <c r="BU19" s="62">
        <f>BN19-BT19</f>
        <v/>
      </c>
      <c r="BV19" s="73" t="n">
        <v>1</v>
      </c>
      <c r="BX19" s="73" t="inlineStr">
        <is>
          <t>P12</t>
        </is>
      </c>
      <c r="BY19" s="74" t="n">
        <v>3</v>
      </c>
      <c r="BZ19" s="73" t="n">
        <v>58</v>
      </c>
      <c r="CA19" s="71" t="n">
        <v>16</v>
      </c>
      <c r="CB19" s="74" t="n">
        <v>2</v>
      </c>
      <c r="CC19" s="76" t="n">
        <v>4</v>
      </c>
      <c r="CD19" s="77" t="n"/>
      <c r="CE19" s="262" t="n"/>
      <c r="CF19" s="262" t="n"/>
      <c r="CG19" s="262" t="n"/>
      <c r="CH19" s="78" t="n"/>
      <c r="CI19" s="69" t="n">
        <v>3</v>
      </c>
      <c r="CJ19" s="62">
        <f>CC19-CI19</f>
        <v/>
      </c>
      <c r="CK19" s="73" t="n">
        <v>1</v>
      </c>
      <c r="CM19" s="73" t="inlineStr">
        <is>
          <t>P12</t>
        </is>
      </c>
      <c r="CN19" s="74" t="n">
        <v>4</v>
      </c>
      <c r="CO19" s="73" t="n">
        <v>333</v>
      </c>
      <c r="CP19" s="71" t="n">
        <v>9</v>
      </c>
      <c r="CQ19" s="74" t="n"/>
      <c r="CR19" s="76" t="n"/>
      <c r="CS19" s="77" t="n"/>
      <c r="CT19" s="262" t="n"/>
      <c r="CU19" s="262" t="n"/>
      <c r="CV19" s="262" t="n"/>
      <c r="CW19" s="78" t="n"/>
      <c r="CX19" s="69" t="n">
        <v>3</v>
      </c>
      <c r="CY19" s="62">
        <f>CR19-CX19</f>
        <v/>
      </c>
      <c r="CZ19" s="73" t="n">
        <v>1</v>
      </c>
      <c r="DB19" s="73" t="inlineStr">
        <is>
          <t>P12</t>
        </is>
      </c>
      <c r="DC19" s="74" t="n">
        <v>4</v>
      </c>
      <c r="DD19" s="73" t="n">
        <v>333</v>
      </c>
      <c r="DE19" s="71" t="n">
        <v>9</v>
      </c>
      <c r="DF19" s="74" t="n"/>
      <c r="DG19" s="76" t="n"/>
      <c r="DH19" s="77" t="n"/>
      <c r="DI19" s="262" t="n"/>
      <c r="DJ19" s="262" t="n"/>
      <c r="DK19" s="262" t="n"/>
      <c r="DL19" s="78" t="n"/>
      <c r="DM19" s="69" t="n">
        <v>3</v>
      </c>
      <c r="DN19" s="62">
        <f>DG19-DM19</f>
        <v/>
      </c>
      <c r="DO19" s="73" t="n">
        <v>1</v>
      </c>
    </row>
    <row r="20" ht="15" customHeight="1" thickBot="1">
      <c r="A20" s="73" t="inlineStr">
        <is>
          <t>P13</t>
        </is>
      </c>
      <c r="B20" s="80" t="n">
        <v>3</v>
      </c>
      <c r="C20" s="73" t="n">
        <v>60</v>
      </c>
      <c r="D20" s="96" t="n">
        <v>17</v>
      </c>
      <c r="E20" s="74" t="n">
        <v>1</v>
      </c>
      <c r="F20" s="42" t="n"/>
      <c r="G20" s="77" t="n"/>
      <c r="H20" s="262" t="n"/>
      <c r="I20" s="262" t="n"/>
      <c r="J20" s="262" t="n"/>
      <c r="K20" s="78" t="n"/>
      <c r="L20" s="69">
        <f>B20+E20</f>
        <v/>
      </c>
      <c r="M20" s="62">
        <f>F20-L20</f>
        <v/>
      </c>
      <c r="N20" s="73" t="n"/>
      <c r="P20" s="73" t="inlineStr">
        <is>
          <t>P13</t>
        </is>
      </c>
      <c r="Q20" s="80" t="n">
        <v>3</v>
      </c>
      <c r="R20" s="73" t="n">
        <v>60</v>
      </c>
      <c r="S20" s="96" t="n">
        <v>17</v>
      </c>
      <c r="T20" s="74" t="n">
        <v>1</v>
      </c>
      <c r="U20" s="42" t="n">
        <v>3</v>
      </c>
      <c r="V20" s="77" t="n"/>
      <c r="W20" s="262" t="n"/>
      <c r="X20" s="262" t="n"/>
      <c r="Y20" s="262" t="n"/>
      <c r="Z20" s="78" t="n"/>
      <c r="AA20" s="69">
        <f>Q20+T20</f>
        <v/>
      </c>
      <c r="AB20" s="62">
        <f>U20-AA20</f>
        <v/>
      </c>
      <c r="AC20" s="73" t="n"/>
      <c r="AE20" s="73" t="inlineStr">
        <is>
          <t>P13</t>
        </is>
      </c>
      <c r="AF20" s="80" t="n">
        <v>3</v>
      </c>
      <c r="AG20" s="73" t="n">
        <v>60</v>
      </c>
      <c r="AH20" s="96" t="n">
        <v>17</v>
      </c>
      <c r="AI20" s="74" t="n">
        <v>1</v>
      </c>
      <c r="AJ20" s="42" t="n"/>
      <c r="AK20" s="77" t="n"/>
      <c r="AL20" s="262" t="n"/>
      <c r="AM20" s="262" t="n"/>
      <c r="AN20" s="262" t="n"/>
      <c r="AO20" s="78" t="n"/>
      <c r="AP20" s="69">
        <f>AF20+AI20</f>
        <v/>
      </c>
      <c r="AQ20" s="62">
        <f>AJ20-AP20</f>
        <v/>
      </c>
      <c r="AR20" s="73" t="n">
        <v>0</v>
      </c>
      <c r="AT20" s="73" t="inlineStr">
        <is>
          <t>P13</t>
        </is>
      </c>
      <c r="AU20" s="80" t="n">
        <v>3</v>
      </c>
      <c r="AV20" s="73" t="n">
        <v>60</v>
      </c>
      <c r="AW20" s="96" t="n">
        <v>17</v>
      </c>
      <c r="AX20" s="74" t="n">
        <v>1</v>
      </c>
      <c r="AY20" s="42" t="n"/>
      <c r="AZ20" s="77" t="n"/>
      <c r="BA20" s="262" t="n"/>
      <c r="BB20" s="262" t="n"/>
      <c r="BC20" s="262" t="n"/>
      <c r="BD20" s="78" t="n"/>
      <c r="BE20" s="69">
        <f>AU20+AX20</f>
        <v/>
      </c>
      <c r="BF20" s="62">
        <f>AY20-BE20</f>
        <v/>
      </c>
      <c r="BG20" s="73" t="n"/>
      <c r="BI20" s="73" t="inlineStr">
        <is>
          <t>P13</t>
        </is>
      </c>
      <c r="BJ20" s="79" t="n">
        <v>3</v>
      </c>
      <c r="BK20" s="73" t="n">
        <v>76</v>
      </c>
      <c r="BL20" s="96" t="n">
        <v>12</v>
      </c>
      <c r="BM20" s="74" t="n">
        <v>1</v>
      </c>
      <c r="BN20" s="76" t="n">
        <v>4</v>
      </c>
      <c r="BO20" s="77" t="n"/>
      <c r="BP20" s="262" t="n"/>
      <c r="BQ20" s="262" t="n"/>
      <c r="BR20" s="262" t="n"/>
      <c r="BS20" s="78" t="n"/>
      <c r="BT20" s="69">
        <f>BJ20+BM20</f>
        <v/>
      </c>
      <c r="BU20" s="62">
        <f>BN20-BT20</f>
        <v/>
      </c>
      <c r="BV20" s="73" t="n">
        <v>2</v>
      </c>
      <c r="BX20" s="73" t="inlineStr">
        <is>
          <t>P13</t>
        </is>
      </c>
      <c r="BY20" s="80" t="n">
        <v>3</v>
      </c>
      <c r="BZ20" s="73" t="n">
        <v>45</v>
      </c>
      <c r="CA20" s="71" t="n">
        <v>18</v>
      </c>
      <c r="CB20" s="74" t="n">
        <v>2</v>
      </c>
      <c r="CC20" s="76" t="n">
        <v>2</v>
      </c>
      <c r="CD20" s="77" t="n"/>
      <c r="CE20" s="262" t="n"/>
      <c r="CF20" s="262" t="n"/>
      <c r="CG20" s="262" t="n"/>
      <c r="CH20" s="78" t="n"/>
      <c r="CI20" s="69">
        <f>BY20+CB20</f>
        <v/>
      </c>
      <c r="CJ20" s="62">
        <f>CC20-CI20</f>
        <v/>
      </c>
      <c r="CK20" s="73" t="n">
        <v>5</v>
      </c>
      <c r="CM20" s="73" t="inlineStr">
        <is>
          <t>P13</t>
        </is>
      </c>
      <c r="CN20" s="74" t="n">
        <v>5</v>
      </c>
      <c r="CO20" s="73" t="n">
        <v>420</v>
      </c>
      <c r="CP20" s="71" t="n">
        <v>1</v>
      </c>
      <c r="CQ20" s="74" t="n"/>
      <c r="CR20" s="76" t="n"/>
      <c r="CS20" s="77" t="n"/>
      <c r="CT20" s="262" t="n"/>
      <c r="CU20" s="262" t="n"/>
      <c r="CV20" s="262" t="n"/>
      <c r="CW20" s="78" t="n"/>
      <c r="CX20" s="69">
        <f>CN20+CQ20</f>
        <v/>
      </c>
      <c r="CY20" s="62">
        <f>CR20-CX20</f>
        <v/>
      </c>
      <c r="CZ20" s="73" t="n">
        <v>5</v>
      </c>
      <c r="DB20" s="73" t="inlineStr">
        <is>
          <t>P13</t>
        </is>
      </c>
      <c r="DC20" s="74" t="n">
        <v>5</v>
      </c>
      <c r="DD20" s="73" t="n">
        <v>420</v>
      </c>
      <c r="DE20" s="71" t="n">
        <v>1</v>
      </c>
      <c r="DF20" s="74" t="n"/>
      <c r="DG20" s="76" t="n"/>
      <c r="DH20" s="77" t="n"/>
      <c r="DI20" s="262" t="n"/>
      <c r="DJ20" s="262" t="n"/>
      <c r="DK20" s="262" t="n"/>
      <c r="DL20" s="78" t="n"/>
      <c r="DM20" s="69">
        <f>DC20+DF20</f>
        <v/>
      </c>
      <c r="DN20" s="62">
        <f>DG20-DM20</f>
        <v/>
      </c>
      <c r="DO20" s="73" t="n">
        <v>5</v>
      </c>
    </row>
    <row r="21" ht="15" customHeight="1" thickBot="1">
      <c r="A21" s="73" t="inlineStr">
        <is>
          <t>P14</t>
        </is>
      </c>
      <c r="B21" s="74" t="n">
        <v>3</v>
      </c>
      <c r="C21" s="75" t="n">
        <v>92</v>
      </c>
      <c r="D21" s="95" t="n">
        <v>9</v>
      </c>
      <c r="E21" s="74" t="n">
        <v>0</v>
      </c>
      <c r="F21" s="42" t="n"/>
      <c r="G21" s="77" t="n"/>
      <c r="H21" s="262" t="n"/>
      <c r="I21" s="262" t="n"/>
      <c r="J21" s="262" t="n"/>
      <c r="K21" s="78" t="n"/>
      <c r="L21" s="69">
        <f>B21+E21</f>
        <v/>
      </c>
      <c r="M21" s="62">
        <f>F21-L21</f>
        <v/>
      </c>
      <c r="N21" s="73" t="n"/>
      <c r="P21" s="73" t="inlineStr">
        <is>
          <t>P14</t>
        </is>
      </c>
      <c r="Q21" s="74" t="n">
        <v>3</v>
      </c>
      <c r="R21" s="75" t="n">
        <v>92</v>
      </c>
      <c r="S21" s="95" t="n">
        <v>9</v>
      </c>
      <c r="T21" s="74" t="n">
        <v>0</v>
      </c>
      <c r="U21" s="42" t="n">
        <v>5</v>
      </c>
      <c r="V21" s="77" t="n"/>
      <c r="W21" s="262" t="n"/>
      <c r="X21" s="262" t="n"/>
      <c r="Y21" s="262" t="n"/>
      <c r="Z21" s="78" t="n"/>
      <c r="AA21" s="69">
        <f>Q21+T21</f>
        <v/>
      </c>
      <c r="AB21" s="62">
        <f>U21-AA21</f>
        <v/>
      </c>
      <c r="AC21" s="73" t="n"/>
      <c r="AE21" s="73" t="inlineStr">
        <is>
          <t>P14</t>
        </is>
      </c>
      <c r="AF21" s="74" t="n">
        <v>3</v>
      </c>
      <c r="AG21" s="75" t="n">
        <v>92</v>
      </c>
      <c r="AH21" s="95" t="n">
        <v>9</v>
      </c>
      <c r="AI21" s="74" t="n">
        <v>0</v>
      </c>
      <c r="AJ21" s="42" t="n"/>
      <c r="AK21" s="77" t="n"/>
      <c r="AL21" s="262" t="n"/>
      <c r="AM21" s="262" t="n"/>
      <c r="AN21" s="262" t="n"/>
      <c r="AO21" s="78" t="n"/>
      <c r="AP21" s="69">
        <f>AF21+AI21</f>
        <v/>
      </c>
      <c r="AQ21" s="62">
        <f>AJ21-AP21</f>
        <v/>
      </c>
      <c r="AR21" s="73" t="n">
        <v>1</v>
      </c>
      <c r="AT21" s="73" t="inlineStr">
        <is>
          <t>P14</t>
        </is>
      </c>
      <c r="AU21" s="74" t="n">
        <v>3</v>
      </c>
      <c r="AV21" s="75" t="n">
        <v>92</v>
      </c>
      <c r="AW21" s="95" t="n">
        <v>9</v>
      </c>
      <c r="AX21" s="74" t="n">
        <v>0</v>
      </c>
      <c r="AY21" s="42" t="n"/>
      <c r="AZ21" s="77" t="n"/>
      <c r="BA21" s="262" t="n"/>
      <c r="BB21" s="262" t="n"/>
      <c r="BC21" s="262" t="n"/>
      <c r="BD21" s="78" t="n"/>
      <c r="BE21" s="69">
        <f>AU21+AX21</f>
        <v/>
      </c>
      <c r="BF21" s="62">
        <f>AY21-BE21</f>
        <v/>
      </c>
      <c r="BG21" s="73" t="n"/>
      <c r="BI21" s="73" t="inlineStr">
        <is>
          <t>P14</t>
        </is>
      </c>
      <c r="BJ21" s="79" t="n">
        <v>3</v>
      </c>
      <c r="BK21" s="73" t="n">
        <v>96</v>
      </c>
      <c r="BL21" s="96" t="n">
        <v>4</v>
      </c>
      <c r="BM21" s="74" t="n">
        <v>1</v>
      </c>
      <c r="BN21" s="76" t="n">
        <v>4</v>
      </c>
      <c r="BO21" s="77" t="n"/>
      <c r="BP21" s="262" t="n"/>
      <c r="BQ21" s="262" t="n"/>
      <c r="BR21" s="262" t="n"/>
      <c r="BS21" s="78" t="n"/>
      <c r="BT21" s="69">
        <f>BJ21+BM21</f>
        <v/>
      </c>
      <c r="BU21" s="62">
        <f>BN21-BT21</f>
        <v/>
      </c>
      <c r="BV21" s="73" t="n">
        <v>2</v>
      </c>
      <c r="BX21" s="73" t="inlineStr">
        <is>
          <t>P14</t>
        </is>
      </c>
      <c r="BY21" s="74" t="n">
        <v>4</v>
      </c>
      <c r="BZ21" s="73" t="n">
        <v>245</v>
      </c>
      <c r="CA21" s="71" t="n">
        <v>2</v>
      </c>
      <c r="CB21" s="74" t="n">
        <v>2</v>
      </c>
      <c r="CC21" s="76" t="n">
        <v>5</v>
      </c>
      <c r="CD21" s="77" t="n"/>
      <c r="CE21" s="262" t="n"/>
      <c r="CF21" s="262" t="n"/>
      <c r="CG21" s="262" t="n"/>
      <c r="CH21" s="78" t="n"/>
      <c r="CI21" s="69">
        <f>BY21+CB21</f>
        <v/>
      </c>
      <c r="CJ21" s="62">
        <f>CC21-CI21</f>
        <v/>
      </c>
      <c r="CK21" s="73" t="n">
        <v>3</v>
      </c>
      <c r="CM21" s="73" t="inlineStr">
        <is>
          <t>P14</t>
        </is>
      </c>
      <c r="CN21" s="74" t="n">
        <v>3</v>
      </c>
      <c r="CO21" s="73" t="n">
        <v>128</v>
      </c>
      <c r="CP21" s="71" t="n">
        <v>11</v>
      </c>
      <c r="CQ21" s="74" t="n"/>
      <c r="CR21" s="76" t="n"/>
      <c r="CS21" s="77" t="n"/>
      <c r="CT21" s="262" t="n"/>
      <c r="CU21" s="262" t="n"/>
      <c r="CV21" s="262" t="n"/>
      <c r="CW21" s="78" t="n"/>
      <c r="CX21" s="69">
        <f>CN21+CQ21</f>
        <v/>
      </c>
      <c r="CY21" s="62">
        <f>CR21-CX21</f>
        <v/>
      </c>
      <c r="CZ21" s="73" t="n">
        <v>3</v>
      </c>
      <c r="DB21" s="73" t="inlineStr">
        <is>
          <t>P14</t>
        </is>
      </c>
      <c r="DC21" s="74" t="n">
        <v>3</v>
      </c>
      <c r="DD21" s="73" t="n">
        <v>128</v>
      </c>
      <c r="DE21" s="71" t="n">
        <v>11</v>
      </c>
      <c r="DF21" s="74" t="n"/>
      <c r="DG21" s="76" t="n"/>
      <c r="DH21" s="77" t="n"/>
      <c r="DI21" s="262" t="n"/>
      <c r="DJ21" s="262" t="n"/>
      <c r="DK21" s="262" t="n"/>
      <c r="DL21" s="78" t="n"/>
      <c r="DM21" s="69">
        <f>DC21+DF21</f>
        <v/>
      </c>
      <c r="DN21" s="62">
        <f>DG21-DM21</f>
        <v/>
      </c>
      <c r="DO21" s="73" t="n">
        <v>3</v>
      </c>
    </row>
    <row r="22" ht="15" customHeight="1" thickBot="1">
      <c r="A22" s="73" t="inlineStr">
        <is>
          <t>P15</t>
        </is>
      </c>
      <c r="B22" s="80" t="n">
        <v>3</v>
      </c>
      <c r="C22" s="75" t="n">
        <v>123</v>
      </c>
      <c r="D22" s="95" t="n">
        <v>3</v>
      </c>
      <c r="E22" s="74" t="n">
        <v>1</v>
      </c>
      <c r="F22" s="42" t="n"/>
      <c r="G22" s="77" t="n"/>
      <c r="H22" s="262" t="n"/>
      <c r="I22" s="262" t="n"/>
      <c r="J22" s="262" t="n"/>
      <c r="K22" s="78" t="n"/>
      <c r="L22" s="69">
        <f>B22+E22</f>
        <v/>
      </c>
      <c r="M22" s="62">
        <f>F22-L22</f>
        <v/>
      </c>
      <c r="N22" s="73" t="n"/>
      <c r="P22" s="73" t="inlineStr">
        <is>
          <t>P15</t>
        </is>
      </c>
      <c r="Q22" s="80" t="n">
        <v>3</v>
      </c>
      <c r="R22" s="75" t="n">
        <v>123</v>
      </c>
      <c r="S22" s="95" t="n">
        <v>3</v>
      </c>
      <c r="T22" s="74" t="n">
        <v>1</v>
      </c>
      <c r="U22" s="42" t="n">
        <v>4</v>
      </c>
      <c r="V22" s="77" t="n"/>
      <c r="W22" s="262" t="n"/>
      <c r="X22" s="262" t="n"/>
      <c r="Y22" s="262" t="n"/>
      <c r="Z22" s="78" t="n"/>
      <c r="AA22" s="69">
        <f>Q22+T22</f>
        <v/>
      </c>
      <c r="AB22" s="62">
        <f>U22-AA22</f>
        <v/>
      </c>
      <c r="AC22" s="73" t="n"/>
      <c r="AE22" s="73" t="inlineStr">
        <is>
          <t>P15</t>
        </is>
      </c>
      <c r="AF22" s="80" t="n">
        <v>3</v>
      </c>
      <c r="AG22" s="75" t="n">
        <v>123</v>
      </c>
      <c r="AH22" s="95" t="n">
        <v>3</v>
      </c>
      <c r="AI22" s="74" t="n">
        <v>1</v>
      </c>
      <c r="AJ22" s="42" t="n"/>
      <c r="AK22" s="77" t="n"/>
      <c r="AL22" s="262" t="n"/>
      <c r="AM22" s="262" t="n"/>
      <c r="AN22" s="262" t="n"/>
      <c r="AO22" s="78" t="n"/>
      <c r="AP22" s="69">
        <f>AF22+AI22</f>
        <v/>
      </c>
      <c r="AQ22" s="62">
        <f>AJ22-AP22</f>
        <v/>
      </c>
      <c r="AR22" s="73" t="n">
        <v>2</v>
      </c>
      <c r="AT22" s="73" t="inlineStr">
        <is>
          <t>P15</t>
        </is>
      </c>
      <c r="AU22" s="80" t="n">
        <v>3</v>
      </c>
      <c r="AV22" s="75" t="n">
        <v>123</v>
      </c>
      <c r="AW22" s="95" t="n">
        <v>3</v>
      </c>
      <c r="AX22" s="74" t="n">
        <v>1</v>
      </c>
      <c r="AY22" s="42" t="n"/>
      <c r="AZ22" s="77" t="n"/>
      <c r="BA22" s="262" t="n"/>
      <c r="BB22" s="262" t="n"/>
      <c r="BC22" s="262" t="n"/>
      <c r="BD22" s="78" t="n"/>
      <c r="BE22" s="69">
        <f>AU22+AX22</f>
        <v/>
      </c>
      <c r="BF22" s="62">
        <f>AY22-BE22</f>
        <v/>
      </c>
      <c r="BG22" s="73" t="n"/>
      <c r="BI22" s="73" t="inlineStr">
        <is>
          <t>P15</t>
        </is>
      </c>
      <c r="BJ22" s="79" t="n">
        <v>3</v>
      </c>
      <c r="BK22" s="73" t="n">
        <v>104</v>
      </c>
      <c r="BL22" s="96" t="n">
        <v>2</v>
      </c>
      <c r="BM22" s="74" t="n">
        <v>1</v>
      </c>
      <c r="BN22" s="76" t="n">
        <v>4</v>
      </c>
      <c r="BO22" s="77" t="n"/>
      <c r="BP22" s="262" t="n"/>
      <c r="BQ22" s="262" t="n"/>
      <c r="BR22" s="262" t="n"/>
      <c r="BS22" s="78" t="n"/>
      <c r="BT22" s="69">
        <f>BJ22+BM22</f>
        <v/>
      </c>
      <c r="BU22" s="62">
        <f>BN22-BT22</f>
        <v/>
      </c>
      <c r="BV22" s="73" t="n">
        <v>2</v>
      </c>
      <c r="BX22" s="73" t="inlineStr">
        <is>
          <t>P15</t>
        </is>
      </c>
      <c r="BY22" s="80" t="n">
        <v>3</v>
      </c>
      <c r="BZ22" s="75" t="n">
        <v>93</v>
      </c>
      <c r="CA22" s="71" t="n">
        <v>10</v>
      </c>
      <c r="CB22" s="74" t="n">
        <v>3</v>
      </c>
      <c r="CC22" s="76" t="n">
        <v>4</v>
      </c>
      <c r="CD22" s="77" t="n"/>
      <c r="CE22" s="262" t="n"/>
      <c r="CF22" s="262" t="n"/>
      <c r="CG22" s="262" t="n"/>
      <c r="CH22" s="78" t="n"/>
      <c r="CI22" s="69">
        <f>BY22+CB22</f>
        <v/>
      </c>
      <c r="CJ22" s="62">
        <f>CC22-CI22</f>
        <v/>
      </c>
      <c r="CK22" s="73" t="n">
        <v>4</v>
      </c>
      <c r="CM22" s="73" t="inlineStr">
        <is>
          <t>P15</t>
        </is>
      </c>
      <c r="CN22" s="74" t="n">
        <v>4</v>
      </c>
      <c r="CO22" s="75" t="n">
        <v>302</v>
      </c>
      <c r="CP22" s="71" t="n">
        <v>15</v>
      </c>
      <c r="CQ22" s="74" t="n"/>
      <c r="CR22" s="76" t="n"/>
      <c r="CS22" s="77" t="n"/>
      <c r="CT22" s="262" t="n"/>
      <c r="CU22" s="262" t="n"/>
      <c r="CV22" s="262" t="n"/>
      <c r="CW22" s="78" t="n"/>
      <c r="CX22" s="69">
        <f>CN22+CQ22</f>
        <v/>
      </c>
      <c r="CY22" s="62">
        <f>CR22-CX22</f>
        <v/>
      </c>
      <c r="CZ22" s="73" t="n">
        <v>4</v>
      </c>
      <c r="DB22" s="73" t="inlineStr">
        <is>
          <t>P15</t>
        </is>
      </c>
      <c r="DC22" s="74" t="n">
        <v>4</v>
      </c>
      <c r="DD22" s="75" t="n">
        <v>302</v>
      </c>
      <c r="DE22" s="71" t="n">
        <v>15</v>
      </c>
      <c r="DF22" s="74" t="n"/>
      <c r="DG22" s="76" t="n"/>
      <c r="DH22" s="77" t="n"/>
      <c r="DI22" s="262" t="n"/>
      <c r="DJ22" s="262" t="n"/>
      <c r="DK22" s="262" t="n"/>
      <c r="DL22" s="78" t="n"/>
      <c r="DM22" s="69">
        <f>DC22+DF22</f>
        <v/>
      </c>
      <c r="DN22" s="62">
        <f>DG22-DM22</f>
        <v/>
      </c>
      <c r="DO22" s="73" t="n">
        <v>4</v>
      </c>
    </row>
    <row r="23" ht="15" customHeight="1" thickBot="1">
      <c r="A23" s="73" t="inlineStr">
        <is>
          <t>P16</t>
        </is>
      </c>
      <c r="B23" s="80" t="n">
        <v>3</v>
      </c>
      <c r="C23" s="75" t="n">
        <v>118</v>
      </c>
      <c r="D23" s="95" t="n">
        <v>1</v>
      </c>
      <c r="E23" s="74" t="n">
        <v>1</v>
      </c>
      <c r="F23" s="42" t="n"/>
      <c r="G23" s="77" t="n"/>
      <c r="H23" s="262" t="n"/>
      <c r="I23" s="262" t="n"/>
      <c r="J23" s="262" t="n"/>
      <c r="K23" s="78" t="n"/>
      <c r="L23" s="69">
        <f>B23+E23</f>
        <v/>
      </c>
      <c r="M23" s="62">
        <f>F23-L23</f>
        <v/>
      </c>
      <c r="N23" s="73" t="n"/>
      <c r="P23" s="73" t="inlineStr">
        <is>
          <t>P16</t>
        </is>
      </c>
      <c r="Q23" s="80" t="n">
        <v>3</v>
      </c>
      <c r="R23" s="75" t="n">
        <v>118</v>
      </c>
      <c r="S23" s="95" t="n">
        <v>1</v>
      </c>
      <c r="T23" s="74" t="n">
        <v>1</v>
      </c>
      <c r="U23" s="42" t="n">
        <v>4</v>
      </c>
      <c r="V23" s="77" t="n"/>
      <c r="W23" s="262" t="n"/>
      <c r="X23" s="262" t="n"/>
      <c r="Y23" s="262" t="n"/>
      <c r="Z23" s="78" t="n"/>
      <c r="AA23" s="69">
        <f>Q23+T23</f>
        <v/>
      </c>
      <c r="AB23" s="62">
        <f>U23-AA23</f>
        <v/>
      </c>
      <c r="AC23" s="73" t="n"/>
      <c r="AE23" s="73" t="inlineStr">
        <is>
          <t>P16</t>
        </is>
      </c>
      <c r="AF23" s="80" t="n">
        <v>3</v>
      </c>
      <c r="AG23" s="75" t="n">
        <v>118</v>
      </c>
      <c r="AH23" s="95" t="n">
        <v>1</v>
      </c>
      <c r="AI23" s="74" t="n">
        <v>1</v>
      </c>
      <c r="AJ23" s="42" t="n"/>
      <c r="AK23" s="77" t="n"/>
      <c r="AL23" s="262" t="n"/>
      <c r="AM23" s="262" t="n"/>
      <c r="AN23" s="262" t="n"/>
      <c r="AO23" s="78" t="n"/>
      <c r="AP23" s="69">
        <f>AF23+AI23</f>
        <v/>
      </c>
      <c r="AQ23" s="62">
        <f>AJ23-AP23</f>
        <v/>
      </c>
      <c r="AR23" s="73" t="n">
        <v>2</v>
      </c>
      <c r="AT23" s="73" t="inlineStr">
        <is>
          <t>P16</t>
        </is>
      </c>
      <c r="AU23" s="80" t="n">
        <v>3</v>
      </c>
      <c r="AV23" s="75" t="n">
        <v>118</v>
      </c>
      <c r="AW23" s="95" t="n">
        <v>1</v>
      </c>
      <c r="AX23" s="74" t="n">
        <v>1</v>
      </c>
      <c r="AY23" s="42" t="n"/>
      <c r="AZ23" s="77" t="n"/>
      <c r="BA23" s="262" t="n"/>
      <c r="BB23" s="262" t="n"/>
      <c r="BC23" s="262" t="n"/>
      <c r="BD23" s="78" t="n"/>
      <c r="BE23" s="69">
        <f>AU23+AX23</f>
        <v/>
      </c>
      <c r="BF23" s="62">
        <f>AY23-BE23</f>
        <v/>
      </c>
      <c r="BG23" s="73" t="n"/>
      <c r="BI23" s="73" t="inlineStr">
        <is>
          <t>P16</t>
        </is>
      </c>
      <c r="BJ23" s="79" t="n">
        <v>3</v>
      </c>
      <c r="BK23" s="73" t="n">
        <v>65</v>
      </c>
      <c r="BL23" s="96" t="n">
        <v>16</v>
      </c>
      <c r="BM23" s="74" t="n">
        <v>0</v>
      </c>
      <c r="BN23" s="76" t="n">
        <v>4</v>
      </c>
      <c r="BO23" s="77" t="n"/>
      <c r="BP23" s="262" t="n"/>
      <c r="BQ23" s="262" t="n"/>
      <c r="BR23" s="262" t="n"/>
      <c r="BS23" s="78" t="n"/>
      <c r="BT23" s="69">
        <f>BJ23+BM23</f>
        <v/>
      </c>
      <c r="BU23" s="62">
        <f>BN23-BT23</f>
        <v/>
      </c>
      <c r="BV23" s="73" t="n">
        <v>1</v>
      </c>
      <c r="BX23" s="73" t="inlineStr">
        <is>
          <t>P16</t>
        </is>
      </c>
      <c r="BY23" s="80" t="n">
        <v>3</v>
      </c>
      <c r="BZ23" s="75" t="n">
        <v>60</v>
      </c>
      <c r="CA23" s="71" t="n">
        <v>12</v>
      </c>
      <c r="CB23" s="74" t="n">
        <v>2</v>
      </c>
      <c r="CC23" s="76" t="n">
        <v>5</v>
      </c>
      <c r="CD23" s="77" t="n"/>
      <c r="CE23" s="262" t="n"/>
      <c r="CF23" s="262" t="n"/>
      <c r="CG23" s="262" t="n"/>
      <c r="CH23" s="78" t="n"/>
      <c r="CI23" s="69">
        <f>BY23+CB23</f>
        <v/>
      </c>
      <c r="CJ23" s="62">
        <f>CC23-CI23</f>
        <v/>
      </c>
      <c r="CK23" s="73" t="n">
        <v>2</v>
      </c>
      <c r="CM23" s="73" t="inlineStr">
        <is>
          <t>P16</t>
        </is>
      </c>
      <c r="CN23" s="74" t="n">
        <v>4</v>
      </c>
      <c r="CO23" s="75" t="n">
        <v>341</v>
      </c>
      <c r="CP23" s="71" t="n">
        <v>7</v>
      </c>
      <c r="CQ23" s="74" t="n"/>
      <c r="CR23" s="76" t="n"/>
      <c r="CS23" s="77" t="n"/>
      <c r="CT23" s="262" t="n"/>
      <c r="CU23" s="262" t="n"/>
      <c r="CV23" s="262" t="n"/>
      <c r="CW23" s="78" t="n"/>
      <c r="CX23" s="69">
        <f>CN23+CQ23</f>
        <v/>
      </c>
      <c r="CY23" s="62">
        <f>CR23-CX23</f>
        <v/>
      </c>
      <c r="CZ23" s="73" t="n">
        <v>2</v>
      </c>
      <c r="DB23" s="73" t="inlineStr">
        <is>
          <t>P16</t>
        </is>
      </c>
      <c r="DC23" s="74" t="n">
        <v>4</v>
      </c>
      <c r="DD23" s="75" t="n">
        <v>341</v>
      </c>
      <c r="DE23" s="71" t="n">
        <v>7</v>
      </c>
      <c r="DF23" s="74" t="n"/>
      <c r="DG23" s="76" t="n"/>
      <c r="DH23" s="77" t="n"/>
      <c r="DI23" s="262" t="n"/>
      <c r="DJ23" s="262" t="n"/>
      <c r="DK23" s="262" t="n"/>
      <c r="DL23" s="78" t="n"/>
      <c r="DM23" s="69">
        <f>DC23+DF23</f>
        <v/>
      </c>
      <c r="DN23" s="62">
        <f>DG23-DM23</f>
        <v/>
      </c>
      <c r="DO23" s="73" t="n">
        <v>2</v>
      </c>
    </row>
    <row r="24" ht="15" customHeight="1" thickBot="1">
      <c r="A24" s="73" t="inlineStr">
        <is>
          <t>P17</t>
        </is>
      </c>
      <c r="B24" s="74" t="n">
        <v>3</v>
      </c>
      <c r="C24" s="73" t="n">
        <v>67</v>
      </c>
      <c r="D24" s="96" t="n">
        <v>11</v>
      </c>
      <c r="E24" s="74" t="n">
        <v>0</v>
      </c>
      <c r="F24" s="42" t="n"/>
      <c r="G24" s="77" t="n"/>
      <c r="H24" s="262" t="n"/>
      <c r="I24" s="262" t="n"/>
      <c r="J24" s="262" t="n"/>
      <c r="K24" s="78" t="n"/>
      <c r="L24" s="69">
        <f>B24+E24</f>
        <v/>
      </c>
      <c r="M24" s="62">
        <f>F24-L24</f>
        <v/>
      </c>
      <c r="N24" s="73" t="n"/>
      <c r="P24" s="73" t="inlineStr">
        <is>
          <t>P17</t>
        </is>
      </c>
      <c r="Q24" s="74" t="n">
        <v>3</v>
      </c>
      <c r="R24" s="73" t="n">
        <v>67</v>
      </c>
      <c r="S24" s="96" t="n">
        <v>11</v>
      </c>
      <c r="T24" s="74" t="n">
        <v>0</v>
      </c>
      <c r="U24" s="42" t="n">
        <v>4</v>
      </c>
      <c r="V24" s="77" t="n"/>
      <c r="W24" s="262" t="n"/>
      <c r="X24" s="262" t="n"/>
      <c r="Y24" s="262" t="n"/>
      <c r="Z24" s="78" t="n"/>
      <c r="AA24" s="69">
        <f>Q24+T24</f>
        <v/>
      </c>
      <c r="AB24" s="62">
        <f>U24-AA24</f>
        <v/>
      </c>
      <c r="AC24" s="73" t="n"/>
      <c r="AE24" s="73" t="inlineStr">
        <is>
          <t>P17</t>
        </is>
      </c>
      <c r="AF24" s="74" t="n">
        <v>3</v>
      </c>
      <c r="AG24" s="73" t="n">
        <v>67</v>
      </c>
      <c r="AH24" s="96" t="n">
        <v>11</v>
      </c>
      <c r="AI24" s="74" t="n">
        <v>0</v>
      </c>
      <c r="AJ24" s="42" t="n"/>
      <c r="AK24" s="77" t="n"/>
      <c r="AL24" s="262" t="n"/>
      <c r="AM24" s="262" t="n"/>
      <c r="AN24" s="262" t="n"/>
      <c r="AO24" s="78" t="n"/>
      <c r="AP24" s="69">
        <f>AF24+AI24</f>
        <v/>
      </c>
      <c r="AQ24" s="62">
        <f>AJ24-AP24</f>
        <v/>
      </c>
      <c r="AR24" s="73" t="n">
        <v>0</v>
      </c>
      <c r="AT24" s="73" t="inlineStr">
        <is>
          <t>P17</t>
        </is>
      </c>
      <c r="AU24" s="74" t="n">
        <v>3</v>
      </c>
      <c r="AV24" s="73" t="n">
        <v>67</v>
      </c>
      <c r="AW24" s="96" t="n">
        <v>11</v>
      </c>
      <c r="AX24" s="74" t="n">
        <v>0</v>
      </c>
      <c r="AY24" s="42" t="n"/>
      <c r="AZ24" s="77" t="n"/>
      <c r="BA24" s="262" t="n"/>
      <c r="BB24" s="262" t="n"/>
      <c r="BC24" s="262" t="n"/>
      <c r="BD24" s="78" t="n"/>
      <c r="BE24" s="69">
        <f>AU24+AX24</f>
        <v/>
      </c>
      <c r="BF24" s="62">
        <f>AY24-BE24</f>
        <v/>
      </c>
      <c r="BG24" s="73" t="n"/>
      <c r="BI24" s="73" t="inlineStr">
        <is>
          <t>P17</t>
        </is>
      </c>
      <c r="BJ24" s="79" t="n">
        <v>3</v>
      </c>
      <c r="BK24" s="73" t="n">
        <v>91</v>
      </c>
      <c r="BL24" s="96" t="n">
        <v>10</v>
      </c>
      <c r="BM24" s="74" t="n">
        <v>1</v>
      </c>
      <c r="BN24" s="76" t="n">
        <v>5</v>
      </c>
      <c r="BO24" s="77" t="n"/>
      <c r="BP24" s="262" t="n"/>
      <c r="BQ24" s="262" t="n"/>
      <c r="BR24" s="262" t="n"/>
      <c r="BS24" s="78" t="n"/>
      <c r="BT24" s="69">
        <f>BJ24+BM24</f>
        <v/>
      </c>
      <c r="BU24" s="62">
        <f>BN24-BT24</f>
        <v/>
      </c>
      <c r="BV24" s="73" t="n">
        <v>1</v>
      </c>
      <c r="BX24" s="73" t="inlineStr">
        <is>
          <t>P17</t>
        </is>
      </c>
      <c r="BY24" s="74" t="n">
        <v>3</v>
      </c>
      <c r="BZ24" s="73" t="n">
        <v>88</v>
      </c>
      <c r="CA24" s="71" t="n">
        <v>14</v>
      </c>
      <c r="CB24" s="74" t="n">
        <v>2</v>
      </c>
      <c r="CC24" s="76" t="n">
        <v>4</v>
      </c>
      <c r="CD24" s="77" t="n"/>
      <c r="CE24" s="262" t="n"/>
      <c r="CF24" s="262" t="n"/>
      <c r="CG24" s="262" t="n"/>
      <c r="CH24" s="78" t="n"/>
      <c r="CI24" s="69">
        <f>BY24+CB24</f>
        <v/>
      </c>
      <c r="CJ24" s="62">
        <f>CC24-CI24</f>
        <v/>
      </c>
      <c r="CK24" s="73" t="n">
        <v>3</v>
      </c>
      <c r="CM24" s="73" t="inlineStr">
        <is>
          <t>P17</t>
        </is>
      </c>
      <c r="CN24" s="74" t="n">
        <v>3</v>
      </c>
      <c r="CO24" s="73" t="n">
        <v>114</v>
      </c>
      <c r="CP24" s="71" t="n">
        <v>17</v>
      </c>
      <c r="CQ24" s="74" t="n"/>
      <c r="CR24" s="76" t="n"/>
      <c r="CS24" s="77" t="n"/>
      <c r="CT24" s="262" t="n"/>
      <c r="CU24" s="262" t="n"/>
      <c r="CV24" s="262" t="n"/>
      <c r="CW24" s="78" t="n"/>
      <c r="CX24" s="69">
        <f>CN24+CQ24</f>
        <v/>
      </c>
      <c r="CY24" s="62">
        <f>CR24-CX24</f>
        <v/>
      </c>
      <c r="CZ24" s="73" t="n">
        <v>3</v>
      </c>
      <c r="DB24" s="73" t="inlineStr">
        <is>
          <t>P17</t>
        </is>
      </c>
      <c r="DC24" s="74" t="n">
        <v>3</v>
      </c>
      <c r="DD24" s="73" t="n">
        <v>114</v>
      </c>
      <c r="DE24" s="71" t="n">
        <v>17</v>
      </c>
      <c r="DF24" s="74" t="n"/>
      <c r="DG24" s="76" t="n"/>
      <c r="DH24" s="77" t="n"/>
      <c r="DI24" s="262" t="n"/>
      <c r="DJ24" s="262" t="n"/>
      <c r="DK24" s="262" t="n"/>
      <c r="DL24" s="78" t="n"/>
      <c r="DM24" s="69">
        <f>DC24+DF24</f>
        <v/>
      </c>
      <c r="DN24" s="62">
        <f>DG24-DM24</f>
        <v/>
      </c>
      <c r="DO24" s="73" t="n">
        <v>3</v>
      </c>
    </row>
    <row r="25" ht="15" customHeight="1" thickBot="1">
      <c r="A25" s="85" t="inlineStr">
        <is>
          <t>P18</t>
        </is>
      </c>
      <c r="B25" s="74" t="n">
        <v>3</v>
      </c>
      <c r="C25" s="85" t="n">
        <v>75</v>
      </c>
      <c r="D25" s="97" t="n">
        <v>13</v>
      </c>
      <c r="E25" s="74" t="n">
        <v>0</v>
      </c>
      <c r="F25" s="43" t="n"/>
      <c r="G25" s="82" t="n"/>
      <c r="H25" s="83" t="n"/>
      <c r="I25" s="83" t="n"/>
      <c r="J25" s="83" t="n"/>
      <c r="K25" s="84" t="n"/>
      <c r="L25" s="69" t="n">
        <v>3</v>
      </c>
      <c r="M25" s="62">
        <f>F25-L25</f>
        <v/>
      </c>
      <c r="N25" s="85" t="n"/>
      <c r="P25" s="85" t="inlineStr">
        <is>
          <t>P18</t>
        </is>
      </c>
      <c r="Q25" s="74" t="n">
        <v>3</v>
      </c>
      <c r="R25" s="85" t="n">
        <v>75</v>
      </c>
      <c r="S25" s="97" t="n">
        <v>13</v>
      </c>
      <c r="T25" s="74" t="n">
        <v>0</v>
      </c>
      <c r="U25" s="43" t="n">
        <v>4</v>
      </c>
      <c r="V25" s="82" t="n"/>
      <c r="W25" s="83" t="n"/>
      <c r="X25" s="83" t="n"/>
      <c r="Y25" s="83" t="n"/>
      <c r="Z25" s="84" t="n"/>
      <c r="AA25" s="69" t="n">
        <v>3</v>
      </c>
      <c r="AB25" s="62">
        <f>U25-AA25</f>
        <v/>
      </c>
      <c r="AC25" s="85" t="n"/>
      <c r="AE25" s="85" t="inlineStr">
        <is>
          <t>P18</t>
        </is>
      </c>
      <c r="AF25" s="74" t="n">
        <v>3</v>
      </c>
      <c r="AG25" s="85" t="n">
        <v>75</v>
      </c>
      <c r="AH25" s="97" t="n">
        <v>13</v>
      </c>
      <c r="AI25" s="74" t="n">
        <v>0</v>
      </c>
      <c r="AJ25" s="43" t="n"/>
      <c r="AK25" s="82" t="n"/>
      <c r="AL25" s="83" t="n"/>
      <c r="AM25" s="83" t="n"/>
      <c r="AN25" s="83" t="n"/>
      <c r="AO25" s="84" t="n"/>
      <c r="AP25" s="69" t="n">
        <v>3</v>
      </c>
      <c r="AQ25" s="62">
        <f>AJ25-AP25</f>
        <v/>
      </c>
      <c r="AR25" s="85" t="n">
        <v>1</v>
      </c>
      <c r="AT25" s="85" t="inlineStr">
        <is>
          <t>P18</t>
        </is>
      </c>
      <c r="AU25" s="74" t="n">
        <v>3</v>
      </c>
      <c r="AV25" s="85" t="n">
        <v>75</v>
      </c>
      <c r="AW25" s="97" t="n">
        <v>13</v>
      </c>
      <c r="AX25" s="74" t="n">
        <v>0</v>
      </c>
      <c r="AY25" s="43" t="n"/>
      <c r="AZ25" s="82" t="n"/>
      <c r="BA25" s="83" t="n"/>
      <c r="BB25" s="83" t="n"/>
      <c r="BC25" s="83" t="n"/>
      <c r="BD25" s="84" t="n"/>
      <c r="BE25" s="69" t="n">
        <v>3</v>
      </c>
      <c r="BF25" s="62">
        <f>AY25-BE25</f>
        <v/>
      </c>
      <c r="BG25" s="85" t="n"/>
      <c r="BI25" s="85" t="inlineStr">
        <is>
          <t>P18</t>
        </is>
      </c>
      <c r="BJ25" s="79" t="n">
        <v>3</v>
      </c>
      <c r="BK25" s="73" t="n">
        <v>64</v>
      </c>
      <c r="BL25" s="97" t="n">
        <v>18</v>
      </c>
      <c r="BM25" s="85" t="n">
        <v>0</v>
      </c>
      <c r="BN25" s="81" t="n">
        <v>3</v>
      </c>
      <c r="BO25" s="82" t="n"/>
      <c r="BP25" s="83" t="n"/>
      <c r="BQ25" s="83" t="n"/>
      <c r="BR25" s="83" t="n"/>
      <c r="BS25" s="84" t="n"/>
      <c r="BT25" s="69" t="n">
        <v>3</v>
      </c>
      <c r="BU25" s="62">
        <f>BN25-BT25</f>
        <v/>
      </c>
      <c r="BV25" s="85" t="n">
        <v>2</v>
      </c>
      <c r="BX25" s="85" t="inlineStr">
        <is>
          <t>P18</t>
        </is>
      </c>
      <c r="BY25" s="74" t="n">
        <v>3</v>
      </c>
      <c r="BZ25" s="73" t="n">
        <v>181</v>
      </c>
      <c r="CA25" s="98" t="n">
        <v>4</v>
      </c>
      <c r="CB25" s="85" t="n">
        <v>2</v>
      </c>
      <c r="CC25" s="81" t="n">
        <v>4</v>
      </c>
      <c r="CD25" s="82" t="n"/>
      <c r="CE25" s="83" t="n"/>
      <c r="CF25" s="83" t="n"/>
      <c r="CG25" s="83" t="n"/>
      <c r="CH25" s="84" t="n"/>
      <c r="CI25" s="69" t="n">
        <v>3</v>
      </c>
      <c r="CJ25" s="62">
        <f>CC25-CI25</f>
        <v/>
      </c>
      <c r="CK25" s="85" t="n">
        <v>1</v>
      </c>
      <c r="CM25" s="85" t="inlineStr">
        <is>
          <t>P18</t>
        </is>
      </c>
      <c r="CN25" s="74" t="n">
        <v>5</v>
      </c>
      <c r="CO25" s="73" t="n">
        <v>412</v>
      </c>
      <c r="CP25" s="98" t="n">
        <v>3</v>
      </c>
      <c r="CQ25" s="85" t="n"/>
      <c r="CR25" s="81" t="n"/>
      <c r="CS25" s="82" t="n"/>
      <c r="CT25" s="83" t="n"/>
      <c r="CU25" s="83" t="n"/>
      <c r="CV25" s="83" t="n"/>
      <c r="CW25" s="84" t="n"/>
      <c r="CX25" s="69" t="n">
        <v>3</v>
      </c>
      <c r="CY25" s="62">
        <f>CR25-CX25</f>
        <v/>
      </c>
      <c r="CZ25" s="85" t="n">
        <v>1</v>
      </c>
      <c r="DB25" s="85" t="inlineStr">
        <is>
          <t>P18</t>
        </is>
      </c>
      <c r="DC25" s="74" t="n">
        <v>5</v>
      </c>
      <c r="DD25" s="73" t="n">
        <v>412</v>
      </c>
      <c r="DE25" s="98" t="n">
        <v>3</v>
      </c>
      <c r="DF25" s="85" t="n"/>
      <c r="DG25" s="81" t="n"/>
      <c r="DH25" s="82" t="n"/>
      <c r="DI25" s="83" t="n"/>
      <c r="DJ25" s="83" t="n"/>
      <c r="DK25" s="83" t="n"/>
      <c r="DL25" s="84" t="n"/>
      <c r="DM25" s="69" t="n">
        <v>3</v>
      </c>
      <c r="DN25" s="62">
        <f>DG25-DM25</f>
        <v/>
      </c>
      <c r="DO25" s="85" t="n">
        <v>1</v>
      </c>
    </row>
    <row r="26" ht="15" customHeight="1" thickBot="1">
      <c r="A26" s="63" t="inlineStr">
        <is>
          <t>Total</t>
        </is>
      </c>
      <c r="B26" s="99" t="inlineStr">
        <is>
          <t>In</t>
        </is>
      </c>
      <c r="C26" s="23">
        <f>27</f>
        <v/>
      </c>
      <c r="D26" s="44" t="n"/>
      <c r="F26" s="88">
        <f>SUM(F17:F25)</f>
        <v/>
      </c>
      <c r="G26" s="35">
        <f>SUM(G17:G25)</f>
        <v/>
      </c>
      <c r="H26" s="35">
        <f>SUM(H17:H25)</f>
        <v/>
      </c>
      <c r="I26" s="35">
        <f>SUM(I17:I25)</f>
        <v/>
      </c>
      <c r="J26" s="35">
        <f>SUM(J17:J25)</f>
        <v/>
      </c>
      <c r="K26" s="35">
        <f>SUM(K17:K25)</f>
        <v/>
      </c>
      <c r="L26" s="89">
        <f>SUM(L17:L25)</f>
        <v/>
      </c>
      <c r="M26" s="88">
        <f>L26-F31</f>
        <v/>
      </c>
      <c r="N26" s="90">
        <f>SUM(N17:N25)</f>
        <v/>
      </c>
      <c r="P26" s="63" t="inlineStr">
        <is>
          <t>Total</t>
        </is>
      </c>
      <c r="Q26" s="99" t="inlineStr">
        <is>
          <t>In</t>
        </is>
      </c>
      <c r="R26" s="23">
        <f>27</f>
        <v/>
      </c>
      <c r="S26" s="44" t="n"/>
      <c r="U26" s="88">
        <f>SUM(U17:U25)</f>
        <v/>
      </c>
      <c r="V26" s="35">
        <f>SUM(V17:V25)</f>
        <v/>
      </c>
      <c r="W26" s="35">
        <f>SUM(W17:W25)</f>
        <v/>
      </c>
      <c r="X26" s="35">
        <f>SUM(X17:X25)</f>
        <v/>
      </c>
      <c r="Y26" s="35">
        <f>SUM(Y17:Y25)</f>
        <v/>
      </c>
      <c r="Z26" s="35">
        <f>SUM(Z17:Z25)</f>
        <v/>
      </c>
      <c r="AA26" s="89">
        <f>SUM(AA17:AA25)</f>
        <v/>
      </c>
      <c r="AB26" s="88">
        <f>AA26-U31</f>
        <v/>
      </c>
      <c r="AC26" s="90">
        <f>SUM(AC17:AC25)</f>
        <v/>
      </c>
      <c r="AE26" s="63" t="inlineStr">
        <is>
          <t>Total</t>
        </is>
      </c>
      <c r="AF26" s="99" t="inlineStr">
        <is>
          <t>In</t>
        </is>
      </c>
      <c r="AG26" s="23">
        <f>27</f>
        <v/>
      </c>
      <c r="AH26" s="44" t="n"/>
      <c r="AJ26" s="88">
        <f>SUM(AJ17:AJ25)</f>
        <v/>
      </c>
      <c r="AK26" s="35">
        <f>SUM(AK17:AK25)</f>
        <v/>
      </c>
      <c r="AL26" s="35">
        <f>SUM(AL17:AL25)</f>
        <v/>
      </c>
      <c r="AM26" s="35">
        <f>SUM(AM17:AM25)</f>
        <v/>
      </c>
      <c r="AN26" s="35">
        <f>SUM(AN17:AN25)</f>
        <v/>
      </c>
      <c r="AO26" s="35">
        <f>SUM(AO17:AO25)</f>
        <v/>
      </c>
      <c r="AP26" s="89">
        <f>SUM(AP17:AP25)</f>
        <v/>
      </c>
      <c r="AQ26" s="88">
        <f>AP26-AJ31</f>
        <v/>
      </c>
      <c r="AR26" s="90">
        <f>SUM(AR17:AR25)</f>
        <v/>
      </c>
      <c r="AT26" s="63" t="inlineStr">
        <is>
          <t>Total</t>
        </is>
      </c>
      <c r="AU26" s="99" t="inlineStr">
        <is>
          <t>In</t>
        </is>
      </c>
      <c r="AV26" s="23">
        <f>27</f>
        <v/>
      </c>
      <c r="AW26" s="44" t="n"/>
      <c r="AY26" s="88">
        <f>SUM(AY17:AY25)</f>
        <v/>
      </c>
      <c r="AZ26" s="35">
        <f>SUM(AZ17:AZ25)</f>
        <v/>
      </c>
      <c r="BA26" s="35">
        <f>SUM(BA17:BA25)</f>
        <v/>
      </c>
      <c r="BB26" s="35">
        <f>SUM(BB17:BB25)</f>
        <v/>
      </c>
      <c r="BC26" s="35">
        <f>SUM(BC17:BC25)</f>
        <v/>
      </c>
      <c r="BD26" s="35">
        <f>SUM(BD17:BD25)</f>
        <v/>
      </c>
      <c r="BE26" s="89">
        <f>SUM(BE17:BE25)</f>
        <v/>
      </c>
      <c r="BF26" s="88">
        <f>BE26-AY31</f>
        <v/>
      </c>
      <c r="BG26" s="90">
        <f>SUM(BG17:BG25)</f>
        <v/>
      </c>
      <c r="BI26" s="63" t="inlineStr">
        <is>
          <t>Total</t>
        </is>
      </c>
      <c r="BJ26" s="99" t="inlineStr">
        <is>
          <t>In</t>
        </is>
      </c>
      <c r="BK26" s="23">
        <f>27</f>
        <v/>
      </c>
      <c r="BL26" s="44" t="n"/>
      <c r="BN26" s="88">
        <f>SUM(BN17:BN25)</f>
        <v/>
      </c>
      <c r="BO26" s="35">
        <f>SUM(BO17:BO25)</f>
        <v/>
      </c>
      <c r="BP26" s="35">
        <f>SUM(BP17:BP25)</f>
        <v/>
      </c>
      <c r="BQ26" s="35">
        <f>SUM(BQ17:BQ25)</f>
        <v/>
      </c>
      <c r="BR26" s="35">
        <f>SUM(BR17:BR25)</f>
        <v/>
      </c>
      <c r="BS26" s="35">
        <f>SUM(BS17:BS25)</f>
        <v/>
      </c>
      <c r="BT26" s="89">
        <f>SUM(BT17:BT25)</f>
        <v/>
      </c>
      <c r="BU26" s="88">
        <f>BT26-BN31</f>
        <v/>
      </c>
      <c r="BV26" s="90">
        <f>SUM(BV17:BV25)</f>
        <v/>
      </c>
      <c r="BX26" s="63" t="inlineStr">
        <is>
          <t>Total</t>
        </is>
      </c>
      <c r="BY26" s="99" t="inlineStr">
        <is>
          <t>In</t>
        </is>
      </c>
      <c r="BZ26" s="23">
        <f>27</f>
        <v/>
      </c>
      <c r="CA26" s="44" t="n"/>
      <c r="CC26" s="88">
        <f>SUM(CC17:CC25)</f>
        <v/>
      </c>
      <c r="CD26" s="35">
        <f>SUM(CD17:CD25)</f>
        <v/>
      </c>
      <c r="CE26" s="35">
        <f>SUM(CE17:CE25)</f>
        <v/>
      </c>
      <c r="CF26" s="35">
        <f>SUM(CF17:CF25)</f>
        <v/>
      </c>
      <c r="CG26" s="35">
        <f>SUM(CG17:CG25)</f>
        <v/>
      </c>
      <c r="CH26" s="35">
        <f>SUM(CH17:CH25)</f>
        <v/>
      </c>
      <c r="CI26" s="89">
        <f>SUM(CI17:CI25)</f>
        <v/>
      </c>
      <c r="CJ26" s="88">
        <f>CI26-CC31</f>
        <v/>
      </c>
      <c r="CK26" s="90">
        <f>SUM(CK17:CK25)</f>
        <v/>
      </c>
      <c r="CM26" s="63" t="inlineStr">
        <is>
          <t>Total</t>
        </is>
      </c>
      <c r="CN26" s="99" t="inlineStr">
        <is>
          <t>In</t>
        </is>
      </c>
      <c r="CO26" s="23">
        <f>SUM(CN6:CN14)</f>
        <v/>
      </c>
      <c r="CP26" s="44" t="n"/>
      <c r="CR26" s="88">
        <f>SUM(CR17:CR25)</f>
        <v/>
      </c>
      <c r="CS26" s="35">
        <f>SUM(CS17:CS25)</f>
        <v/>
      </c>
      <c r="CT26" s="35">
        <f>SUM(CT17:CT25)</f>
        <v/>
      </c>
      <c r="CU26" s="35">
        <f>SUM(CU17:CU25)</f>
        <v/>
      </c>
      <c r="CV26" s="35">
        <f>SUM(CV17:CV25)</f>
        <v/>
      </c>
      <c r="CW26" s="35">
        <f>SUM(CW17:CW25)</f>
        <v/>
      </c>
      <c r="CX26" s="89">
        <f>SUM(CX17:CX25)</f>
        <v/>
      </c>
      <c r="CY26" s="88">
        <f>CX26-CR31</f>
        <v/>
      </c>
      <c r="CZ26" s="90">
        <f>SUM(CZ17:CZ25)</f>
        <v/>
      </c>
      <c r="DB26" s="63" t="inlineStr">
        <is>
          <t>Total</t>
        </is>
      </c>
      <c r="DC26" s="99" t="inlineStr">
        <is>
          <t>In</t>
        </is>
      </c>
      <c r="DD26" s="23">
        <f>SUM(DC6:DC14)</f>
        <v/>
      </c>
      <c r="DE26" s="44" t="n"/>
      <c r="DG26" s="88">
        <f>SUM(DG17:DG25)</f>
        <v/>
      </c>
      <c r="DH26" s="35">
        <f>SUM(DH17:DH25)</f>
        <v/>
      </c>
      <c r="DI26" s="35">
        <f>SUM(DI17:DI25)</f>
        <v/>
      </c>
      <c r="DJ26" s="35">
        <f>SUM(DJ17:DJ25)</f>
        <v/>
      </c>
      <c r="DK26" s="35">
        <f>SUM(DK17:DK25)</f>
        <v/>
      </c>
      <c r="DL26" s="35">
        <f>SUM(DL17:DL25)</f>
        <v/>
      </c>
      <c r="DM26" s="89">
        <f>SUM(DM17:DM25)</f>
        <v/>
      </c>
      <c r="DN26" s="88">
        <f>DM26-DG31</f>
        <v/>
      </c>
      <c r="DO26" s="90">
        <f>SUM(DO17:DO25)</f>
        <v/>
      </c>
    </row>
    <row r="27" ht="15" customHeight="1" thickBot="1">
      <c r="A27" s="85" t="inlineStr">
        <is>
          <t>705m</t>
        </is>
      </c>
      <c r="B27" s="100" t="inlineStr">
        <is>
          <t>Out</t>
        </is>
      </c>
      <c r="C27" s="28" t="n">
        <v>27</v>
      </c>
      <c r="D27" s="44" t="n"/>
      <c r="E27" s="303" t="inlineStr">
        <is>
          <t>Total In:</t>
        </is>
      </c>
      <c r="F27" s="23" t="n"/>
      <c r="L27" s="285" t="n"/>
      <c r="P27" s="85" t="inlineStr">
        <is>
          <t>705m</t>
        </is>
      </c>
      <c r="Q27" s="100" t="inlineStr">
        <is>
          <t>Out</t>
        </is>
      </c>
      <c r="R27" s="28" t="n">
        <v>27</v>
      </c>
      <c r="S27" s="44" t="n"/>
      <c r="T27" s="303" t="inlineStr">
        <is>
          <t>Total In:</t>
        </is>
      </c>
      <c r="U27" s="23" t="n"/>
      <c r="AA27" s="285" t="n"/>
      <c r="AE27" s="85" t="inlineStr">
        <is>
          <t>705m</t>
        </is>
      </c>
      <c r="AF27" s="100" t="inlineStr">
        <is>
          <t>Out</t>
        </is>
      </c>
      <c r="AG27" s="28" t="n">
        <v>27</v>
      </c>
      <c r="AH27" s="44" t="n"/>
      <c r="AI27" s="303" t="inlineStr">
        <is>
          <t>Total In:</t>
        </is>
      </c>
      <c r="AJ27" s="23" t="n"/>
      <c r="AP27" s="285" t="n"/>
      <c r="AT27" s="85" t="inlineStr">
        <is>
          <t>705m</t>
        </is>
      </c>
      <c r="AU27" s="100" t="inlineStr">
        <is>
          <t>Out</t>
        </is>
      </c>
      <c r="AV27" s="28" t="n">
        <v>27</v>
      </c>
      <c r="AW27" s="44" t="n"/>
      <c r="AX27" s="303" t="inlineStr">
        <is>
          <t>Total In:</t>
        </is>
      </c>
      <c r="AY27" s="23" t="n"/>
      <c r="BE27" s="285" t="n"/>
      <c r="BI27" s="85" t="inlineStr">
        <is>
          <t>705m</t>
        </is>
      </c>
      <c r="BJ27" s="100" t="inlineStr">
        <is>
          <t>Out</t>
        </is>
      </c>
      <c r="BK27" s="28" t="n">
        <v>27</v>
      </c>
      <c r="BL27" s="44" t="n"/>
      <c r="BM27" s="303" t="inlineStr">
        <is>
          <t>Total In:</t>
        </is>
      </c>
      <c r="BN27" s="23" t="n"/>
      <c r="BT27" s="285" t="n"/>
      <c r="BX27" s="85" t="inlineStr">
        <is>
          <t>705m</t>
        </is>
      </c>
      <c r="BY27" s="100" t="inlineStr">
        <is>
          <t>Out</t>
        </is>
      </c>
      <c r="BZ27" s="28" t="n">
        <v>27</v>
      </c>
      <c r="CA27" s="44" t="n"/>
      <c r="CB27" s="303" t="inlineStr">
        <is>
          <t>Total In:</t>
        </is>
      </c>
      <c r="CC27" s="23" t="n"/>
      <c r="CI27" s="285" t="n"/>
      <c r="CM27" s="85" t="inlineStr">
        <is>
          <t>705m</t>
        </is>
      </c>
      <c r="CN27" s="100" t="inlineStr">
        <is>
          <t>Out</t>
        </is>
      </c>
      <c r="CO27" s="28">
        <f>SUM(CN17:CN25)</f>
        <v/>
      </c>
      <c r="CP27" s="44" t="n"/>
      <c r="CQ27" s="303" t="inlineStr">
        <is>
          <t>Total In:</t>
        </is>
      </c>
      <c r="CR27" s="23" t="n"/>
      <c r="CX27" s="285" t="n"/>
      <c r="DB27" s="85" t="inlineStr">
        <is>
          <t>705m</t>
        </is>
      </c>
      <c r="DC27" s="100" t="inlineStr">
        <is>
          <t>Out</t>
        </is>
      </c>
      <c r="DD27" s="28">
        <f>SUM(DC17:DC25)</f>
        <v/>
      </c>
      <c r="DE27" s="44" t="n"/>
      <c r="DF27" s="303" t="inlineStr">
        <is>
          <t>Total In:</t>
        </is>
      </c>
      <c r="DG27" s="23" t="n"/>
      <c r="DM27" s="285" t="n"/>
    </row>
    <row r="28" ht="15" customHeight="1" thickBot="1">
      <c r="D28" s="44" t="n"/>
      <c r="E28" s="103" t="inlineStr">
        <is>
          <t>Gross:</t>
        </is>
      </c>
      <c r="F28" s="25">
        <f>SUM(F6:F14)</f>
        <v/>
      </c>
      <c r="L28" s="285" t="n"/>
      <c r="S28" s="44" t="n"/>
      <c r="T28" s="103" t="inlineStr">
        <is>
          <t>Gross:</t>
        </is>
      </c>
      <c r="U28" s="25">
        <f>SUM(U6:U14)</f>
        <v/>
      </c>
      <c r="AA28" s="285" t="n"/>
      <c r="AH28" s="44" t="n"/>
      <c r="AI28" s="103" t="inlineStr">
        <is>
          <t>Gross:</t>
        </is>
      </c>
      <c r="AJ28" s="25">
        <f>SUM(AJ6:AJ14)</f>
        <v/>
      </c>
      <c r="AP28" s="285" t="n"/>
      <c r="AW28" s="44" t="n"/>
      <c r="AX28" s="103" t="inlineStr">
        <is>
          <t>Gross:</t>
        </is>
      </c>
      <c r="AY28" s="25">
        <f>SUM(AY6:AY14)</f>
        <v/>
      </c>
      <c r="BE28" s="285" t="n"/>
      <c r="BL28" s="44" t="n"/>
      <c r="BM28" s="103" t="inlineStr">
        <is>
          <t>Gross:</t>
        </is>
      </c>
      <c r="BN28" s="25">
        <f>SUM(BN6:BN14)</f>
        <v/>
      </c>
      <c r="BT28" s="285" t="n"/>
      <c r="CA28" s="44" t="n"/>
      <c r="CB28" s="103" t="inlineStr">
        <is>
          <t>Gross:</t>
        </is>
      </c>
      <c r="CC28" s="25">
        <f>SUM(CC6:CC14)</f>
        <v/>
      </c>
      <c r="CE28" s="11" t="inlineStr">
        <is>
          <t>Observations:</t>
        </is>
      </c>
      <c r="CI28" s="285" t="n"/>
      <c r="CP28" s="44" t="n"/>
      <c r="CQ28" s="103" t="inlineStr">
        <is>
          <t>Gross:</t>
        </is>
      </c>
      <c r="CR28" s="25">
        <f>SUM(CR6:CR14)</f>
        <v/>
      </c>
      <c r="CT28" s="11" t="inlineStr">
        <is>
          <t>Observations:</t>
        </is>
      </c>
      <c r="CX28" s="285" t="n"/>
      <c r="DE28" s="44" t="n"/>
      <c r="DF28" s="103" t="inlineStr">
        <is>
          <t>Gross:</t>
        </is>
      </c>
      <c r="DG28" s="25">
        <f>SUM(DG6:DG14)</f>
        <v/>
      </c>
      <c r="DI28" s="11" t="inlineStr">
        <is>
          <t>Observations:</t>
        </is>
      </c>
      <c r="DM28" s="285" t="n"/>
    </row>
    <row r="29" ht="16" customHeight="1" thickBot="1">
      <c r="D29" s="44" t="n"/>
      <c r="E29" s="104" t="inlineStr">
        <is>
          <t>+/-</t>
        </is>
      </c>
      <c r="F29" s="105">
        <f>-1*(C26-F28)</f>
        <v/>
      </c>
      <c r="L29" s="285" t="n"/>
      <c r="S29" s="44" t="n"/>
      <c r="T29" s="104" t="inlineStr">
        <is>
          <t>+/-</t>
        </is>
      </c>
      <c r="U29" s="105">
        <f>-1*(R26-U28)</f>
        <v/>
      </c>
      <c r="AA29" s="285" t="n"/>
      <c r="AH29" s="44" t="n"/>
      <c r="AI29" s="104" t="inlineStr">
        <is>
          <t>+/-</t>
        </is>
      </c>
      <c r="AJ29" s="105">
        <f>-1*(AG26-AJ28)</f>
        <v/>
      </c>
      <c r="AP29" s="285" t="n"/>
      <c r="AW29" s="44" t="n"/>
      <c r="AX29" s="104" t="inlineStr">
        <is>
          <t>+/-</t>
        </is>
      </c>
      <c r="AY29" s="105">
        <f>-1*(AV26-AY28)</f>
        <v/>
      </c>
      <c r="BE29" s="285" t="n"/>
      <c r="BL29" s="44" t="n"/>
      <c r="BM29" s="104" t="inlineStr">
        <is>
          <t>+/-</t>
        </is>
      </c>
      <c r="BN29" s="105">
        <f>-1*(BK26-BN28)</f>
        <v/>
      </c>
      <c r="BP29" s="11" t="inlineStr">
        <is>
          <t>Observations:</t>
        </is>
      </c>
      <c r="BT29" s="285" t="n"/>
      <c r="CA29" s="44" t="n"/>
      <c r="CB29" s="104" t="inlineStr">
        <is>
          <t>+/-</t>
        </is>
      </c>
      <c r="CC29" s="105">
        <f>-1*(BZ26-CC28)</f>
        <v/>
      </c>
      <c r="CE29" s="304" t="inlineStr">
        <is>
          <t>Was with exception of the first hole, good direction on the fairway. Only the chipping/ pitching has to be better. Puts were ok!</t>
        </is>
      </c>
      <c r="CF29" s="22" t="n"/>
      <c r="CG29" s="22" t="n"/>
      <c r="CH29" s="22" t="n"/>
      <c r="CI29" s="22" t="n"/>
      <c r="CJ29" s="22" t="n"/>
      <c r="CK29" s="23" t="n"/>
      <c r="CP29" s="44" t="n"/>
      <c r="CQ29" s="104" t="inlineStr">
        <is>
          <t>+/-</t>
        </is>
      </c>
      <c r="CR29" s="105">
        <f>-1*(CO26-CR28)</f>
        <v/>
      </c>
      <c r="CT29" s="304" t="inlineStr">
        <is>
          <t>Was with exception of the first hole, good direction on the fairway. Only the chipping/ pitching has to be better. Puts were ok!</t>
        </is>
      </c>
      <c r="CU29" s="22" t="n"/>
      <c r="CV29" s="22" t="n"/>
      <c r="CW29" s="22" t="n"/>
      <c r="CX29" s="22" t="n"/>
      <c r="CY29" s="22" t="n"/>
      <c r="CZ29" s="23" t="n"/>
      <c r="DE29" s="44" t="n"/>
      <c r="DF29" s="104" t="inlineStr">
        <is>
          <t>+/-</t>
        </is>
      </c>
      <c r="DG29" s="105">
        <f>-1*(DD26-DG28)</f>
        <v/>
      </c>
      <c r="DI29" s="304" t="inlineStr">
        <is>
          <t>Was with exception of the first hole, good direction on the fairway. Only the chipping/ pitching has to be better. Puts were ok!</t>
        </is>
      </c>
      <c r="DJ29" s="22" t="n"/>
      <c r="DK29" s="22" t="n"/>
      <c r="DL29" s="22" t="n"/>
      <c r="DM29" s="22" t="n"/>
      <c r="DN29" s="22" t="n"/>
      <c r="DO29" s="23" t="n"/>
    </row>
    <row r="30">
      <c r="D30" s="44" t="n"/>
      <c r="E30" s="270" t="inlineStr">
        <is>
          <t>Total Out:</t>
        </is>
      </c>
      <c r="F30" s="271" t="n"/>
      <c r="L30" s="285" t="n"/>
      <c r="S30" s="44" t="n"/>
      <c r="T30" s="270" t="inlineStr">
        <is>
          <t>Total Out:</t>
        </is>
      </c>
      <c r="U30" s="271" t="n"/>
      <c r="AA30" s="285" t="n"/>
      <c r="AH30" s="44" t="n"/>
      <c r="AI30" s="270" t="inlineStr">
        <is>
          <t>Total Out:</t>
        </is>
      </c>
      <c r="AJ30" s="271" t="n"/>
      <c r="AP30" s="285" t="n"/>
      <c r="AW30" s="44" t="n"/>
      <c r="AX30" s="270" t="inlineStr">
        <is>
          <t>Total Out:</t>
        </is>
      </c>
      <c r="AY30" s="271" t="n"/>
      <c r="BE30" s="285" t="n"/>
      <c r="BL30" s="44" t="n"/>
      <c r="BM30" s="270" t="inlineStr">
        <is>
          <t>Total Out:</t>
        </is>
      </c>
      <c r="BN30" s="271" t="n"/>
      <c r="BP30" s="304" t="inlineStr">
        <is>
          <t>Was  good direction on the fairway, short to the green. Only the chipping/ pitching has to be better. Puts were ok!</t>
        </is>
      </c>
      <c r="BQ30" s="22" t="n"/>
      <c r="BR30" s="22" t="n"/>
      <c r="BS30" s="22" t="n"/>
      <c r="BT30" s="22" t="n"/>
      <c r="BU30" s="22" t="n"/>
      <c r="BV30" s="23" t="n"/>
      <c r="CA30" s="44" t="n"/>
      <c r="CB30" s="270" t="inlineStr">
        <is>
          <t>Total Out:</t>
        </is>
      </c>
      <c r="CC30" s="271" t="n"/>
      <c r="CE30" s="74" t="n"/>
      <c r="CK30" s="25" t="n"/>
      <c r="CP30" s="44" t="n"/>
      <c r="CQ30" s="270" t="inlineStr">
        <is>
          <t>Total Out:</t>
        </is>
      </c>
      <c r="CR30" s="271" t="n"/>
      <c r="CT30" s="74" t="n"/>
      <c r="CZ30" s="25" t="n"/>
      <c r="DE30" s="44" t="n"/>
      <c r="DF30" s="270" t="inlineStr">
        <is>
          <t>Total Out:</t>
        </is>
      </c>
      <c r="DG30" s="271" t="n"/>
      <c r="DI30" s="74" t="n"/>
      <c r="DO30" s="25" t="n"/>
    </row>
    <row r="31">
      <c r="D31" s="44" t="n"/>
      <c r="E31" s="103" t="inlineStr">
        <is>
          <t>Gross:</t>
        </is>
      </c>
      <c r="F31" s="25">
        <f>SUM(F17:F25)</f>
        <v/>
      </c>
      <c r="L31" s="285" t="n"/>
      <c r="S31" s="44" t="n"/>
      <c r="T31" s="103" t="inlineStr">
        <is>
          <t>Gross:</t>
        </is>
      </c>
      <c r="U31" s="25">
        <f>SUM(U17:U25)</f>
        <v/>
      </c>
      <c r="AA31" s="285" t="n"/>
      <c r="AH31" s="44" t="n"/>
      <c r="AI31" s="103" t="inlineStr">
        <is>
          <t>Gross:</t>
        </is>
      </c>
      <c r="AJ31" s="25">
        <f>SUM(AJ17:AJ25)</f>
        <v/>
      </c>
      <c r="AP31" s="285" t="n"/>
      <c r="AW31" s="44" t="n"/>
      <c r="AX31" s="103" t="inlineStr">
        <is>
          <t>Gross:</t>
        </is>
      </c>
      <c r="AY31" s="25">
        <f>SUM(AY17:AY25)</f>
        <v/>
      </c>
      <c r="BE31" s="285" t="n"/>
      <c r="BL31" s="44" t="n"/>
      <c r="BM31" s="103" t="inlineStr">
        <is>
          <t>Gross:</t>
        </is>
      </c>
      <c r="BN31" s="25">
        <f>SUM(BN17:BN25)</f>
        <v/>
      </c>
      <c r="BP31" s="74" t="n"/>
      <c r="BV31" s="25" t="n"/>
      <c r="CA31" s="44" t="n"/>
      <c r="CB31" s="103" t="inlineStr">
        <is>
          <t>Gross:</t>
        </is>
      </c>
      <c r="CC31" s="25">
        <f>SUM(CC17:CC25)</f>
        <v/>
      </c>
      <c r="CE31" s="74" t="n"/>
      <c r="CK31" s="25" t="n"/>
      <c r="CP31" s="44" t="n"/>
      <c r="CQ31" s="103" t="inlineStr">
        <is>
          <t>Gross:</t>
        </is>
      </c>
      <c r="CR31" s="25">
        <f>SUM(CR17:CR25)</f>
        <v/>
      </c>
      <c r="CT31" s="74" t="n"/>
      <c r="CZ31" s="25" t="n"/>
      <c r="DE31" s="44" t="n"/>
      <c r="DF31" s="103" t="inlineStr">
        <is>
          <t>Gross:</t>
        </is>
      </c>
      <c r="DG31" s="25">
        <f>SUM(DG17:DG25)</f>
        <v/>
      </c>
      <c r="DI31" s="74" t="n"/>
      <c r="DO31" s="25" t="n"/>
    </row>
    <row r="32" ht="15" customHeight="1" thickBot="1">
      <c r="D32" s="44" t="n"/>
      <c r="E32" s="50" t="n"/>
      <c r="F32" s="105">
        <f>-1*(C27-F31)</f>
        <v/>
      </c>
      <c r="L32" s="285" t="n"/>
      <c r="S32" s="44" t="n"/>
      <c r="T32" s="50" t="n"/>
      <c r="U32" s="105">
        <f>-1*(R27-U31)</f>
        <v/>
      </c>
      <c r="AA32" s="285" t="n"/>
      <c r="AH32" s="44" t="n"/>
      <c r="AI32" s="50" t="n"/>
      <c r="AJ32" s="105">
        <f>-1*(AG27-AJ31)</f>
        <v/>
      </c>
      <c r="AP32" s="285" t="n"/>
      <c r="AW32" s="44" t="n"/>
      <c r="AX32" s="50" t="n"/>
      <c r="AY32" s="105">
        <f>-1*(AV27-AY31)</f>
        <v/>
      </c>
      <c r="BE32" s="285" t="n"/>
      <c r="BL32" s="44" t="n"/>
      <c r="BM32" s="50" t="n"/>
      <c r="BN32" s="105">
        <f>-1*(BK27-BN31)</f>
        <v/>
      </c>
      <c r="BP32" s="74" t="n"/>
      <c r="BV32" s="25" t="n"/>
      <c r="CA32" s="44" t="n"/>
      <c r="CB32" s="50" t="n"/>
      <c r="CC32" s="105">
        <f>-1*(BZ27-CC31)</f>
        <v/>
      </c>
      <c r="CE32" s="74" t="n"/>
      <c r="CK32" s="25" t="n"/>
      <c r="CP32" s="44" t="n"/>
      <c r="CQ32" s="50" t="n"/>
      <c r="CR32" s="105">
        <f>-1*(CO27-CR31)</f>
        <v/>
      </c>
      <c r="CT32" s="74" t="n"/>
      <c r="CZ32" s="25" t="n"/>
      <c r="DE32" s="44" t="n"/>
      <c r="DF32" s="50" t="n"/>
      <c r="DG32" s="105">
        <f>-1*(DD27-DG31)</f>
        <v/>
      </c>
      <c r="DI32" s="74" t="n"/>
      <c r="DO32" s="25" t="n"/>
    </row>
    <row r="33" ht="15" customHeight="1" thickBot="1">
      <c r="D33" s="44" t="n"/>
      <c r="L33" s="285" t="n"/>
      <c r="S33" s="44" t="n"/>
      <c r="AA33" s="285" t="n"/>
      <c r="AH33" s="44" t="n"/>
      <c r="AP33" s="285" t="n"/>
      <c r="AW33" s="44" t="n"/>
      <c r="BE33" s="285" t="n"/>
      <c r="BL33" s="44" t="n"/>
      <c r="BP33" s="74" t="n"/>
      <c r="BV33" s="25" t="n"/>
      <c r="CA33" s="44" t="n"/>
      <c r="CE33" s="50" t="n"/>
      <c r="CF33" s="27" t="n"/>
      <c r="CG33" s="27" t="n"/>
      <c r="CH33" s="27" t="n"/>
      <c r="CI33" s="27" t="n"/>
      <c r="CJ33" s="27" t="n"/>
      <c r="CK33" s="28" t="n"/>
      <c r="CP33" s="44" t="n"/>
      <c r="CT33" s="50" t="n"/>
      <c r="CU33" s="27" t="n"/>
      <c r="CV33" s="27" t="n"/>
      <c r="CW33" s="27" t="n"/>
      <c r="CX33" s="27" t="n"/>
      <c r="CY33" s="27" t="n"/>
      <c r="CZ33" s="28" t="n"/>
      <c r="DE33" s="44" t="n"/>
      <c r="DI33" s="50" t="n"/>
      <c r="DJ33" s="27" t="n"/>
      <c r="DK33" s="27" t="n"/>
      <c r="DL33" s="27" t="n"/>
      <c r="DM33" s="27" t="n"/>
      <c r="DN33" s="27" t="n"/>
      <c r="DO33" s="28" t="n"/>
    </row>
    <row r="34" ht="15" customHeight="1" thickBot="1">
      <c r="BP34" s="50" t="n"/>
      <c r="BQ34" s="27" t="n"/>
      <c r="BR34" s="27" t="n"/>
      <c r="BS34" s="27" t="n"/>
      <c r="BT34" s="27" t="n"/>
      <c r="BU34" s="27" t="n"/>
      <c r="BV34" s="28" t="n"/>
    </row>
    <row r="35" ht="15" customHeight="1" thickBot="1"/>
    <row r="36">
      <c r="CE36" s="45" t="n"/>
      <c r="CF36" s="22" t="n"/>
      <c r="CG36" s="22" t="n"/>
      <c r="CH36" s="22" t="n"/>
      <c r="CI36" s="23" t="n"/>
      <c r="CT36" s="45" t="n"/>
      <c r="CU36" s="22" t="n"/>
      <c r="CV36" s="22" t="n"/>
      <c r="CW36" s="22" t="n"/>
      <c r="CX36" s="23" t="n"/>
      <c r="DI36" s="45" t="n"/>
      <c r="DJ36" s="22" t="n"/>
      <c r="DK36" s="22" t="n"/>
      <c r="DL36" s="22" t="n"/>
      <c r="DM36" s="23" t="n"/>
    </row>
    <row r="37">
      <c r="CE37" s="103" t="inlineStr">
        <is>
          <t>Stabelford Score:</t>
        </is>
      </c>
      <c r="CI37" s="25" t="n"/>
      <c r="CT37" s="103" t="inlineStr">
        <is>
          <t>Stabelford Score:</t>
        </is>
      </c>
      <c r="CX37" s="25" t="n"/>
      <c r="DI37" s="103" t="inlineStr">
        <is>
          <t>Stabelford Score:</t>
        </is>
      </c>
      <c r="DM37" s="25" t="n"/>
    </row>
    <row r="38">
      <c r="CE38" s="106" t="inlineStr">
        <is>
          <t>18pts</t>
        </is>
      </c>
      <c r="CF38" s="107" t="inlineStr">
        <is>
          <t>play very strong for the Handicap</t>
        </is>
      </c>
      <c r="CG38" s="107" t="n"/>
      <c r="CI38" s="25" t="n"/>
      <c r="CT38" s="106" t="inlineStr">
        <is>
          <t>18pts</t>
        </is>
      </c>
      <c r="CU38" s="107" t="inlineStr">
        <is>
          <t>play very strong for the Handicap</t>
        </is>
      </c>
      <c r="CV38" s="107" t="n"/>
      <c r="CX38" s="25" t="n"/>
      <c r="DI38" s="106" t="inlineStr">
        <is>
          <t>18pts</t>
        </is>
      </c>
      <c r="DJ38" s="107" t="inlineStr">
        <is>
          <t>play very strong for the Handicap</t>
        </is>
      </c>
      <c r="DK38" s="107" t="n"/>
      <c r="DM38" s="25" t="n"/>
    </row>
    <row r="39">
      <c r="CE39" s="74" t="inlineStr">
        <is>
          <t>11-15pts</t>
        </is>
      </c>
      <c r="CF39" s="107" t="inlineStr">
        <is>
          <t>decent for the handicap</t>
        </is>
      </c>
      <c r="CG39" s="107" t="n"/>
      <c r="CI39" s="25" t="n"/>
      <c r="CT39" s="74" t="inlineStr">
        <is>
          <t>11-15pts</t>
        </is>
      </c>
      <c r="CU39" s="107" t="inlineStr">
        <is>
          <t>decent for the handicap</t>
        </is>
      </c>
      <c r="CV39" s="107" t="n"/>
      <c r="CX39" s="25" t="n"/>
      <c r="DI39" s="74" t="inlineStr">
        <is>
          <t>11-15pts</t>
        </is>
      </c>
      <c r="DJ39" s="107" t="inlineStr">
        <is>
          <t>decent for the handicap</t>
        </is>
      </c>
      <c r="DK39" s="107" t="n"/>
      <c r="DM39" s="25" t="n"/>
    </row>
    <row r="40">
      <c r="CE40" s="74" t="inlineStr">
        <is>
          <t>below 10</t>
        </is>
      </c>
      <c r="CF40" s="107" t="inlineStr">
        <is>
          <t>struggling</t>
        </is>
      </c>
      <c r="CG40" s="107" t="n"/>
      <c r="CI40" s="25" t="n"/>
      <c r="CT40" s="74" t="inlineStr">
        <is>
          <t>below 10</t>
        </is>
      </c>
      <c r="CU40" s="107" t="inlineStr">
        <is>
          <t>struggling</t>
        </is>
      </c>
      <c r="CV40" s="107" t="n"/>
      <c r="CX40" s="25" t="n"/>
      <c r="DI40" s="74" t="inlineStr">
        <is>
          <t>below 10</t>
        </is>
      </c>
      <c r="DJ40" s="107" t="inlineStr">
        <is>
          <t>struggling</t>
        </is>
      </c>
      <c r="DK40" s="107" t="n"/>
      <c r="DM40" s="25" t="n"/>
    </row>
    <row r="41">
      <c r="CE41" s="74" t="n"/>
      <c r="CF41" s="107" t="n"/>
      <c r="CG41" s="107" t="n"/>
      <c r="CI41" s="25" t="n"/>
      <c r="CT41" s="74" t="n"/>
      <c r="CU41" s="107" t="n"/>
      <c r="CV41" s="107" t="n"/>
      <c r="CX41" s="25" t="n"/>
      <c r="DI41" s="74" t="n"/>
      <c r="DJ41" s="107" t="n"/>
      <c r="DK41" s="107" t="n"/>
      <c r="DM41" s="25" t="n"/>
    </row>
    <row r="42">
      <c r="CE42" s="74" t="inlineStr">
        <is>
          <t>With HCP:</t>
        </is>
      </c>
      <c r="CF42" s="107" t="inlineStr">
        <is>
          <t>18pts</t>
        </is>
      </c>
      <c r="CG42" s="107" t="inlineStr">
        <is>
          <t>very good</t>
        </is>
      </c>
      <c r="CI42" s="25" t="n"/>
      <c r="CT42" s="74" t="inlineStr">
        <is>
          <t>With HCP:</t>
        </is>
      </c>
      <c r="CU42" s="107" t="inlineStr">
        <is>
          <t>18pts</t>
        </is>
      </c>
      <c r="CV42" s="107" t="inlineStr">
        <is>
          <t>very good</t>
        </is>
      </c>
      <c r="CX42" s="25" t="n"/>
      <c r="DI42" s="74" t="inlineStr">
        <is>
          <t>With HCP:</t>
        </is>
      </c>
      <c r="DJ42" s="107" t="inlineStr">
        <is>
          <t>18pts</t>
        </is>
      </c>
      <c r="DK42" s="107" t="inlineStr">
        <is>
          <t>very good</t>
        </is>
      </c>
      <c r="DM42" s="25" t="n"/>
    </row>
    <row r="43">
      <c r="CE43" s="74" t="inlineStr">
        <is>
          <t>Wihout Hcp</t>
        </is>
      </c>
      <c r="CF43" s="107" t="inlineStr">
        <is>
          <t>18pts</t>
        </is>
      </c>
      <c r="CG43" s="107" t="inlineStr">
        <is>
          <t>close to scratch</t>
        </is>
      </c>
      <c r="CI43" s="25" t="n"/>
      <c r="CT43" s="74" t="inlineStr">
        <is>
          <t>Wihout Hcp</t>
        </is>
      </c>
      <c r="CU43" s="107" t="inlineStr">
        <is>
          <t>18pts</t>
        </is>
      </c>
      <c r="CV43" s="107" t="inlineStr">
        <is>
          <t>close to scratch</t>
        </is>
      </c>
      <c r="CX43" s="25" t="n"/>
      <c r="DI43" s="74" t="inlineStr">
        <is>
          <t>Wihout Hcp</t>
        </is>
      </c>
      <c r="DJ43" s="107" t="inlineStr">
        <is>
          <t>18pts</t>
        </is>
      </c>
      <c r="DK43" s="107" t="inlineStr">
        <is>
          <t>close to scratch</t>
        </is>
      </c>
      <c r="DM43" s="25" t="n"/>
    </row>
    <row r="44">
      <c r="CE44" s="74" t="n"/>
      <c r="CI44" s="25" t="n"/>
      <c r="CT44" s="74" t="n"/>
      <c r="CX44" s="25" t="n"/>
      <c r="DI44" s="74" t="n"/>
      <c r="DM44" s="25" t="n"/>
    </row>
    <row r="45" ht="15" customHeight="1" thickBot="1">
      <c r="CE45" s="50" t="n"/>
      <c r="CF45" s="27" t="n"/>
      <c r="CG45" s="27" t="n"/>
      <c r="CH45" s="27" t="n"/>
      <c r="CI45" s="28" t="n"/>
      <c r="CT45" s="50" t="n"/>
      <c r="CU45" s="27" t="n"/>
      <c r="CV45" s="27" t="n"/>
      <c r="CW45" s="27" t="n"/>
      <c r="CX45" s="28" t="n"/>
      <c r="DI45" s="50" t="n"/>
      <c r="DJ45" s="27" t="n"/>
      <c r="DK45" s="27" t="n"/>
      <c r="DL45" s="27" t="n"/>
      <c r="DM45" s="28" t="n"/>
    </row>
  </sheetData>
  <mergeCells count="20">
    <mergeCell ref="CQ27:CR27"/>
    <mergeCell ref="CE29:CK33"/>
    <mergeCell ref="CB27:CC27"/>
    <mergeCell ref="DC2:DD2"/>
    <mergeCell ref="CN2:CO2"/>
    <mergeCell ref="AX27:AY27"/>
    <mergeCell ref="B2:C2"/>
    <mergeCell ref="BY2:BZ2"/>
    <mergeCell ref="BJ2:BK2"/>
    <mergeCell ref="BP30:BV34"/>
    <mergeCell ref="AI27:AJ27"/>
    <mergeCell ref="BM27:BN27"/>
    <mergeCell ref="CT29:CZ33"/>
    <mergeCell ref="AF2:AG2"/>
    <mergeCell ref="E27:F27"/>
    <mergeCell ref="Q2:R2"/>
    <mergeCell ref="DI29:DO33"/>
    <mergeCell ref="DF27:DG27"/>
    <mergeCell ref="AU2:AV2"/>
    <mergeCell ref="T27:U27"/>
  </mergeCell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3"/>
  <sheetViews>
    <sheetView topLeftCell="A11" workbookViewId="0">
      <selection activeCell="I24" sqref="I24"/>
    </sheetView>
  </sheetViews>
  <sheetFormatPr baseColWidth="8" defaultRowHeight="14.5"/>
  <sheetData>
    <row r="1" ht="15" customHeight="1" thickBot="1">
      <c r="A1" t="inlineStr">
        <is>
          <t>Josina</t>
        </is>
      </c>
      <c r="B1" t="inlineStr">
        <is>
          <t>22-23</t>
        </is>
      </c>
    </row>
    <row r="2" ht="15" customHeight="1" thickBot="1">
      <c r="A2" t="inlineStr">
        <is>
          <t>Per Holes</t>
        </is>
      </c>
      <c r="C2" t="inlineStr">
        <is>
          <t>Galecop</t>
        </is>
      </c>
      <c r="D2" t="inlineStr">
        <is>
          <t>PAR 3</t>
        </is>
      </c>
      <c r="F2" s="282" t="n">
        <v>2022</v>
      </c>
      <c r="G2" s="305" t="n"/>
      <c r="H2" s="305" t="n"/>
      <c r="I2" s="306" t="n">
        <v>2023</v>
      </c>
      <c r="J2" s="305" t="n"/>
      <c r="K2" s="305" t="n"/>
      <c r="L2" s="305" t="n"/>
      <c r="M2" s="305" t="n"/>
      <c r="N2" s="305" t="n"/>
      <c r="O2" s="305" t="n"/>
      <c r="P2" s="305" t="n"/>
      <c r="Q2" s="305" t="n"/>
      <c r="R2" s="305" t="n"/>
      <c r="S2" s="36" t="n"/>
    </row>
    <row r="3" ht="15" customHeight="1" thickBot="1">
      <c r="A3" s="11" t="inlineStr">
        <is>
          <t>Hole:</t>
        </is>
      </c>
      <c r="B3" s="54" t="inlineStr">
        <is>
          <t>Par</t>
        </is>
      </c>
      <c r="C3" s="54" t="inlineStr">
        <is>
          <t>Dist.</t>
        </is>
      </c>
      <c r="D3" s="55" t="inlineStr">
        <is>
          <t>SI</t>
        </is>
      </c>
      <c r="E3" s="54" t="n"/>
      <c r="F3" s="109" t="n">
        <v>44887</v>
      </c>
      <c r="G3" s="109" t="n">
        <v>44887</v>
      </c>
      <c r="H3" s="109" t="n">
        <v>44894</v>
      </c>
      <c r="I3" s="109" t="n">
        <v>44894</v>
      </c>
      <c r="J3" s="109" t="n">
        <v>45261</v>
      </c>
      <c r="K3" s="110" t="n">
        <v>45261</v>
      </c>
      <c r="L3" s="110" t="n">
        <v>45109</v>
      </c>
      <c r="M3" s="110" t="n">
        <v>45844</v>
      </c>
      <c r="N3" s="111" t="n">
        <v>45116</v>
      </c>
      <c r="O3" s="110" t="n">
        <v>45851</v>
      </c>
      <c r="P3" s="110" t="n">
        <v>45137</v>
      </c>
      <c r="Q3" s="112" t="n">
        <v>45153</v>
      </c>
      <c r="R3" s="110" t="n">
        <v>45889</v>
      </c>
      <c r="S3" s="113" t="n">
        <v>45959</v>
      </c>
      <c r="T3" s="110" t="inlineStr">
        <is>
          <t>PAR</t>
        </is>
      </c>
      <c r="U3" s="114" t="inlineStr">
        <is>
          <t>AVG</t>
        </is>
      </c>
      <c r="V3" s="61" t="inlineStr">
        <is>
          <t>StrokDif</t>
        </is>
      </c>
      <c r="W3" s="61" t="inlineStr">
        <is>
          <t>Points:</t>
        </is>
      </c>
    </row>
    <row r="4" ht="15" customHeight="1" thickBot="1">
      <c r="A4" s="62" t="inlineStr">
        <is>
          <t>P1</t>
        </is>
      </c>
      <c r="B4" s="45" t="n">
        <v>3</v>
      </c>
      <c r="C4" s="63" t="n">
        <v>58</v>
      </c>
      <c r="D4" s="64" t="n">
        <v>8</v>
      </c>
      <c r="E4" s="45" t="n">
        <v>0</v>
      </c>
      <c r="F4" s="115" t="n">
        <v>4</v>
      </c>
      <c r="G4" s="115" t="n">
        <v>4</v>
      </c>
      <c r="H4" s="115" t="n">
        <v>3</v>
      </c>
      <c r="I4" s="115" t="n">
        <v>4</v>
      </c>
      <c r="J4" s="115" t="n">
        <v>4</v>
      </c>
      <c r="K4" s="41" t="n">
        <v>2</v>
      </c>
      <c r="L4" s="41" t="n">
        <v>4</v>
      </c>
      <c r="M4" s="41" t="n">
        <v>4</v>
      </c>
      <c r="N4" s="116" t="n">
        <v>5</v>
      </c>
      <c r="O4" s="41" t="n">
        <v>6</v>
      </c>
      <c r="P4" s="41" t="n">
        <v>3</v>
      </c>
      <c r="Q4" s="117" t="n">
        <v>4</v>
      </c>
      <c r="R4" s="41" t="n">
        <v>4</v>
      </c>
      <c r="S4" s="118" t="n">
        <v>6</v>
      </c>
      <c r="T4" s="69" t="n">
        <v>3</v>
      </c>
      <c r="U4" s="119">
        <f>AVERAGE(G4:S4)</f>
        <v/>
      </c>
      <c r="V4" s="120">
        <f>U4-T4</f>
        <v/>
      </c>
      <c r="W4" s="62" t="n">
        <v>1</v>
      </c>
    </row>
    <row r="5" ht="15" customHeight="1" thickBot="1">
      <c r="A5" s="73" t="inlineStr">
        <is>
          <t>P2</t>
        </is>
      </c>
      <c r="B5" s="74" t="n">
        <v>3</v>
      </c>
      <c r="C5" s="75" t="n">
        <v>56</v>
      </c>
      <c r="D5" s="64" t="n">
        <v>6</v>
      </c>
      <c r="E5" s="74" t="n">
        <v>0</v>
      </c>
      <c r="F5" s="42" t="n">
        <v>4</v>
      </c>
      <c r="G5" s="42" t="n">
        <v>2</v>
      </c>
      <c r="H5" s="42" t="n">
        <v>3</v>
      </c>
      <c r="I5" s="42" t="n">
        <v>4</v>
      </c>
      <c r="J5" s="42" t="n">
        <v>3</v>
      </c>
      <c r="K5" s="42" t="n">
        <v>3</v>
      </c>
      <c r="L5" s="42" t="n">
        <v>3</v>
      </c>
      <c r="M5" s="42" t="n">
        <v>4</v>
      </c>
      <c r="N5" s="121" t="n">
        <v>4</v>
      </c>
      <c r="O5" s="42" t="n">
        <v>4</v>
      </c>
      <c r="P5" s="42" t="n">
        <v>3</v>
      </c>
      <c r="Q5" s="122" t="n">
        <v>4</v>
      </c>
      <c r="R5" s="42" t="n">
        <v>3</v>
      </c>
      <c r="S5" s="121" t="n">
        <v>5</v>
      </c>
      <c r="T5" s="69" t="n">
        <v>3</v>
      </c>
      <c r="U5" s="119">
        <f>AVERAGE(G5:S5)</f>
        <v/>
      </c>
      <c r="V5" s="120">
        <f>U5-T5</f>
        <v/>
      </c>
      <c r="W5" s="73" t="n">
        <v>2</v>
      </c>
    </row>
    <row r="6" ht="15" customHeight="1" thickBot="1">
      <c r="A6" s="73" t="inlineStr">
        <is>
          <t>P3</t>
        </is>
      </c>
      <c r="B6" s="74" t="n">
        <v>3</v>
      </c>
      <c r="C6" s="73" t="n">
        <v>56</v>
      </c>
      <c r="D6" s="71" t="n">
        <v>16</v>
      </c>
      <c r="E6" s="74" t="n">
        <v>1</v>
      </c>
      <c r="F6" s="42" t="n">
        <v>3</v>
      </c>
      <c r="G6" s="42" t="n">
        <v>4</v>
      </c>
      <c r="H6" s="42" t="n">
        <v>3</v>
      </c>
      <c r="I6" s="42" t="n">
        <v>4</v>
      </c>
      <c r="J6" s="42" t="n">
        <v>3</v>
      </c>
      <c r="K6" s="42" t="n">
        <v>5</v>
      </c>
      <c r="L6" s="42" t="n">
        <v>4</v>
      </c>
      <c r="M6" s="42" t="n">
        <v>3</v>
      </c>
      <c r="N6" s="121" t="n">
        <v>5</v>
      </c>
      <c r="O6" s="42" t="n">
        <v>3</v>
      </c>
      <c r="P6" s="42" t="n">
        <v>2</v>
      </c>
      <c r="Q6" s="122" t="n">
        <v>4</v>
      </c>
      <c r="R6" s="42" t="n">
        <v>4</v>
      </c>
      <c r="S6" s="121" t="n">
        <v>4</v>
      </c>
      <c r="T6" s="69" t="n">
        <v>3</v>
      </c>
      <c r="U6" s="119">
        <f>AVERAGE(G6:S6)</f>
        <v/>
      </c>
      <c r="V6" s="120">
        <f>U6-T6</f>
        <v/>
      </c>
      <c r="W6" s="73" t="n">
        <v>1</v>
      </c>
    </row>
    <row r="7" ht="15" customHeight="1" thickBot="1">
      <c r="A7" s="73" t="inlineStr">
        <is>
          <t>P4</t>
        </is>
      </c>
      <c r="B7" s="74" t="n">
        <v>3</v>
      </c>
      <c r="C7" s="73" t="n">
        <v>60</v>
      </c>
      <c r="D7" s="71" t="n">
        <v>18</v>
      </c>
      <c r="E7" s="74" t="n">
        <v>1</v>
      </c>
      <c r="F7" s="42" t="n">
        <v>4</v>
      </c>
      <c r="G7" s="42" t="n">
        <v>5</v>
      </c>
      <c r="H7" s="42" t="n">
        <v>4</v>
      </c>
      <c r="I7" s="42" t="n">
        <v>3</v>
      </c>
      <c r="J7" s="42" t="n">
        <v>2</v>
      </c>
      <c r="K7" s="42" t="n">
        <v>3</v>
      </c>
      <c r="L7" s="42" t="n">
        <v>3</v>
      </c>
      <c r="M7" s="42" t="n">
        <v>3</v>
      </c>
      <c r="N7" s="121" t="n">
        <v>5</v>
      </c>
      <c r="O7" s="42" t="n">
        <v>4</v>
      </c>
      <c r="P7" s="42" t="n">
        <v>5</v>
      </c>
      <c r="Q7" s="122" t="n">
        <v>3</v>
      </c>
      <c r="R7" s="42" t="n">
        <v>5</v>
      </c>
      <c r="S7" s="121" t="n">
        <v>4</v>
      </c>
      <c r="T7" s="69" t="n">
        <v>4</v>
      </c>
      <c r="U7" s="119">
        <f>AVERAGE(G7:S7)</f>
        <v/>
      </c>
      <c r="V7" s="120">
        <f>U7-T7</f>
        <v/>
      </c>
      <c r="W7" s="73" t="n">
        <v>2</v>
      </c>
    </row>
    <row r="8" ht="15" customHeight="1" thickBot="1">
      <c r="A8" s="73" t="inlineStr">
        <is>
          <t>P5</t>
        </is>
      </c>
      <c r="B8" s="74" t="n">
        <v>3</v>
      </c>
      <c r="C8" s="73" t="n">
        <v>92</v>
      </c>
      <c r="D8" s="71" t="n">
        <v>10</v>
      </c>
      <c r="E8" s="74" t="n">
        <v>0</v>
      </c>
      <c r="F8" s="42" t="n">
        <v>4</v>
      </c>
      <c r="G8" s="42" t="n">
        <v>6</v>
      </c>
      <c r="H8" s="42" t="n">
        <v>3</v>
      </c>
      <c r="I8" s="42" t="n">
        <v>4</v>
      </c>
      <c r="J8" s="42" t="n">
        <v>3</v>
      </c>
      <c r="K8" s="42" t="n">
        <v>4</v>
      </c>
      <c r="L8" s="42" t="n">
        <v>6</v>
      </c>
      <c r="M8" s="42" t="n">
        <v>3</v>
      </c>
      <c r="N8" s="121" t="n">
        <v>7</v>
      </c>
      <c r="O8" s="42" t="n">
        <v>6</v>
      </c>
      <c r="P8" s="42" t="n">
        <v>5</v>
      </c>
      <c r="Q8" s="122" t="n">
        <v>4</v>
      </c>
      <c r="R8" s="42" t="n">
        <v>3</v>
      </c>
      <c r="S8" s="121" t="n">
        <v>8</v>
      </c>
      <c r="T8" s="69" t="n">
        <v>3</v>
      </c>
      <c r="U8" s="119">
        <f>AVERAGE(G8:S8)</f>
        <v/>
      </c>
      <c r="V8" s="120">
        <f>U8-T8</f>
        <v/>
      </c>
      <c r="W8" s="73" t="n">
        <v>0</v>
      </c>
    </row>
    <row r="9" ht="15" customHeight="1" thickBot="1">
      <c r="A9" s="73" t="inlineStr">
        <is>
          <t>P6</t>
        </is>
      </c>
      <c r="B9" s="74" t="n">
        <v>3</v>
      </c>
      <c r="C9" s="75" t="n">
        <v>123</v>
      </c>
      <c r="D9" s="64" t="n">
        <v>4</v>
      </c>
      <c r="E9" s="74" t="n">
        <v>1</v>
      </c>
      <c r="F9" s="42" t="n">
        <v>3</v>
      </c>
      <c r="G9" s="42" t="n">
        <v>4</v>
      </c>
      <c r="H9" s="42" t="n">
        <v>5</v>
      </c>
      <c r="I9" s="42" t="n">
        <v>4</v>
      </c>
      <c r="J9" s="42" t="n">
        <v>5</v>
      </c>
      <c r="K9" s="42" t="n">
        <v>4</v>
      </c>
      <c r="L9" s="42" t="n">
        <v>5</v>
      </c>
      <c r="M9" s="42" t="n">
        <v>5</v>
      </c>
      <c r="N9" s="121" t="n">
        <v>4</v>
      </c>
      <c r="O9" s="42" t="n">
        <v>4</v>
      </c>
      <c r="P9" s="42" t="n">
        <v>5</v>
      </c>
      <c r="Q9" s="122" t="n">
        <v>5</v>
      </c>
      <c r="R9" s="42" t="n">
        <v>5</v>
      </c>
      <c r="S9" s="121" t="n">
        <v>4</v>
      </c>
      <c r="T9" s="69" t="n">
        <v>4</v>
      </c>
      <c r="U9" s="119">
        <f>AVERAGE(G9:S9)</f>
        <v/>
      </c>
      <c r="V9" s="120">
        <f>U9-T9</f>
        <v/>
      </c>
      <c r="W9" s="73" t="n">
        <v>1</v>
      </c>
    </row>
    <row r="10" ht="15" customHeight="1" thickBot="1">
      <c r="A10" s="73" t="inlineStr">
        <is>
          <t>P7</t>
        </is>
      </c>
      <c r="B10" s="74" t="n">
        <v>3</v>
      </c>
      <c r="C10" s="75" t="n">
        <v>118</v>
      </c>
      <c r="D10" s="64" t="n">
        <v>2</v>
      </c>
      <c r="E10" s="74" t="n">
        <v>1</v>
      </c>
      <c r="F10" s="42" t="n">
        <v>5</v>
      </c>
      <c r="G10" s="42" t="n">
        <v>4</v>
      </c>
      <c r="H10" s="42" t="n">
        <v>4</v>
      </c>
      <c r="I10" s="42" t="n">
        <v>4</v>
      </c>
      <c r="J10" s="42" t="n">
        <v>4</v>
      </c>
      <c r="K10" s="42" t="n">
        <v>4</v>
      </c>
      <c r="L10" s="42" t="n">
        <v>5</v>
      </c>
      <c r="M10" s="42" t="n">
        <v>4</v>
      </c>
      <c r="N10" s="121" t="n">
        <v>4</v>
      </c>
      <c r="O10" s="42" t="n">
        <v>5</v>
      </c>
      <c r="P10" s="42" t="n">
        <v>4</v>
      </c>
      <c r="Q10" s="122" t="n">
        <v>4</v>
      </c>
      <c r="R10" s="42" t="n">
        <v>3</v>
      </c>
      <c r="S10" s="121" t="n">
        <v>4</v>
      </c>
      <c r="T10" s="69" t="n">
        <v>4</v>
      </c>
      <c r="U10" s="119">
        <f>AVERAGE(G10:S10)</f>
        <v/>
      </c>
      <c r="V10" s="120">
        <f>U10-T10</f>
        <v/>
      </c>
      <c r="W10" s="73" t="n">
        <v>2</v>
      </c>
    </row>
    <row r="11" ht="15" customHeight="1" thickBot="1">
      <c r="A11" s="73" t="inlineStr">
        <is>
          <t>P8</t>
        </is>
      </c>
      <c r="B11" s="74" t="n">
        <v>3</v>
      </c>
      <c r="C11" s="73" t="n">
        <v>67</v>
      </c>
      <c r="D11" s="71" t="n">
        <v>12</v>
      </c>
      <c r="E11" s="74" t="n">
        <v>0</v>
      </c>
      <c r="F11" s="42" t="n">
        <v>5</v>
      </c>
      <c r="G11" s="42" t="n">
        <v>4</v>
      </c>
      <c r="H11" s="42" t="n">
        <v>3</v>
      </c>
      <c r="I11" s="42" t="n">
        <v>4</v>
      </c>
      <c r="J11" s="42" t="n">
        <v>4</v>
      </c>
      <c r="K11" s="42" t="n">
        <v>3</v>
      </c>
      <c r="L11" s="42" t="n">
        <v>3</v>
      </c>
      <c r="M11" s="42" t="n">
        <v>5</v>
      </c>
      <c r="N11" s="121" t="n">
        <v>3</v>
      </c>
      <c r="O11" s="42" t="n">
        <v>5</v>
      </c>
      <c r="P11" s="42" t="n">
        <v>3</v>
      </c>
      <c r="Q11" s="122" t="n">
        <v>4</v>
      </c>
      <c r="R11" s="42" t="n">
        <v>3</v>
      </c>
      <c r="S11" s="121" t="n">
        <v>5</v>
      </c>
      <c r="T11" s="69" t="n">
        <v>3</v>
      </c>
      <c r="U11" s="119">
        <f>AVERAGE(G11:S11)</f>
        <v/>
      </c>
      <c r="V11" s="120">
        <f>U11-T11</f>
        <v/>
      </c>
      <c r="W11" s="73" t="n">
        <v>1</v>
      </c>
    </row>
    <row r="12" ht="15" customHeight="1" thickBot="1">
      <c r="A12" s="73" t="inlineStr">
        <is>
          <t>P9</t>
        </is>
      </c>
      <c r="B12" s="74" t="n">
        <v>3</v>
      </c>
      <c r="C12" s="73" t="n">
        <v>75</v>
      </c>
      <c r="D12" s="71" t="n">
        <v>14</v>
      </c>
      <c r="E12" s="74" t="n">
        <v>1</v>
      </c>
      <c r="F12" s="43" t="n">
        <v>3</v>
      </c>
      <c r="G12" s="43" t="n">
        <v>5</v>
      </c>
      <c r="H12" s="43" t="n">
        <v>4</v>
      </c>
      <c r="I12" s="43" t="n">
        <v>3</v>
      </c>
      <c r="J12" s="43" t="n">
        <v>3</v>
      </c>
      <c r="K12" s="43" t="n">
        <v>3</v>
      </c>
      <c r="L12" s="43" t="n">
        <v>4</v>
      </c>
      <c r="M12" s="43" t="n">
        <v>3</v>
      </c>
      <c r="N12" s="123" t="n">
        <v>7</v>
      </c>
      <c r="O12" s="43" t="n">
        <v>6</v>
      </c>
      <c r="P12" s="43" t="n">
        <v>3</v>
      </c>
      <c r="Q12" s="124" t="n">
        <v>4</v>
      </c>
      <c r="R12" s="43" t="n">
        <v>3</v>
      </c>
      <c r="S12" s="123" t="n">
        <v>6</v>
      </c>
      <c r="T12" s="69" t="n">
        <v>3</v>
      </c>
      <c r="U12" s="119">
        <f>AVERAGE(G12:S12)</f>
        <v/>
      </c>
      <c r="V12" s="120">
        <f>U12-T12</f>
        <v/>
      </c>
      <c r="W12" s="85" t="n">
        <v>1</v>
      </c>
    </row>
    <row r="13" ht="15" customHeight="1" thickBot="1">
      <c r="A13" s="35" t="n"/>
      <c r="B13" s="86">
        <f>SUM(B4:B12)</f>
        <v/>
      </c>
      <c r="C13" s="86" t="n"/>
      <c r="D13" s="125" t="n"/>
      <c r="E13" s="86" t="n"/>
      <c r="F13" s="88">
        <f>SUM(F4:F12)</f>
        <v/>
      </c>
      <c r="G13" s="88">
        <f>SUM(G4:G12)</f>
        <v/>
      </c>
      <c r="H13" s="88">
        <f>SUM(H4:H12)</f>
        <v/>
      </c>
      <c r="I13" s="88">
        <f>SUM(I4:I12)</f>
        <v/>
      </c>
      <c r="J13" s="88">
        <f>SUM(J4:J12)</f>
        <v/>
      </c>
      <c r="K13" s="88">
        <f>SUM(K4:K12)</f>
        <v/>
      </c>
      <c r="L13" s="88">
        <f>SUM(L4:L12)</f>
        <v/>
      </c>
      <c r="M13" s="88">
        <f>SUM(M4:M12)</f>
        <v/>
      </c>
      <c r="N13" s="126">
        <f>SUM(N4:N12)</f>
        <v/>
      </c>
      <c r="O13" s="88">
        <f>SUM(O4:O12)</f>
        <v/>
      </c>
      <c r="P13" s="88">
        <f>SUM(P4:P12)</f>
        <v/>
      </c>
      <c r="Q13" s="88">
        <f>SUM(Q4:Q12)</f>
        <v/>
      </c>
      <c r="R13" s="88">
        <f>SUM(R4:R12)</f>
        <v/>
      </c>
      <c r="S13" s="126">
        <f>SUM(S4:S12)</f>
        <v/>
      </c>
      <c r="T13" s="88">
        <f>SUM(T4:T12)</f>
        <v/>
      </c>
      <c r="U13" s="127">
        <f>SUM(U4:U12)</f>
        <v/>
      </c>
      <c r="V13" s="128">
        <f>U13-O18</f>
        <v/>
      </c>
      <c r="W13" s="90">
        <f>SUM(W4:W12)</f>
        <v/>
      </c>
    </row>
    <row r="14" ht="15" customHeight="1" thickBot="1">
      <c r="Q14" t="inlineStr">
        <is>
          <t>with Jing</t>
        </is>
      </c>
      <c r="U14" s="129" t="inlineStr">
        <is>
          <t>Average</t>
        </is>
      </c>
      <c r="V14" s="130" t="inlineStr">
        <is>
          <t>Plus</t>
        </is>
      </c>
    </row>
    <row r="15">
      <c r="A15" s="131" t="inlineStr">
        <is>
          <t>Stb.Points:</t>
        </is>
      </c>
      <c r="B15" s="132" t="n">
        <v>-6</v>
      </c>
      <c r="C15" s="132" t="n">
        <v>-3</v>
      </c>
      <c r="D15" s="132" t="n">
        <v>-2</v>
      </c>
      <c r="E15" s="132" t="n">
        <v>-1</v>
      </c>
      <c r="F15" s="132" t="n">
        <v>0</v>
      </c>
      <c r="G15" s="133" t="n">
        <v>1</v>
      </c>
      <c r="V15" s="134">
        <f>U13-B13</f>
        <v/>
      </c>
    </row>
    <row r="16" ht="15" customHeight="1" thickBot="1">
      <c r="A16" s="135" t="inlineStr">
        <is>
          <t>Points:</t>
        </is>
      </c>
      <c r="B16" s="136" t="n">
        <v>6</v>
      </c>
      <c r="C16" s="136" t="n">
        <v>5</v>
      </c>
      <c r="D16" s="136" t="n">
        <v>4</v>
      </c>
      <c r="E16" s="136" t="n">
        <v>3</v>
      </c>
      <c r="F16" s="136" t="n">
        <v>2</v>
      </c>
      <c r="G16" s="137" t="n">
        <v>1</v>
      </c>
    </row>
    <row r="18" ht="15" customHeight="1" thickBot="1"/>
    <row r="19" ht="15" customHeight="1" thickBot="1">
      <c r="A19" t="inlineStr">
        <is>
          <t>Per Holes</t>
        </is>
      </c>
      <c r="C19" t="inlineStr">
        <is>
          <t>Galecop</t>
        </is>
      </c>
      <c r="D19" t="inlineStr">
        <is>
          <t>PAR 3</t>
        </is>
      </c>
      <c r="F19" s="282" t="n"/>
      <c r="G19" s="305" t="n"/>
      <c r="H19" s="305" t="n"/>
      <c r="I19" s="283" t="n">
        <v>2025</v>
      </c>
      <c r="J19" s="284" t="n"/>
      <c r="K19" s="305" t="n"/>
      <c r="L19" s="305" t="n"/>
      <c r="M19" s="305" t="n"/>
      <c r="N19" s="305" t="n"/>
      <c r="O19" s="305" t="n"/>
      <c r="P19" s="305" t="n"/>
      <c r="Q19" s="305" t="n"/>
      <c r="R19" s="305" t="n"/>
      <c r="S19" s="305" t="n"/>
      <c r="T19" s="36" t="n"/>
    </row>
    <row r="20" ht="15" customHeight="1" thickBot="1">
      <c r="A20" s="11" t="inlineStr">
        <is>
          <t>Hole:</t>
        </is>
      </c>
      <c r="B20" s="54" t="inlineStr">
        <is>
          <t>Par</t>
        </is>
      </c>
      <c r="C20" s="54" t="inlineStr">
        <is>
          <t>Dist.</t>
        </is>
      </c>
      <c r="D20" s="55" t="inlineStr">
        <is>
          <t>SI</t>
        </is>
      </c>
      <c r="E20" s="54" t="n"/>
      <c r="F20" s="109" t="n">
        <v>45771</v>
      </c>
      <c r="G20" s="109" t="n">
        <v>45777</v>
      </c>
      <c r="H20" s="109" t="n">
        <v>45777</v>
      </c>
      <c r="I20" s="109" t="n">
        <v>45788</v>
      </c>
      <c r="J20" s="109" t="n">
        <v>45802</v>
      </c>
      <c r="K20" s="110" t="n"/>
      <c r="L20" s="110" t="n"/>
      <c r="M20" s="110" t="n"/>
      <c r="N20" s="110" t="n"/>
      <c r="O20" s="110" t="n"/>
      <c r="P20" s="110" t="n"/>
      <c r="Q20" s="110" t="n"/>
      <c r="R20" s="110" t="n"/>
      <c r="S20" s="110" t="inlineStr">
        <is>
          <t>PAR</t>
        </is>
      </c>
      <c r="T20" s="114" t="inlineStr">
        <is>
          <t>AVG</t>
        </is>
      </c>
      <c r="U20" s="61" t="inlineStr">
        <is>
          <t>StrokDif</t>
        </is>
      </c>
      <c r="V20" s="61" t="inlineStr">
        <is>
          <t>Points:</t>
        </is>
      </c>
    </row>
    <row r="21" ht="15" customHeight="1" thickBot="1">
      <c r="A21" s="62" t="inlineStr">
        <is>
          <t>P1</t>
        </is>
      </c>
      <c r="B21" s="45" t="n">
        <v>3</v>
      </c>
      <c r="C21" s="63" t="n">
        <v>58</v>
      </c>
      <c r="D21" s="64" t="n">
        <v>8</v>
      </c>
      <c r="E21" s="45" t="n">
        <v>0</v>
      </c>
      <c r="F21" s="115" t="n">
        <v>3</v>
      </c>
      <c r="G21" s="115" t="n">
        <v>4</v>
      </c>
      <c r="H21" s="115" t="n">
        <v>4</v>
      </c>
      <c r="I21" s="115" t="n">
        <v>3</v>
      </c>
      <c r="J21" s="115" t="n">
        <v>4</v>
      </c>
      <c r="K21" s="41" t="n"/>
      <c r="L21" s="41" t="n"/>
      <c r="M21" s="41" t="n"/>
      <c r="N21" s="41" t="n"/>
      <c r="O21" s="41" t="n"/>
      <c r="P21" s="41" t="n"/>
      <c r="Q21" s="117" t="n"/>
      <c r="R21" s="41" t="n"/>
      <c r="S21" s="69" t="n">
        <v>3</v>
      </c>
      <c r="T21" s="119">
        <f>AVERAGE(F21:R21)</f>
        <v/>
      </c>
      <c r="U21" s="120">
        <f>T21-S21</f>
        <v/>
      </c>
      <c r="V21" s="62" t="n">
        <v>1</v>
      </c>
    </row>
    <row r="22" ht="15" customHeight="1" thickBot="1">
      <c r="A22" s="73" t="inlineStr">
        <is>
          <t>P2</t>
        </is>
      </c>
      <c r="B22" s="74" t="n">
        <v>3</v>
      </c>
      <c r="C22" s="75" t="n">
        <v>56</v>
      </c>
      <c r="D22" s="64" t="n">
        <v>6</v>
      </c>
      <c r="E22" s="74" t="n">
        <v>0</v>
      </c>
      <c r="F22" s="42" t="n">
        <v>3</v>
      </c>
      <c r="G22" s="42" t="n">
        <v>3</v>
      </c>
      <c r="H22" s="42" t="n">
        <v>5</v>
      </c>
      <c r="I22" s="42" t="n">
        <v>4</v>
      </c>
      <c r="J22" s="42" t="n">
        <v>3</v>
      </c>
      <c r="K22" s="42" t="n"/>
      <c r="L22" s="42" t="n"/>
      <c r="M22" s="42" t="n"/>
      <c r="N22" s="42" t="n"/>
      <c r="O22" s="42" t="n"/>
      <c r="P22" s="42" t="n"/>
      <c r="Q22" s="122" t="n"/>
      <c r="R22" s="42" t="n"/>
      <c r="S22" s="69" t="n">
        <v>3</v>
      </c>
      <c r="T22" s="119">
        <f>AVERAGE(F22:R22)</f>
        <v/>
      </c>
      <c r="U22" s="120">
        <f>T22-S22</f>
        <v/>
      </c>
      <c r="V22" s="73" t="n">
        <v>1</v>
      </c>
    </row>
    <row r="23" ht="15" customHeight="1" thickBot="1">
      <c r="A23" s="73" t="inlineStr">
        <is>
          <t>P3</t>
        </is>
      </c>
      <c r="B23" s="74" t="n">
        <v>3</v>
      </c>
      <c r="C23" s="73" t="n">
        <v>56</v>
      </c>
      <c r="D23" s="71" t="n">
        <v>16</v>
      </c>
      <c r="E23" s="74" t="n">
        <v>1</v>
      </c>
      <c r="F23" s="42" t="n">
        <v>3</v>
      </c>
      <c r="G23" s="42" t="n">
        <v>4</v>
      </c>
      <c r="H23" s="42" t="n">
        <v>3</v>
      </c>
      <c r="I23" s="42" t="n">
        <v>4</v>
      </c>
      <c r="J23" s="42" t="n">
        <v>4</v>
      </c>
      <c r="K23" s="42" t="n"/>
      <c r="L23" s="42" t="n"/>
      <c r="M23" s="42" t="n"/>
      <c r="N23" s="42" t="n"/>
      <c r="O23" s="42" t="n"/>
      <c r="P23" s="42" t="n"/>
      <c r="Q23" s="122" t="n"/>
      <c r="R23" s="42" t="n"/>
      <c r="S23" s="69" t="n">
        <v>3</v>
      </c>
      <c r="T23" s="119">
        <f>AVERAGE(F23:R23)</f>
        <v/>
      </c>
      <c r="U23" s="120">
        <f>T23-S23</f>
        <v/>
      </c>
      <c r="V23" s="73" t="n">
        <v>1</v>
      </c>
    </row>
    <row r="24" ht="15" customHeight="1" thickBot="1">
      <c r="A24" s="73" t="inlineStr">
        <is>
          <t>P4</t>
        </is>
      </c>
      <c r="B24" s="80" t="n">
        <v>3</v>
      </c>
      <c r="C24" s="73" t="n">
        <v>60</v>
      </c>
      <c r="D24" s="71" t="n">
        <v>18</v>
      </c>
      <c r="E24" s="74" t="n">
        <v>1</v>
      </c>
      <c r="F24" s="42" t="n">
        <v>3</v>
      </c>
      <c r="G24" s="42" t="n">
        <v>4</v>
      </c>
      <c r="H24" s="42" t="n">
        <v>3</v>
      </c>
      <c r="I24" s="42" t="n">
        <v>4</v>
      </c>
      <c r="J24" s="42" t="n">
        <v>3</v>
      </c>
      <c r="K24" s="42" t="n"/>
      <c r="L24" s="42" t="n"/>
      <c r="M24" s="42" t="n"/>
      <c r="N24" s="42" t="n"/>
      <c r="O24" s="42" t="n"/>
      <c r="P24" s="42" t="n"/>
      <c r="Q24" s="122" t="n"/>
      <c r="R24" s="42" t="n"/>
      <c r="S24" s="69" t="n">
        <v>4</v>
      </c>
      <c r="T24" s="119">
        <f>AVERAGE(F24:R24)</f>
        <v/>
      </c>
      <c r="U24" s="120">
        <f>T24-S24</f>
        <v/>
      </c>
      <c r="V24" s="73" t="n">
        <v>3</v>
      </c>
    </row>
    <row r="25" ht="15" customHeight="1" thickBot="1">
      <c r="A25" s="73" t="inlineStr">
        <is>
          <t>P5</t>
        </is>
      </c>
      <c r="B25" s="74" t="n">
        <v>3</v>
      </c>
      <c r="C25" s="73" t="n">
        <v>92</v>
      </c>
      <c r="D25" s="71" t="n">
        <v>10</v>
      </c>
      <c r="E25" s="74" t="n">
        <v>0</v>
      </c>
      <c r="F25" s="42" t="n">
        <v>3</v>
      </c>
      <c r="G25" s="42" t="n">
        <v>4</v>
      </c>
      <c r="H25" s="42" t="n">
        <v>5</v>
      </c>
      <c r="I25" s="42" t="n">
        <v>4</v>
      </c>
      <c r="J25" s="42" t="n">
        <v>4</v>
      </c>
      <c r="K25" s="42" t="n"/>
      <c r="L25" s="42" t="n"/>
      <c r="M25" s="42" t="n"/>
      <c r="N25" s="42" t="n"/>
      <c r="O25" s="42" t="n"/>
      <c r="P25" s="42" t="n"/>
      <c r="Q25" s="122" t="n"/>
      <c r="R25" s="42" t="n"/>
      <c r="S25" s="69" t="n">
        <v>3</v>
      </c>
      <c r="T25" s="119">
        <f>AVERAGE(F25:R25)</f>
        <v/>
      </c>
      <c r="U25" s="120">
        <f>T25-S25</f>
        <v/>
      </c>
      <c r="V25" s="73" t="n">
        <v>1</v>
      </c>
    </row>
    <row r="26" ht="15" customHeight="1" thickBot="1">
      <c r="A26" s="73" t="inlineStr">
        <is>
          <t>P6</t>
        </is>
      </c>
      <c r="B26" s="80" t="n">
        <v>3</v>
      </c>
      <c r="C26" s="75" t="n">
        <v>123</v>
      </c>
      <c r="D26" s="64" t="n">
        <v>4</v>
      </c>
      <c r="E26" s="74" t="n">
        <v>1</v>
      </c>
      <c r="F26" s="42" t="n">
        <v>4</v>
      </c>
      <c r="G26" s="42" t="n">
        <v>4</v>
      </c>
      <c r="H26" s="42" t="n">
        <v>4</v>
      </c>
      <c r="I26" s="42" t="n">
        <v>4</v>
      </c>
      <c r="J26" s="42" t="n">
        <v>5</v>
      </c>
      <c r="K26" s="42" t="n"/>
      <c r="L26" s="42" t="n"/>
      <c r="M26" s="42" t="n"/>
      <c r="N26" s="42" t="n"/>
      <c r="O26" s="42" t="n"/>
      <c r="P26" s="42" t="n"/>
      <c r="Q26" s="122" t="n"/>
      <c r="R26" s="42" t="n"/>
      <c r="S26" s="69" t="n">
        <v>4</v>
      </c>
      <c r="T26" s="119">
        <f>AVERAGE(F26:R26)</f>
        <v/>
      </c>
      <c r="U26" s="120">
        <f>T26-S26</f>
        <v/>
      </c>
      <c r="V26" s="73" t="n">
        <v>2</v>
      </c>
    </row>
    <row r="27" ht="15" customHeight="1" thickBot="1">
      <c r="A27" s="73" t="inlineStr">
        <is>
          <t>P7</t>
        </is>
      </c>
      <c r="B27" s="80" t="n">
        <v>3</v>
      </c>
      <c r="C27" s="75" t="n">
        <v>118</v>
      </c>
      <c r="D27" s="64" t="n">
        <v>2</v>
      </c>
      <c r="E27" s="74" t="n">
        <v>1</v>
      </c>
      <c r="F27" s="42" t="n">
        <v>5</v>
      </c>
      <c r="G27" s="42" t="n">
        <v>5</v>
      </c>
      <c r="H27" s="42" t="n">
        <v>4</v>
      </c>
      <c r="I27" s="42" t="n">
        <v>5</v>
      </c>
      <c r="J27" s="42" t="n">
        <v>7</v>
      </c>
      <c r="K27" s="42" t="n"/>
      <c r="L27" s="42" t="n"/>
      <c r="M27" s="42" t="n"/>
      <c r="N27" s="42" t="n"/>
      <c r="O27" s="42" t="n"/>
      <c r="P27" s="42" t="n"/>
      <c r="Q27" s="122" t="n"/>
      <c r="R27" s="42" t="n"/>
      <c r="S27" s="69" t="n">
        <v>4</v>
      </c>
      <c r="T27" s="119">
        <f>AVERAGE(F27:R27)</f>
        <v/>
      </c>
      <c r="U27" s="120">
        <f>T27-S27</f>
        <v/>
      </c>
      <c r="V27" s="73" t="n">
        <v>1</v>
      </c>
    </row>
    <row r="28" ht="15" customHeight="1" thickBot="1">
      <c r="A28" s="73" t="inlineStr">
        <is>
          <t>P8</t>
        </is>
      </c>
      <c r="B28" s="74" t="n">
        <v>3</v>
      </c>
      <c r="C28" s="73" t="n">
        <v>67</v>
      </c>
      <c r="D28" s="71" t="n">
        <v>12</v>
      </c>
      <c r="E28" s="74" t="n">
        <v>0</v>
      </c>
      <c r="F28" s="42" t="n">
        <v>3</v>
      </c>
      <c r="G28" s="42" t="n">
        <v>3</v>
      </c>
      <c r="H28" s="42" t="n">
        <v>4</v>
      </c>
      <c r="I28" s="42" t="n">
        <v>4</v>
      </c>
      <c r="J28" s="42" t="n">
        <v>5</v>
      </c>
      <c r="K28" s="42" t="n"/>
      <c r="L28" s="42" t="n"/>
      <c r="M28" s="42" t="n"/>
      <c r="N28" s="42" t="n"/>
      <c r="O28" s="42" t="n"/>
      <c r="P28" s="42" t="n"/>
      <c r="Q28" s="122" t="n"/>
      <c r="R28" s="42" t="n"/>
      <c r="S28" s="69" t="n">
        <v>3</v>
      </c>
      <c r="T28" s="119">
        <f>AVERAGE(F28:R28)</f>
        <v/>
      </c>
      <c r="U28" s="120">
        <f>T28-S28</f>
        <v/>
      </c>
      <c r="V28" s="73" t="n">
        <v>1</v>
      </c>
    </row>
    <row r="29" ht="15" customHeight="1" thickBot="1">
      <c r="A29" s="73" t="inlineStr">
        <is>
          <t>P9</t>
        </is>
      </c>
      <c r="B29" s="74" t="n">
        <v>3</v>
      </c>
      <c r="C29" s="73" t="n">
        <v>75</v>
      </c>
      <c r="D29" s="71" t="n">
        <v>14</v>
      </c>
      <c r="E29" s="74" t="n">
        <v>1</v>
      </c>
      <c r="F29" s="43" t="n">
        <v>3</v>
      </c>
      <c r="G29" s="43" t="n">
        <v>5</v>
      </c>
      <c r="H29" s="43" t="n">
        <v>4</v>
      </c>
      <c r="I29" s="43" t="n">
        <v>4</v>
      </c>
      <c r="J29" s="43" t="n">
        <v>4</v>
      </c>
      <c r="K29" s="43" t="n"/>
      <c r="L29" s="43" t="n"/>
      <c r="M29" s="43" t="n"/>
      <c r="N29" s="43" t="n"/>
      <c r="O29" s="43" t="n"/>
      <c r="P29" s="43" t="n"/>
      <c r="Q29" s="124" t="n"/>
      <c r="R29" s="43" t="n"/>
      <c r="S29" s="69" t="n">
        <v>3</v>
      </c>
      <c r="T29" s="119">
        <f>AVERAGE(F29:R29)</f>
        <v/>
      </c>
      <c r="U29" s="120">
        <f>T29-S29</f>
        <v/>
      </c>
      <c r="V29" s="85" t="n">
        <v>1</v>
      </c>
    </row>
    <row r="30" ht="15" customHeight="1" thickBot="1">
      <c r="A30" s="35" t="n"/>
      <c r="B30" s="86">
        <f>SUM(B21:B29)</f>
        <v/>
      </c>
      <c r="C30" s="86" t="n"/>
      <c r="D30" s="125" t="n"/>
      <c r="E30" s="86" t="n"/>
      <c r="F30" s="88">
        <f>SUM(F21:F29)</f>
        <v/>
      </c>
      <c r="G30" s="88">
        <f>SUM(G21:G29)</f>
        <v/>
      </c>
      <c r="H30" s="88">
        <f>SUM(H21:H29)</f>
        <v/>
      </c>
      <c r="I30" s="88">
        <f>SUM(I21:I29)</f>
        <v/>
      </c>
      <c r="J30" s="88">
        <f>SUM(J21:J29)</f>
        <v/>
      </c>
      <c r="K30" s="88">
        <f>SUM(K21:K29)</f>
        <v/>
      </c>
      <c r="L30" s="88">
        <f>SUM(L21:L29)</f>
        <v/>
      </c>
      <c r="M30" s="88">
        <f>SUM(M21:M29)</f>
        <v/>
      </c>
      <c r="N30" s="88">
        <f>SUM(N21:N29)</f>
        <v/>
      </c>
      <c r="O30" s="88">
        <f>SUM(O21:O29)</f>
        <v/>
      </c>
      <c r="P30" s="88">
        <f>SUM(P21:P29)</f>
        <v/>
      </c>
      <c r="Q30" s="88">
        <f>SUM(Q21:Q29)</f>
        <v/>
      </c>
      <c r="R30" s="88">
        <f>SUM(R21:R29)</f>
        <v/>
      </c>
      <c r="S30" s="88">
        <f>SUM(S21:S29)</f>
        <v/>
      </c>
      <c r="T30" s="127">
        <f>SUM(T21:T29)</f>
        <v/>
      </c>
      <c r="U30" s="88">
        <f>T30-N35</f>
        <v/>
      </c>
      <c r="V30" s="90">
        <f>SUM(V21:V29)</f>
        <v/>
      </c>
    </row>
    <row r="31" ht="15" customHeight="1" thickBot="1">
      <c r="T31" s="129" t="inlineStr">
        <is>
          <t>Average</t>
        </is>
      </c>
      <c r="U31" s="130" t="inlineStr">
        <is>
          <t>Plus</t>
        </is>
      </c>
      <c r="V31" s="130" t="n"/>
    </row>
    <row r="32">
      <c r="A32" s="131" t="inlineStr">
        <is>
          <t>Stb.Points:</t>
        </is>
      </c>
      <c r="B32" s="132" t="n">
        <v>-6</v>
      </c>
      <c r="C32" s="132" t="n">
        <v>-3</v>
      </c>
      <c r="D32" s="132" t="n">
        <v>-2</v>
      </c>
      <c r="E32" s="132" t="n">
        <v>-1</v>
      </c>
      <c r="F32" s="132" t="n">
        <v>0</v>
      </c>
      <c r="G32" s="133" t="n">
        <v>1</v>
      </c>
      <c r="U32" s="134">
        <f>T30-B30</f>
        <v/>
      </c>
    </row>
    <row r="33" ht="15" customHeight="1" thickBot="1">
      <c r="A33" s="135" t="inlineStr">
        <is>
          <t>Points:</t>
        </is>
      </c>
      <c r="B33" s="136" t="n">
        <v>6</v>
      </c>
      <c r="C33" s="136" t="n">
        <v>5</v>
      </c>
      <c r="D33" s="136" t="n">
        <v>4</v>
      </c>
      <c r="E33" s="136" t="n">
        <v>3</v>
      </c>
      <c r="F33" s="136" t="n">
        <v>2</v>
      </c>
      <c r="G33" s="137" t="n">
        <v>1</v>
      </c>
    </row>
  </sheetData>
  <mergeCells count="4">
    <mergeCell ref="I2:S2"/>
    <mergeCell ref="F2:H2"/>
    <mergeCell ref="F19:H19"/>
    <mergeCell ref="J19:T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53"/>
  <sheetViews>
    <sheetView workbookViewId="0">
      <selection activeCell="O6" sqref="O6"/>
    </sheetView>
  </sheetViews>
  <sheetFormatPr baseColWidth="8" defaultRowHeight="14.5"/>
  <cols>
    <col width="17.54296875" bestFit="1" customWidth="1" min="1" max="1"/>
    <col width="12.6328125" bestFit="1" customWidth="1" min="13" max="13"/>
    <col width="12.6328125" bestFit="1" customWidth="1" min="15" max="15"/>
  </cols>
  <sheetData>
    <row r="1" ht="15" customHeight="1" thickBot="1"/>
    <row r="2" ht="15" customHeight="1" thickBot="1">
      <c r="A2" s="138" t="inlineStr">
        <is>
          <t>Ameliesweerd Par 3</t>
        </is>
      </c>
    </row>
    <row r="3">
      <c r="M3" s="285" t="inlineStr">
        <is>
          <t>Courses</t>
        </is>
      </c>
    </row>
    <row r="4">
      <c r="A4" s="47" t="inlineStr">
        <is>
          <t xml:space="preserve">Course Handicap = </t>
        </is>
      </c>
      <c r="B4" s="288" t="inlineStr">
        <is>
          <t>(Your Handicap Index)   x</t>
        </is>
      </c>
      <c r="E4" s="288" t="inlineStr">
        <is>
          <t>(Slope of the Course / 113) +</t>
        </is>
      </c>
      <c r="H4" s="47" t="inlineStr">
        <is>
          <t>(Course Rating − Par)</t>
        </is>
      </c>
      <c r="I4" s="47" t="n"/>
      <c r="L4" s="7" t="inlineStr">
        <is>
          <t>Holes</t>
        </is>
      </c>
      <c r="M4" s="7" t="inlineStr">
        <is>
          <t>Par 5</t>
        </is>
      </c>
      <c r="N4" s="7" t="inlineStr">
        <is>
          <t>Par/4</t>
        </is>
      </c>
      <c r="O4" s="7" t="inlineStr">
        <is>
          <t xml:space="preserve">Par 3 </t>
        </is>
      </c>
      <c r="P4" s="7" t="inlineStr">
        <is>
          <t>SR</t>
        </is>
      </c>
      <c r="Q4" s="7" t="inlineStr">
        <is>
          <t>CR</t>
        </is>
      </c>
    </row>
    <row r="5" ht="15" customHeight="1" thickBot="1">
      <c r="B5" s="285" t="n"/>
      <c r="C5" s="285" t="n"/>
      <c r="D5" s="285" t="n"/>
      <c r="E5" s="285" t="n"/>
      <c r="F5" s="285" t="n"/>
      <c r="G5" s="285" t="n"/>
      <c r="L5" s="7" t="inlineStr">
        <is>
          <t>18H</t>
        </is>
      </c>
      <c r="M5" s="180" t="inlineStr">
        <is>
          <t>Westpark</t>
        </is>
      </c>
      <c r="N5" s="7" t="n"/>
      <c r="O5" s="7" t="n"/>
      <c r="P5" s="7" t="n">
        <v>152</v>
      </c>
      <c r="Q5" s="7" t="n">
        <v>78.8</v>
      </c>
    </row>
    <row r="6" ht="15" customHeight="1" thickBot="1">
      <c r="A6" s="139" t="inlineStr">
        <is>
          <t>Slope R:</t>
        </is>
      </c>
      <c r="B6" s="306" t="n">
        <v>60</v>
      </c>
      <c r="C6" s="36" t="n"/>
      <c r="D6" s="285" t="n"/>
      <c r="E6" s="139" t="inlineStr">
        <is>
          <t>CR:</t>
        </is>
      </c>
      <c r="F6" s="306" t="n">
        <v>23.4</v>
      </c>
      <c r="G6" s="36" t="n"/>
      <c r="H6" s="139" t="inlineStr">
        <is>
          <t>Par:</t>
        </is>
      </c>
      <c r="I6" t="n">
        <v>27</v>
      </c>
      <c r="L6" s="7" t="inlineStr">
        <is>
          <t>18H</t>
        </is>
      </c>
      <c r="M6" s="182" t="inlineStr">
        <is>
          <t>Alkmkreek</t>
        </is>
      </c>
      <c r="N6" s="7" t="n"/>
      <c r="O6" s="7" t="n"/>
      <c r="P6" s="7" t="n">
        <v>142</v>
      </c>
      <c r="Q6" s="7" t="n">
        <v>78.5</v>
      </c>
    </row>
    <row r="7" ht="15" customHeight="1" thickBot="1">
      <c r="A7" s="139" t="inlineStr">
        <is>
          <t>Gross Score:</t>
        </is>
      </c>
      <c r="B7" s="306" t="n">
        <v>36</v>
      </c>
      <c r="C7" s="36" t="n"/>
      <c r="D7" s="285" t="n"/>
      <c r="E7" s="139" t="n"/>
      <c r="F7" s="285" t="n"/>
      <c r="G7" s="285" t="n"/>
      <c r="H7" s="139" t="n"/>
      <c r="L7" s="7" t="inlineStr">
        <is>
          <t>18H</t>
        </is>
      </c>
      <c r="M7" s="183" t="inlineStr">
        <is>
          <t>De Purmer</t>
        </is>
      </c>
      <c r="N7" s="7" t="n"/>
      <c r="O7" s="7" t="n"/>
      <c r="P7" s="7" t="n">
        <v>132</v>
      </c>
      <c r="Q7" s="7" t="n">
        <v>72.7</v>
      </c>
    </row>
    <row r="8" ht="15" customHeight="1" thickBot="1">
      <c r="L8" s="7" t="inlineStr">
        <is>
          <t>18H</t>
        </is>
      </c>
      <c r="M8" s="182" t="inlineStr">
        <is>
          <t>Ameliesweerd</t>
        </is>
      </c>
      <c r="N8" s="7" t="n"/>
      <c r="O8" s="7" t="n"/>
      <c r="P8" s="7" t="n">
        <v>142</v>
      </c>
      <c r="Q8" s="7" t="n">
        <v>77</v>
      </c>
    </row>
    <row r="9" ht="15" customHeight="1" thickBot="1">
      <c r="A9" t="inlineStr">
        <is>
          <t xml:space="preserve">Course Handicap = </t>
        </is>
      </c>
      <c r="B9" s="306" t="n">
        <v>54</v>
      </c>
      <c r="C9" s="305" t="n"/>
      <c r="D9" s="36" t="n"/>
      <c r="E9" s="306">
        <f>(B6/113)</f>
        <v/>
      </c>
      <c r="F9" s="305" t="n"/>
      <c r="G9" s="36" t="n"/>
      <c r="H9" s="306">
        <f>F6-I6</f>
        <v/>
      </c>
      <c r="I9" s="36" t="n"/>
      <c r="L9" s="7" t="inlineStr">
        <is>
          <t>9H</t>
        </is>
      </c>
      <c r="M9" s="7" t="n"/>
      <c r="N9" s="7" t="n"/>
      <c r="O9" s="7" t="inlineStr">
        <is>
          <t>Ameliesweerd</t>
        </is>
      </c>
      <c r="P9" s="7" t="n">
        <v>63</v>
      </c>
      <c r="Q9" s="7" t="n">
        <v>24.4</v>
      </c>
    </row>
    <row r="10" ht="15" customHeight="1" thickBot="1">
      <c r="L10" s="7" t="inlineStr">
        <is>
          <t>18H</t>
        </is>
      </c>
      <c r="M10" s="181" t="inlineStr">
        <is>
          <t>Krommerijn</t>
        </is>
      </c>
      <c r="N10" s="7" t="n"/>
      <c r="O10" s="7" t="n"/>
      <c r="P10" s="7" t="n">
        <v>143</v>
      </c>
      <c r="Q10" s="7" t="n">
        <v>76.8</v>
      </c>
    </row>
    <row r="11" ht="15" customHeight="1" thickBot="1">
      <c r="A11" t="inlineStr">
        <is>
          <t xml:space="preserve">Course Handicap = </t>
        </is>
      </c>
      <c r="B11" s="307">
        <f>(B9*E9)+H9</f>
        <v/>
      </c>
      <c r="C11" s="36" t="n"/>
      <c r="L11" s="7" t="inlineStr">
        <is>
          <t>9H</t>
        </is>
      </c>
      <c r="M11" s="7" t="n"/>
      <c r="N11" s="7" t="inlineStr">
        <is>
          <t>SGU</t>
        </is>
      </c>
      <c r="O11" s="7" t="n"/>
      <c r="P11" s="7" t="n">
        <v>65</v>
      </c>
      <c r="Q11" s="7" t="n">
        <v>23.9</v>
      </c>
    </row>
    <row r="12" ht="15" customHeight="1" thickBot="1">
      <c r="A12" t="inlineStr">
        <is>
          <t>Net score:</t>
        </is>
      </c>
      <c r="B12" s="307">
        <f>B7-B11</f>
        <v/>
      </c>
      <c r="C12" s="36" t="n"/>
      <c r="L12" s="7" t="inlineStr">
        <is>
          <t>9H</t>
        </is>
      </c>
      <c r="M12" s="7" t="n"/>
      <c r="N12" s="7" t="n"/>
      <c r="O12" s="7" t="inlineStr">
        <is>
          <t>SGU</t>
        </is>
      </c>
      <c r="P12" s="7" t="n">
        <v>63</v>
      </c>
      <c r="Q12" s="7" t="n">
        <v>24.4</v>
      </c>
    </row>
    <row r="13">
      <c r="L13" s="7" t="inlineStr">
        <is>
          <t>9H</t>
        </is>
      </c>
      <c r="M13" s="7" t="n"/>
      <c r="N13" s="7" t="n"/>
      <c r="O13" s="7" t="inlineStr">
        <is>
          <t>Rotterdam</t>
        </is>
      </c>
      <c r="P13" s="7" t="n">
        <v>69</v>
      </c>
      <c r="Q13" s="7" t="n">
        <v>24.2</v>
      </c>
    </row>
    <row r="14" ht="15" customHeight="1" thickBot="1">
      <c r="L14" s="7" t="inlineStr">
        <is>
          <t>9H</t>
        </is>
      </c>
      <c r="M14" s="7" t="n"/>
      <c r="N14" s="7" t="n"/>
      <c r="O14" s="7" t="inlineStr">
        <is>
          <t>Hoenderdal</t>
        </is>
      </c>
      <c r="P14" s="7" t="n">
        <v>80</v>
      </c>
      <c r="Q14" s="7" t="n">
        <v>25.8</v>
      </c>
    </row>
    <row r="15" ht="15" customHeight="1" thickBot="1">
      <c r="A15" s="138" t="inlineStr">
        <is>
          <t>SGU Par 3</t>
        </is>
      </c>
    </row>
    <row r="16">
      <c r="L16">
        <f>27-56</f>
        <v/>
      </c>
    </row>
    <row r="17">
      <c r="A17" s="47" t="inlineStr">
        <is>
          <t xml:space="preserve">Course Handicap = </t>
        </is>
      </c>
      <c r="B17" s="288" t="inlineStr">
        <is>
          <t>(Your Handicap Index)   x</t>
        </is>
      </c>
      <c r="E17" s="288" t="inlineStr">
        <is>
          <t>(Slope of the Course / 113) +</t>
        </is>
      </c>
      <c r="H17" s="47" t="inlineStr">
        <is>
          <t>(Course Rating − Par)</t>
        </is>
      </c>
      <c r="I17" s="47" t="n"/>
    </row>
    <row r="18" ht="15" customHeight="1" thickBot="1">
      <c r="B18" s="285" t="n"/>
      <c r="C18" s="285" t="n"/>
      <c r="D18" s="285" t="n"/>
      <c r="E18" s="285" t="n"/>
      <c r="F18" s="285" t="n"/>
      <c r="G18" s="285" t="n"/>
    </row>
    <row r="19" ht="15" customHeight="1" thickBot="1">
      <c r="A19" s="139" t="inlineStr">
        <is>
          <t>Slope R:</t>
        </is>
      </c>
      <c r="B19" s="306" t="n">
        <v>54</v>
      </c>
      <c r="C19" s="36" t="n"/>
      <c r="D19" s="285" t="n"/>
      <c r="E19" s="139" t="inlineStr">
        <is>
          <t>CR:</t>
        </is>
      </c>
      <c r="F19" s="306" t="n">
        <v>47.5</v>
      </c>
      <c r="G19" s="36" t="n"/>
      <c r="H19" s="139" t="inlineStr">
        <is>
          <t>Par:</t>
        </is>
      </c>
      <c r="I19" t="n">
        <v>27</v>
      </c>
    </row>
    <row r="20" ht="15" customHeight="1" thickBot="1">
      <c r="A20" s="139" t="inlineStr">
        <is>
          <t>Gross Score:</t>
        </is>
      </c>
      <c r="B20" s="306" t="n">
        <v>36</v>
      </c>
      <c r="C20" s="36" t="n"/>
      <c r="D20" s="285" t="n"/>
      <c r="E20" s="139" t="n"/>
      <c r="F20" s="285" t="n"/>
      <c r="G20" s="285" t="n"/>
      <c r="H20" s="139" t="n"/>
    </row>
    <row r="21" ht="15" customHeight="1" thickBot="1"/>
    <row r="22" ht="15" customHeight="1" thickBot="1">
      <c r="A22" t="inlineStr">
        <is>
          <t xml:space="preserve">Course Handicap = </t>
        </is>
      </c>
      <c r="B22" s="306" t="n">
        <v>54</v>
      </c>
      <c r="C22" s="305" t="n"/>
      <c r="D22" s="36" t="n"/>
      <c r="E22" s="306">
        <f>(B19/113)</f>
        <v/>
      </c>
      <c r="F22" s="305" t="n"/>
      <c r="G22" s="36" t="n"/>
      <c r="H22" s="306">
        <f>F19-I19</f>
        <v/>
      </c>
      <c r="I22" s="36" t="n"/>
    </row>
    <row r="23" ht="15" customHeight="1" thickBot="1"/>
    <row r="24" ht="15" customHeight="1" thickBot="1">
      <c r="A24" t="inlineStr">
        <is>
          <t xml:space="preserve">Course Handicap = </t>
        </is>
      </c>
      <c r="B24" s="307">
        <f>(B22*E22)+H22</f>
        <v/>
      </c>
      <c r="C24" s="36" t="n"/>
    </row>
    <row r="25" ht="15" customHeight="1" thickBot="1">
      <c r="A25" t="inlineStr">
        <is>
          <t>Net score:</t>
        </is>
      </c>
      <c r="B25" s="307">
        <f>B20-B24</f>
        <v/>
      </c>
      <c r="C25" s="36" t="n"/>
    </row>
    <row r="27" ht="15" customHeight="1" thickBot="1">
      <c r="D27" s="134" t="n"/>
    </row>
    <row r="28" ht="15" customHeight="1" thickBot="1">
      <c r="A28" s="138" t="inlineStr">
        <is>
          <t>SGU Par 3/4</t>
        </is>
      </c>
    </row>
    <row r="30">
      <c r="A30" s="47" t="inlineStr">
        <is>
          <t xml:space="preserve">Course Handicap = </t>
        </is>
      </c>
      <c r="B30" s="288" t="inlineStr">
        <is>
          <t>(Your Handicap Index)   x</t>
        </is>
      </c>
      <c r="E30" s="288" t="inlineStr">
        <is>
          <t>(Slope of the Course / 113) +</t>
        </is>
      </c>
      <c r="H30" s="47" t="inlineStr">
        <is>
          <t>(Course Rating − Par)</t>
        </is>
      </c>
      <c r="I30" s="47" t="n"/>
    </row>
    <row r="31" ht="15" customHeight="1" thickBot="1">
      <c r="A31" t="inlineStr">
        <is>
          <t>Red</t>
        </is>
      </c>
      <c r="B31" s="285" t="n"/>
      <c r="C31" s="285" t="n"/>
      <c r="D31" s="285" t="n"/>
      <c r="E31" s="285" t="n"/>
      <c r="F31" s="285" t="n"/>
      <c r="G31" s="285" t="n"/>
    </row>
    <row r="32" ht="15" customHeight="1" thickBot="1">
      <c r="A32" s="139" t="inlineStr">
        <is>
          <t>Slope R:</t>
        </is>
      </c>
      <c r="B32" s="306" t="n">
        <v>89</v>
      </c>
      <c r="C32" s="36" t="n"/>
      <c r="D32" s="285" t="n"/>
      <c r="E32" s="139" t="inlineStr">
        <is>
          <t>CR:</t>
        </is>
      </c>
      <c r="F32" s="306" t="n">
        <v>28.3</v>
      </c>
      <c r="G32" s="36" t="n"/>
      <c r="H32" s="139" t="inlineStr">
        <is>
          <t>Par:</t>
        </is>
      </c>
      <c r="I32" t="n">
        <v>29</v>
      </c>
    </row>
    <row r="33" ht="15" customHeight="1" thickBot="1">
      <c r="A33" s="139" t="inlineStr">
        <is>
          <t>Gross Score:</t>
        </is>
      </c>
      <c r="B33" s="306" t="n">
        <v>36</v>
      </c>
      <c r="C33" s="36" t="n"/>
      <c r="D33" s="285" t="n"/>
      <c r="E33" s="139" t="n"/>
      <c r="F33" s="285" t="n"/>
      <c r="G33" s="285" t="n"/>
      <c r="H33" s="139" t="n"/>
    </row>
    <row r="34" ht="15" customHeight="1" thickBot="1"/>
    <row r="35" ht="15" customHeight="1" thickBot="1">
      <c r="A35" t="inlineStr">
        <is>
          <t xml:space="preserve">Course Handicap = </t>
        </is>
      </c>
      <c r="B35" s="306" t="n">
        <v>16</v>
      </c>
      <c r="C35" s="305" t="n"/>
      <c r="D35" s="36" t="n"/>
      <c r="E35" s="306">
        <f>(B32/113)</f>
        <v/>
      </c>
      <c r="F35" s="305" t="n"/>
      <c r="G35" s="36" t="n"/>
      <c r="H35" s="306">
        <f>F32-I32</f>
        <v/>
      </c>
      <c r="I35" s="36" t="n"/>
    </row>
    <row r="36" ht="15" customHeight="1" thickBot="1"/>
    <row r="37" ht="15" customHeight="1" thickBot="1">
      <c r="A37" t="inlineStr">
        <is>
          <t xml:space="preserve">Course Handicap = </t>
        </is>
      </c>
      <c r="B37" s="307">
        <f>(B35*E35)+H35</f>
        <v/>
      </c>
      <c r="C37" s="36" t="n"/>
    </row>
    <row r="38" ht="15" customHeight="1" thickBot="1">
      <c r="A38" t="inlineStr">
        <is>
          <t>Net score:</t>
        </is>
      </c>
      <c r="B38" s="307">
        <f>B33-B37</f>
        <v/>
      </c>
      <c r="C38" s="36" t="n"/>
    </row>
    <row r="42" ht="15" customHeight="1" thickBot="1"/>
    <row r="43" ht="15" customHeight="1" thickBot="1">
      <c r="A43" s="138" t="inlineStr">
        <is>
          <t>Almkreek B9H</t>
        </is>
      </c>
    </row>
    <row r="45">
      <c r="A45" s="47" t="inlineStr">
        <is>
          <t xml:space="preserve">Course Handicap = </t>
        </is>
      </c>
      <c r="B45" s="288" t="inlineStr">
        <is>
          <t>(Your Handicap Index)   x</t>
        </is>
      </c>
      <c r="E45" s="288" t="inlineStr">
        <is>
          <t>(Slope of the Course / 113) +</t>
        </is>
      </c>
      <c r="H45" s="47" t="inlineStr">
        <is>
          <t>(Course Rating − Par)</t>
        </is>
      </c>
      <c r="I45" s="47" t="n"/>
    </row>
    <row r="46" ht="15" customHeight="1" thickBot="1">
      <c r="A46" t="inlineStr">
        <is>
          <t>Red</t>
        </is>
      </c>
      <c r="B46" s="285" t="n"/>
      <c r="C46" s="285" t="n"/>
      <c r="D46" s="285" t="n"/>
      <c r="E46" s="285" t="n"/>
      <c r="F46" s="285" t="n"/>
      <c r="G46" s="285" t="n"/>
    </row>
    <row r="47" ht="15" customHeight="1" thickBot="1">
      <c r="A47" s="139" t="inlineStr">
        <is>
          <t>Slope R:</t>
        </is>
      </c>
      <c r="B47" s="306" t="n">
        <v>127</v>
      </c>
      <c r="C47" s="36" t="n"/>
      <c r="D47" s="285" t="n"/>
      <c r="E47" s="139" t="inlineStr">
        <is>
          <t>CR:</t>
        </is>
      </c>
      <c r="F47" s="306" t="n">
        <v>35.6</v>
      </c>
      <c r="G47" s="36" t="n"/>
      <c r="H47" s="139" t="inlineStr">
        <is>
          <t>Par:</t>
        </is>
      </c>
      <c r="I47" t="n">
        <v>36</v>
      </c>
    </row>
    <row r="48" ht="15" customHeight="1" thickBot="1">
      <c r="A48" s="139" t="inlineStr">
        <is>
          <t>Gross Score:</t>
        </is>
      </c>
      <c r="B48" s="306" t="n">
        <v>36</v>
      </c>
      <c r="C48" s="36" t="n"/>
      <c r="D48" s="285" t="n"/>
      <c r="E48" s="139" t="n"/>
      <c r="F48" s="285" t="n"/>
      <c r="G48" s="285" t="n"/>
      <c r="H48" s="139" t="n"/>
    </row>
    <row r="49" ht="15" customHeight="1" thickBot="1"/>
    <row r="50" ht="15" customHeight="1" thickBot="1">
      <c r="A50" t="inlineStr">
        <is>
          <t xml:space="preserve">Course Handicap = </t>
        </is>
      </c>
      <c r="B50" s="306" t="n">
        <v>16</v>
      </c>
      <c r="C50" s="305" t="n"/>
      <c r="D50" s="36" t="n"/>
      <c r="E50" s="306">
        <f>(B47/113)</f>
        <v/>
      </c>
      <c r="F50" s="305" t="n"/>
      <c r="G50" s="36" t="n"/>
      <c r="H50" s="306">
        <f>F47-I47</f>
        <v/>
      </c>
      <c r="I50" s="36" t="n"/>
    </row>
    <row r="51" ht="15" customHeight="1" thickBot="1"/>
    <row r="52" ht="15" customHeight="1" thickBot="1">
      <c r="A52" t="inlineStr">
        <is>
          <t xml:space="preserve">Course Handicap = </t>
        </is>
      </c>
      <c r="B52" s="307">
        <f>(B50*E50)+H50</f>
        <v/>
      </c>
      <c r="C52" s="36" t="n"/>
    </row>
    <row r="53" ht="15" customHeight="1" thickBot="1">
      <c r="A53" t="inlineStr">
        <is>
          <t>Net score:</t>
        </is>
      </c>
      <c r="B53" s="307">
        <f>B48-B52</f>
        <v/>
      </c>
      <c r="C53" s="36" t="n"/>
    </row>
  </sheetData>
  <mergeCells count="41">
    <mergeCell ref="H35:I35"/>
    <mergeCell ref="B47:C47"/>
    <mergeCell ref="B7:C7"/>
    <mergeCell ref="B25:C25"/>
    <mergeCell ref="F19:G19"/>
    <mergeCell ref="B17:D17"/>
    <mergeCell ref="F6:G6"/>
    <mergeCell ref="E9:G9"/>
    <mergeCell ref="H50:I50"/>
    <mergeCell ref="E30:G30"/>
    <mergeCell ref="H9:I9"/>
    <mergeCell ref="B12:C12"/>
    <mergeCell ref="B52:C52"/>
    <mergeCell ref="B48:C48"/>
    <mergeCell ref="B11:C11"/>
    <mergeCell ref="E45:G45"/>
    <mergeCell ref="B9:D9"/>
    <mergeCell ref="B30:D30"/>
    <mergeCell ref="F32:G32"/>
    <mergeCell ref="B53:C53"/>
    <mergeCell ref="B38:C38"/>
    <mergeCell ref="F47:G47"/>
    <mergeCell ref="E22:G22"/>
    <mergeCell ref="B45:D45"/>
    <mergeCell ref="B19:C19"/>
    <mergeCell ref="B37:C37"/>
    <mergeCell ref="B35:D35"/>
    <mergeCell ref="B4:D4"/>
    <mergeCell ref="B50:D50"/>
    <mergeCell ref="E50:G50"/>
    <mergeCell ref="H22:I22"/>
    <mergeCell ref="M3:Q3"/>
    <mergeCell ref="B6:C6"/>
    <mergeCell ref="B24:C24"/>
    <mergeCell ref="B33:C33"/>
    <mergeCell ref="B22:D22"/>
    <mergeCell ref="B20:C20"/>
    <mergeCell ref="E17:G17"/>
    <mergeCell ref="E35:G35"/>
    <mergeCell ref="E4:G4"/>
    <mergeCell ref="B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Josina Bernardes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2026-03-04T15:02:02Z</dcterms:modified>
  <cp:lastModifiedBy>Josina Bernardes</cp:lastModifiedBy>
</cp:coreProperties>
</file>
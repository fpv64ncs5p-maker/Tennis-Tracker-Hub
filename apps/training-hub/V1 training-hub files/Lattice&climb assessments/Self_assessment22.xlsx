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d.docs.live.net/10f231d334be0b13/Ambiente de Trabalho/My Trainings 2022/Other Training charts/"/>
    </mc:Choice>
  </mc:AlternateContent>
  <xr:revisionPtr revIDLastSave="643" documentId="11_F25DC773A252ABDACC1048EE11DA758E5ADE58F3" xr6:coauthVersionLast="47" xr6:coauthVersionMax="47" xr10:uidLastSave="{60FB6753-44A6-49BE-B94A-7B6B4EB5FCC2}"/>
  <bookViews>
    <workbookView xWindow="-110" yWindow="-110" windowWidth="19420" windowHeight="10300" tabRatio="839" firstSheet="1" activeTab="7" xr2:uid="{00000000-000D-0000-FFFF-FFFF00000000}"/>
  </bookViews>
  <sheets>
    <sheet name="Graph Eval" sheetId="10" r:id="rId1"/>
    <sheet name="Goals" sheetId="1" r:id="rId2"/>
    <sheet name="Self-Assement Test" sheetId="2" r:id="rId3"/>
    <sheet name="Climbing Experience Eval" sheetId="3" r:id="rId4"/>
    <sheet name="TecniSkills" sheetId="11" r:id="rId5"/>
    <sheet name="Mental Skill Eval" sheetId="4" r:id="rId6"/>
    <sheet name="General fitness Eval" sheetId="5" r:id="rId7"/>
    <sheet name="Climbing specific Fitn" sheetId="6" r:id="rId8"/>
    <sheet name="Injury Risk Eval" sheetId="7" r:id="rId9"/>
    <sheet name="Nutritional  Eval" sheetId="8" r:id="rId10"/>
    <sheet name="Lifestyle Eval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5" l="1"/>
  <c r="J4" i="5"/>
  <c r="D39" i="5"/>
  <c r="C38" i="5"/>
  <c r="C40" i="3"/>
  <c r="C6" i="10" s="1"/>
  <c r="C4" i="9"/>
  <c r="C3" i="9"/>
  <c r="C2" i="9"/>
  <c r="C4" i="8"/>
  <c r="C3" i="8"/>
  <c r="C2" i="8"/>
  <c r="C4" i="7"/>
  <c r="C3" i="7"/>
  <c r="C2" i="7"/>
  <c r="C4" i="6"/>
  <c r="C3" i="6"/>
  <c r="C2" i="6"/>
  <c r="C4" i="5"/>
  <c r="C3" i="5"/>
  <c r="C2" i="5"/>
  <c r="C4" i="4"/>
  <c r="C3" i="4"/>
  <c r="C2" i="4"/>
  <c r="C4" i="11"/>
  <c r="C3" i="11"/>
  <c r="C2" i="11"/>
  <c r="C4" i="3"/>
  <c r="C3" i="3"/>
  <c r="C2" i="3"/>
  <c r="C4" i="10"/>
  <c r="C3" i="10"/>
  <c r="C2" i="10"/>
  <c r="C39" i="11"/>
  <c r="C7" i="10" s="1"/>
  <c r="C39" i="9"/>
  <c r="C13" i="10" s="1"/>
  <c r="C39" i="8"/>
  <c r="C12" i="10" s="1"/>
  <c r="C39" i="7"/>
  <c r="C11" i="10" s="1"/>
  <c r="C39" i="6"/>
  <c r="C10" i="10" s="1"/>
  <c r="C39" i="5"/>
  <c r="C9" i="10" s="1"/>
  <c r="C39" i="4"/>
  <c r="C8" i="10" s="1"/>
  <c r="C30" i="2"/>
  <c r="C29" i="2"/>
  <c r="C28" i="2"/>
</calcChain>
</file>

<file path=xl/sharedStrings.xml><?xml version="1.0" encoding="utf-8"?>
<sst xmlns="http://schemas.openxmlformats.org/spreadsheetml/2006/main" count="443" uniqueCount="249">
  <si>
    <t>Name:</t>
  </si>
  <si>
    <t>Age:</t>
  </si>
  <si>
    <t>Date:</t>
  </si>
  <si>
    <t>Goal Setting</t>
  </si>
  <si>
    <t>Short-term goal</t>
  </si>
  <si>
    <t>a)</t>
  </si>
  <si>
    <t>b)</t>
  </si>
  <si>
    <t>c)</t>
  </si>
  <si>
    <t>Long-term Goal</t>
  </si>
  <si>
    <t>Timelines:</t>
  </si>
  <si>
    <t>i)</t>
  </si>
  <si>
    <t>What I want:</t>
  </si>
  <si>
    <t>What will I sacrifice:</t>
  </si>
  <si>
    <t>What I am going to do for it:</t>
  </si>
  <si>
    <t>ii)</t>
  </si>
  <si>
    <t>iii)</t>
  </si>
  <si>
    <t>Medium-Term goal (in the calendar)</t>
  </si>
  <si>
    <t>Climbing projects, trips, comp</t>
  </si>
  <si>
    <t>Non climbing</t>
  </si>
  <si>
    <t>Outside climbing, social, etc</t>
  </si>
  <si>
    <t>(Score yourself between 1 and 5 on the follow questions)</t>
  </si>
  <si>
    <t>1: almost always</t>
  </si>
  <si>
    <t>2: often</t>
  </si>
  <si>
    <t>3: sometimes</t>
  </si>
  <si>
    <t>4: seldom</t>
  </si>
  <si>
    <t>5: never</t>
  </si>
  <si>
    <t>I get anxiuous and tight as I head into crux sequences</t>
  </si>
  <si>
    <t>I miss hidden holds</t>
  </si>
  <si>
    <t>I have difficulty hanging on small, necessary-to-use holds</t>
  </si>
  <si>
    <t>I make excuses for why I might fail on a route before I even begin to climb</t>
  </si>
  <si>
    <t>My forearms ballon and my grip begins to fail even on routes that are easy for me</t>
  </si>
  <si>
    <t>On hard sequences, I have difficulty stepping onto critical footholds</t>
  </si>
  <si>
    <t>My footwork deteriorates during the hardes part of a climb</t>
  </si>
  <si>
    <t>I pump out on overhanging climbs no matter how big the holds</t>
  </si>
  <si>
    <t>I train or climb (or do a combination) three days in a row</t>
  </si>
  <si>
    <t>I grab quickdraws, the rope, or other gear instead of risking a fall trying a hard move which i am unsure</t>
  </si>
  <si>
    <t>I have difficulty in reading sequences</t>
  </si>
  <si>
    <t>I experience shoulder, elbow, or finger oain when I climb</t>
  </si>
  <si>
    <t>I have more difficulty climbing when people are watching</t>
  </si>
  <si>
    <t>My feet unexpectedly pop off footholds</t>
  </si>
  <si>
    <t>I have difficulty hanging on to a small sloping holds or pockets</t>
  </si>
  <si>
    <t>Score (1-5)</t>
  </si>
  <si>
    <t>Calculate your score in the three areas:</t>
  </si>
  <si>
    <t>Mental</t>
  </si>
  <si>
    <t>Technical</t>
  </si>
  <si>
    <t>Physical</t>
  </si>
  <si>
    <t>1: one or two</t>
  </si>
  <si>
    <t>5: six</t>
  </si>
  <si>
    <t>How long have you been climbing?</t>
  </si>
  <si>
    <t>On average, how many days poer month do you climb (both indoor, outdoor)?</t>
  </si>
  <si>
    <t>How many different climbing areas and gyms have you visited in the last year?</t>
  </si>
  <si>
    <t>How many of the following styles of climbing have you been active in the last year, outdoor sports climbing, follow trad climb, lead trad climb, big walls?</t>
  </si>
  <si>
    <t>How many of the following styles of climbing have you engaged in over the last three months: Slab climbing, face climbing, pocket climbing, roofs?</t>
  </si>
  <si>
    <t>Analyses:</t>
  </si>
  <si>
    <t>1: less than six months</t>
  </si>
  <si>
    <t>2: six to twelve months</t>
  </si>
  <si>
    <t>3: one to four years</t>
  </si>
  <si>
    <t>5: more than tem years</t>
  </si>
  <si>
    <t>R1</t>
  </si>
  <si>
    <t>R2</t>
  </si>
  <si>
    <t>R5</t>
  </si>
  <si>
    <t>R4</t>
  </si>
  <si>
    <t>R3</t>
  </si>
  <si>
    <t>1: one day or less</t>
  </si>
  <si>
    <t>2: two to three days</t>
  </si>
  <si>
    <t>3: four to eight days</t>
  </si>
  <si>
    <t>4: nine to twelve days</t>
  </si>
  <si>
    <t>5: more than twelve days</t>
  </si>
  <si>
    <t>4: five to ten years</t>
  </si>
  <si>
    <t>1: just one</t>
  </si>
  <si>
    <t>2: two to four</t>
  </si>
  <si>
    <t>3: five to  nine</t>
  </si>
  <si>
    <t>4: ten to fifteen</t>
  </si>
  <si>
    <t>5: more than fifteen</t>
  </si>
  <si>
    <t>1: one</t>
  </si>
  <si>
    <t>2: two</t>
  </si>
  <si>
    <t>3: three</t>
  </si>
  <si>
    <t>4: four</t>
  </si>
  <si>
    <t>5: five or six</t>
  </si>
  <si>
    <t>2: three</t>
  </si>
  <si>
    <t>If:</t>
  </si>
  <si>
    <t>23-25: you have excellent tecnhical skills</t>
  </si>
  <si>
    <t>20-22: your technical skills are above average</t>
  </si>
  <si>
    <t>10-14: you possess some fundamental flaws in climbing technique</t>
  </si>
  <si>
    <t>5-9: you are still at the beguinning of the learning curve</t>
  </si>
  <si>
    <t>I visualize myself succesfully climbing the route before I leave the ground.</t>
  </si>
  <si>
    <t>1: seldom or never</t>
  </si>
  <si>
    <t>2: occasionally</t>
  </si>
  <si>
    <t>3:about half of the time</t>
  </si>
  <si>
    <t>4: often</t>
  </si>
  <si>
    <t>5: almost always</t>
  </si>
  <si>
    <t>4: occasionally</t>
  </si>
  <si>
    <t>5: seldom or never</t>
  </si>
  <si>
    <t>I get anxious, tight, and hesitant as I climb into crux sequences?</t>
  </si>
  <si>
    <t>I miss hidden holds or blow a known sequence.</t>
  </si>
  <si>
    <t>I make excuses for why I might fail on a route before I even begin to climb.</t>
  </si>
  <si>
    <t>When I lead climb a safe route, I push myself to the complete limit, and if I fall, I fall trying.</t>
  </si>
  <si>
    <t>23-25: you have excellent mental skills</t>
  </si>
  <si>
    <t>20-22: your mental skills are above average</t>
  </si>
  <si>
    <t>15-19: Your mental skills are near average.</t>
  </si>
  <si>
    <t>15-19: Your tecnhicalskills are near average.</t>
  </si>
  <si>
    <t>10-14: you have limited mental skills and they are blocking your climbing performance.</t>
  </si>
  <si>
    <t>5-9: you are week in mental skills, but can easly develop with more climbing.</t>
  </si>
  <si>
    <t>How many kg (body fat or excessively bulky muscles) do you estimate you are from your Ideal climbing weight?</t>
  </si>
  <si>
    <t>1: more then 4,5kg</t>
  </si>
  <si>
    <t>2: 4,5kg - 9kg</t>
  </si>
  <si>
    <t>3: 2,5kg - 4,5kg</t>
  </si>
  <si>
    <t>4: just a few</t>
  </si>
  <si>
    <t>5: 0kg</t>
  </si>
  <si>
    <t>How far could you jog (modest-paced steady running) without stopping?</t>
  </si>
  <si>
    <t>1: less then 800m</t>
  </si>
  <si>
    <t>2: 800m to 1km</t>
  </si>
  <si>
    <t>3:1km to 2,3km</t>
  </si>
  <si>
    <t>4: 4,8km to 8km</t>
  </si>
  <si>
    <t>5: more then 8km</t>
  </si>
  <si>
    <t>How many pull-ups can you do in a single set?</t>
  </si>
  <si>
    <t>1: W: one or none; M: less then five</t>
  </si>
  <si>
    <t>2:  W: two or four; M: five to nine</t>
  </si>
  <si>
    <t>5:  W: more then twenty; M: more then thirty</t>
  </si>
  <si>
    <t>How many push-ups can you do in a single set?</t>
  </si>
  <si>
    <t>1: W: less then two; M: less then five</t>
  </si>
  <si>
    <t>2:  W: three to six; M: five to fifteen</t>
  </si>
  <si>
    <t>3:  W: seven to fifteen; M: sixteen to twenty-five</t>
  </si>
  <si>
    <t>4:  W: sixteen to twenty-five; M: twenty-five to forty</t>
  </si>
  <si>
    <t>5:  W: more then twenty; M: more then forty</t>
  </si>
  <si>
    <t>3:  W: five to  nine; M: ten to nineteen</t>
  </si>
  <si>
    <t>4:  W: ten to twenty; M: twenty to thirty</t>
  </si>
  <si>
    <t>How many abdominal crunches can you do in a single set?</t>
  </si>
  <si>
    <t>1: fewer then tem</t>
  </si>
  <si>
    <t>2:  ten to twenty</t>
  </si>
  <si>
    <t>3:  twenty-one to forty-nine</t>
  </si>
  <si>
    <t>4:  fifty to seventy-five</t>
  </si>
  <si>
    <t>5: more then seventy-five</t>
  </si>
  <si>
    <t>23-25: you have excellent general fitness skills</t>
  </si>
  <si>
    <t>20-22: your general fitness are above average</t>
  </si>
  <si>
    <t>15-19: Your general fitness are near average.</t>
  </si>
  <si>
    <t>10-14: you have limited general fitness and they are blocking your climbing performance.</t>
  </si>
  <si>
    <t>5-9: you have a poor general fitnesss, but can easly develop in this area!</t>
  </si>
  <si>
    <t>On overhang routes with large holds, I pump out quickly and need to hang on the rope.</t>
  </si>
  <si>
    <t>I find it difficult to hold a lock-off with one arm when I get to advance the other hand</t>
  </si>
  <si>
    <t>Given a marginal mid-climb rest, I can shake out and recover enough to complete the route.</t>
  </si>
  <si>
    <t>My maximum bouldering hability is:</t>
  </si>
  <si>
    <t>1: V0 or V1</t>
  </si>
  <si>
    <t>2: V2 to V3</t>
  </si>
  <si>
    <t>3: V4 to V6</t>
  </si>
  <si>
    <t>4: V7 to V9</t>
  </si>
  <si>
    <t>5: V10 above</t>
  </si>
  <si>
    <t>23-25: you have excellent climbing fitness skills</t>
  </si>
  <si>
    <t>20-22: your climbing fitness are above average</t>
  </si>
  <si>
    <t>15-19: Your climbing fitness are near average.</t>
  </si>
  <si>
    <t>10-14: you have limited climbing fitness and they are blocking your climbing performance.</t>
  </si>
  <si>
    <t>5-9: you have a poor climbing fitness, but can easly develop in this area!</t>
  </si>
  <si>
    <t>I perform warm-up activity and some stretching before climbing or training.</t>
  </si>
  <si>
    <t>I climb hard on three or more consecutive days.</t>
  </si>
  <si>
    <t>1: every week</t>
  </si>
  <si>
    <t>3:a couple of times per month</t>
  </si>
  <si>
    <t>4: once per month</t>
  </si>
  <si>
    <t>When climbing, I experience elbow, shoulder, or finger pain.</t>
  </si>
  <si>
    <t>3: occasionally</t>
  </si>
  <si>
    <t>4: frequently</t>
  </si>
  <si>
    <t>I engage in regular training of the antagonist and stabilizer muscles.</t>
  </si>
  <si>
    <t>1: never</t>
  </si>
  <si>
    <t>3: a few time a month</t>
  </si>
  <si>
    <t>4: once or twice a week</t>
  </si>
  <si>
    <t>5: always twice a week</t>
  </si>
  <si>
    <t>I stop climbing or end a workout prematurely if I experienc unusual joint or tendon pain.</t>
  </si>
  <si>
    <t>3: about half of the time</t>
  </si>
  <si>
    <t xml:space="preserve">5: always  </t>
  </si>
  <si>
    <t>23-25: Congratulations, you have a good injury awerness!</t>
  </si>
  <si>
    <t>20-22: you are in the good way to avoid climbing injuries.</t>
  </si>
  <si>
    <t>15-19: Your are at near average climbing injury. Warm up, recovery and stabelizer muscle training.</t>
  </si>
  <si>
    <t>10-14: Your are at above average risk of climbing injury. Warm up, recovery and stabelizer muscle training.</t>
  </si>
  <si>
    <t>5-9: you have a poor climbing injury awerness. Warm up, recovery and stabelizer muscle training.</t>
  </si>
  <si>
    <t>How often you eat breakfast?</t>
  </si>
  <si>
    <t>2: weekends only</t>
  </si>
  <si>
    <t>3:three days a week</t>
  </si>
  <si>
    <t>4: five days a week</t>
  </si>
  <si>
    <t>5: every day</t>
  </si>
  <si>
    <t>How often do you eat food or fried food?</t>
  </si>
  <si>
    <t>1: four or more days a week</t>
  </si>
  <si>
    <t>2: two to three days a week</t>
  </si>
  <si>
    <t>3: once a week</t>
  </si>
  <si>
    <t>4: once or twice per month</t>
  </si>
  <si>
    <t>5: less then once per month</t>
  </si>
  <si>
    <t>On average, how soon after workout or the end of your climbing day, do you consume come Carbs and Protein?</t>
  </si>
  <si>
    <t>1: more then 3 hours</t>
  </si>
  <si>
    <t>2: 2hr to 3 hrs</t>
  </si>
  <si>
    <t>3: 1hr to 2hr</t>
  </si>
  <si>
    <t>4: 30min to 1hr</t>
  </si>
  <si>
    <t>5: within 30min</t>
  </si>
  <si>
    <t>How many servings of fruit and vegetables do you consume per day?</t>
  </si>
  <si>
    <t>1: less then one</t>
  </si>
  <si>
    <t xml:space="preserve">2: two   </t>
  </si>
  <si>
    <t>5: more then five</t>
  </si>
  <si>
    <t>How often do you plan your out your meals ahead of time for the purpose of eating for performance and optimal recovery?</t>
  </si>
  <si>
    <t>2: once per week</t>
  </si>
  <si>
    <t>3: two to three days a week</t>
  </si>
  <si>
    <t>4: fourtor six days a week</t>
  </si>
  <si>
    <t>How many days per week do you engage ia a physical actgivity such climbing or other sport?</t>
  </si>
  <si>
    <t xml:space="preserve">3:three </t>
  </si>
  <si>
    <t>5: five</t>
  </si>
  <si>
    <t>On average, how many hours of sleep do you get each night?</t>
  </si>
  <si>
    <t>1: less the five</t>
  </si>
  <si>
    <t>2: five to six</t>
  </si>
  <si>
    <t>3: six to seven</t>
  </si>
  <si>
    <t>4: seven to eight</t>
  </si>
  <si>
    <t>5: more then eight</t>
  </si>
  <si>
    <t>How often do you pig out eating and drinking with litle restrain?</t>
  </si>
  <si>
    <t>1: three or more days a week</t>
  </si>
  <si>
    <t>2: twice per week</t>
  </si>
  <si>
    <t>3: once per week</t>
  </si>
  <si>
    <t>Do you smoke?</t>
  </si>
  <si>
    <t>1: yes, a half a pack a day</t>
  </si>
  <si>
    <t>2: yes, but only a few smokes per day</t>
  </si>
  <si>
    <t>3: yes but not daily - only few times a week</t>
  </si>
  <si>
    <t>5: I have never smoked</t>
  </si>
  <si>
    <t>4: I have quit</t>
  </si>
  <si>
    <t>When you set goals or begin a workout program, how often do you follow through to successful completion?</t>
  </si>
  <si>
    <t>1: seldom</t>
  </si>
  <si>
    <t>3: about half the time</t>
  </si>
  <si>
    <t>23-25: You are higly disciplined individual!</t>
  </si>
  <si>
    <t>20-22: Your discipline is above average.</t>
  </si>
  <si>
    <t>15-19: Your are at near average.</t>
  </si>
  <si>
    <t>10-14: Your are at above average. Determine priorities!</t>
  </si>
  <si>
    <t>5-9: you have a poor lifstyle. See your priorities!</t>
  </si>
  <si>
    <t>Experience</t>
  </si>
  <si>
    <t>Technique</t>
  </si>
  <si>
    <t>Mind</t>
  </si>
  <si>
    <t>Gen.Fitness</t>
  </si>
  <si>
    <t>Sports spec.</t>
  </si>
  <si>
    <t>Injury risk</t>
  </si>
  <si>
    <t>Nutrition</t>
  </si>
  <si>
    <t>Lifestyle</t>
  </si>
  <si>
    <t>My footwork and overall technique detiorate during the hardest part of a climb.</t>
  </si>
  <si>
    <t>Cracks, slabs, and roofs feel hard for the grade compared with a similiraty graded face climb.</t>
  </si>
  <si>
    <t>I have difficulty finding mid-route rest positions and shakeouts.</t>
  </si>
  <si>
    <t>On the typical climb, I feel like much my body weight is hanging on my arms.</t>
  </si>
  <si>
    <t>On overhanging routes and roofs, I have difficulty finding the optimal body position or keeping my feet from cutting loose.</t>
  </si>
  <si>
    <t>23-25: you have excellent technical skills</t>
  </si>
  <si>
    <t>15-19: Your technical skills are near average.</t>
  </si>
  <si>
    <t>10-14: you have limited technical skills and they are blocking your climbing performance.</t>
  </si>
  <si>
    <t>5-9: you are in the beguining of the learning of technical skills, but can easly develop with more climbing.</t>
  </si>
  <si>
    <t>Jo</t>
  </si>
  <si>
    <t>23-25: Congratulations, you have a good nutritional awerness!</t>
  </si>
  <si>
    <t>20-22: you are in the good way to a good nutritional awereness</t>
  </si>
  <si>
    <t xml:space="preserve">15-19: Your are at near average of nutritional awerness. </t>
  </si>
  <si>
    <t>10-14: Your are at above average of nutritional awereness</t>
  </si>
  <si>
    <t>5-9: you have a poor nutritional awerness.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</si>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</sst>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quotePrefix="1" applyFont="1"/>
    <xf numFmtId="0" fontId="0" fillId="0" borderId="0" xfId="0" applyAlignment="1">
      <alignment horizontal="right"/>
    </xf>
    <xf numFmtId="20" fontId="0" fillId="0" borderId="0" xfId="0" applyNumberFormat="1"/>
    <xf numFmtId="0" fontId="0" fillId="0" borderId="2" xfId="0" applyBorder="1"/>
    <xf numFmtId="0" fontId="2" fillId="0" borderId="0" xfId="0" applyFont="1"/>
    <xf numFmtId="0" fontId="1" fillId="0" borderId="3" xfId="0" applyFont="1" applyBorder="1"/>
    <xf numFmtId="0" fontId="0" fillId="0" borderId="3" xfId="0" applyBorder="1"/>
    <xf numFmtId="0" fontId="1" fillId="0" borderId="1" xfId="0" applyFont="1" applyBorder="1"/>
    <xf numFmtId="0" fontId="3" fillId="0" borderId="0" xfId="0" applyFont="1"/>
    <xf numFmtId="0" fontId="0" fillId="2" borderId="0" xfId="0" applyFill="1"/>
    <xf numFmtId="0" fontId="4" fillId="0" borderId="0" xfId="0" applyFont="1"/>
    <xf numFmtId="0" fontId="5" fillId="0" borderId="0" xfId="0" applyFont="1"/>
    <xf numFmtId="0" fontId="2" fillId="4" borderId="0" xfId="0" applyFont="1" applyFill="1"/>
    <xf numFmtId="0" fontId="6" fillId="5" borderId="0" xfId="0" applyFont="1" applyFill="1"/>
    <xf numFmtId="0" fontId="6" fillId="3" borderId="0" xfId="0" applyFont="1" applyFill="1"/>
    <xf numFmtId="0" fontId="2" fillId="6" borderId="0" xfId="0" applyFont="1" applyFill="1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" fontId="0" fillId="0" borderId="0" xfId="0" applyNumberFormat="1"/>
    <xf numFmtId="0" fontId="0" fillId="7" borderId="0" xfId="0" applyFill="1"/>
    <xf numFmtId="16" fontId="0" fillId="8" borderId="0" xfId="0" applyNumberFormat="1" applyFill="1"/>
  </cellXfs>
  <cellStyles count="1">
    <cellStyle name="Normal" xfId="0" builtinId="0"/>
  </cellStyles>
  <dxfs count="40">
    <dxf>
      <font>
        <color auto="1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00B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00B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00B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00B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00B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00B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00B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00B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Your Self-assessment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BF-4613-9ACC-44D7BBC735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BF-4613-9ACC-44D7BBC735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BF-4613-9ACC-44D7BBC735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BF-4613-9ACC-44D7BBC735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BF-4613-9ACC-44D7BBC735D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8BF-4613-9ACC-44D7BBC735D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8BF-4613-9ACC-44D7BBC735D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8BF-4613-9ACC-44D7BBC735D6}"/>
              </c:ext>
            </c:extLst>
          </c:dPt>
          <c:cat>
            <c:strRef>
              <c:f>'Graph Eval'!$B$6:$B$13</c:f>
              <c:strCache>
                <c:ptCount val="8"/>
                <c:pt idx="0">
                  <c:v>Experience</c:v>
                </c:pt>
                <c:pt idx="1">
                  <c:v>Technique</c:v>
                </c:pt>
                <c:pt idx="2">
                  <c:v>Mind</c:v>
                </c:pt>
                <c:pt idx="3">
                  <c:v>Gen.Fitness</c:v>
                </c:pt>
                <c:pt idx="4">
                  <c:v>Sports spec.</c:v>
                </c:pt>
                <c:pt idx="5">
                  <c:v>Injury risk</c:v>
                </c:pt>
                <c:pt idx="6">
                  <c:v>Nutrition</c:v>
                </c:pt>
                <c:pt idx="7">
                  <c:v>Lifestyle</c:v>
                </c:pt>
              </c:strCache>
            </c:strRef>
          </c:cat>
          <c:val>
            <c:numRef>
              <c:f>'Graph Eval'!$C$6:$C$13</c:f>
              <c:numCache>
                <c:formatCode>General</c:formatCode>
                <c:ptCount val="8"/>
                <c:pt idx="0">
                  <c:v>25</c:v>
                </c:pt>
                <c:pt idx="1">
                  <c:v>18</c:v>
                </c:pt>
                <c:pt idx="2">
                  <c:v>18</c:v>
                </c:pt>
                <c:pt idx="3">
                  <c:v>16</c:v>
                </c:pt>
                <c:pt idx="4">
                  <c:v>18</c:v>
                </c:pt>
                <c:pt idx="5">
                  <c:v>24</c:v>
                </c:pt>
                <c:pt idx="6">
                  <c:v>15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B-4882-8753-4E8FF78F9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Self-assessment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54-4994-BF0F-FBF231629C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54-4994-BF0F-FBF231629C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54-4994-BF0F-FBF231629CDD}"/>
              </c:ext>
            </c:extLst>
          </c:dPt>
          <c:cat>
            <c:strRef>
              <c:f>'Self-Assement Test'!$B$28:$B$30</c:f>
              <c:strCache>
                <c:ptCount val="3"/>
                <c:pt idx="0">
                  <c:v>Mental</c:v>
                </c:pt>
                <c:pt idx="1">
                  <c:v>Technical</c:v>
                </c:pt>
                <c:pt idx="2">
                  <c:v>Physical</c:v>
                </c:pt>
              </c:strCache>
            </c:strRef>
          </c:cat>
          <c:val>
            <c:numRef>
              <c:f>'Self-Assement Test'!$C$28:$C$30</c:f>
              <c:numCache>
                <c:formatCode>General</c:formatCode>
                <c:ptCount val="3"/>
                <c:pt idx="0">
                  <c:v>17</c:v>
                </c:pt>
                <c:pt idx="1">
                  <c:v>18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0-48D1-A056-A073B1CE9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574675</xdr:colOff>
      <xdr:row>5</xdr:row>
      <xdr:rowOff>6350</xdr:rowOff>
    </xdr:from>
    <xdr:to>
      <xdr:col>12</xdr:col>
      <xdr:colOff>269875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9F3A6D-D912-AD1C-0FC4-EF6093797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455707</xdr:colOff>
      <xdr:row>27</xdr:row>
      <xdr:rowOff>174812</xdr:rowOff>
    </xdr:from>
    <xdr:to>
      <xdr:col>12</xdr:col>
      <xdr:colOff>29884</xdr:colOff>
      <xdr:row>42</xdr:row>
      <xdr:rowOff>116542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1C878C-2213-07B2-D2FC-617069C5F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D9370-FE64-45A9-9CAF-0A202AD5BDEC}">
  <dimension ref="B2:C13"/>
  <sheetViews>
    <sheetView topLeftCell="A4" workbookViewId="0">
      <selection activeCell="Q9" sqref="Q9"/>
    </sheetView>
  </sheetViews>
  <sheetFormatPr defaultRowHeight="14.5" x14ac:dyDescent="0.35"/>
  <cols>
    <col min="2" max="2" width="10.90625" bestFit="1" customWidth="1"/>
    <col min="3" max="3" width="10.453125" bestFit="1" customWidth="1"/>
  </cols>
  <sheetData>
    <row r="2" spans="2:3" x14ac:dyDescent="0.35">
      <c r="B2" s="1" t="s">
        <v>0</v>
      </c>
      <c r="C2">
        <f>Goals!C2</f>
        <v>0</v>
      </c>
    </row>
    <row r="3" spans="2:3" x14ac:dyDescent="0.35">
      <c r="B3" s="1" t="s">
        <v>1</v>
      </c>
      <c r="C3">
        <f>'Self-Assement Test'!C3</f>
        <v>45</v>
      </c>
    </row>
    <row r="4" spans="2:3" x14ac:dyDescent="0.35">
      <c r="B4" s="1" t="s">
        <v>2</v>
      </c>
      <c r="C4" s="18">
        <f>'Self-Assement Test'!C4</f>
        <v>44823</v>
      </c>
    </row>
    <row r="6" spans="2:3" x14ac:dyDescent="0.35">
      <c r="B6" s="1" t="s">
        <v>225</v>
      </c>
      <c r="C6">
        <f>'Climbing Experience Eval'!C40</f>
        <v>25</v>
      </c>
    </row>
    <row r="7" spans="2:3" x14ac:dyDescent="0.35">
      <c r="B7" s="1" t="s">
        <v>226</v>
      </c>
      <c r="C7">
        <f>TecniSkills!C39</f>
        <v>18</v>
      </c>
    </row>
    <row r="8" spans="2:3" x14ac:dyDescent="0.35">
      <c r="B8" s="1" t="s">
        <v>227</v>
      </c>
      <c r="C8">
        <f>'Mental Skill Eval'!C39</f>
        <v>18</v>
      </c>
    </row>
    <row r="9" spans="2:3" x14ac:dyDescent="0.35">
      <c r="B9" s="1" t="s">
        <v>228</v>
      </c>
      <c r="C9">
        <f>'General fitness Eval'!C39</f>
        <v>16</v>
      </c>
    </row>
    <row r="10" spans="2:3" x14ac:dyDescent="0.35">
      <c r="B10" s="1" t="s">
        <v>229</v>
      </c>
      <c r="C10">
        <f>'Climbing specific Fitn'!C39</f>
        <v>18</v>
      </c>
    </row>
    <row r="11" spans="2:3" x14ac:dyDescent="0.35">
      <c r="B11" s="1" t="s">
        <v>230</v>
      </c>
      <c r="C11">
        <f>'Injury Risk Eval'!C39</f>
        <v>24</v>
      </c>
    </row>
    <row r="12" spans="2:3" x14ac:dyDescent="0.35">
      <c r="B12" s="1" t="s">
        <v>231</v>
      </c>
      <c r="C12">
        <f>'Nutritional  Eval'!C39</f>
        <v>15</v>
      </c>
    </row>
    <row r="13" spans="2:3" x14ac:dyDescent="0.35">
      <c r="B13" s="1" t="s">
        <v>232</v>
      </c>
      <c r="C13">
        <f>'Lifestyle Eval'!C39</f>
        <v>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2"/>
  <sheetViews>
    <sheetView workbookViewId="0">
      <selection activeCell="H10" sqref="H10"/>
    </sheetView>
  </sheetViews>
  <sheetFormatPr defaultRowHeight="14.5" x14ac:dyDescent="0.35"/>
  <cols>
    <col min="1" max="1" width="2.54296875" bestFit="1" customWidth="1"/>
  </cols>
  <sheetData>
    <row r="2" spans="1:3" x14ac:dyDescent="0.35">
      <c r="B2" t="s">
        <v>0</v>
      </c>
    </row>
    <row r="3" spans="1:3" x14ac:dyDescent="0.35">
      <c r="B3" t="s">
        <v>1</v>
      </c>
    </row>
    <row r="4" spans="1:3" x14ac:dyDescent="0.35">
      <c r="B4" t="s">
        <v>2</v>
      </c>
    </row>
    <row r="6" spans="1:3" x14ac:dyDescent="0.35">
      <c r="A6" s="2">
        <v>1</v>
      </c>
      <c r="B6" s="1" t="s">
        <v>3</v>
      </c>
    </row>
    <row r="7" spans="1:3" x14ac:dyDescent="0.35">
      <c r="A7" s="3" t="s">
        <v>5</v>
      </c>
      <c r="B7" t="s">
        <v>4</v>
      </c>
    </row>
    <row r="8" spans="1:3" x14ac:dyDescent="0.35">
      <c r="B8" s="3" t="s">
        <v>10</v>
      </c>
      <c r="C8" t="s">
        <v>11</v>
      </c>
    </row>
    <row r="9" spans="1:3" x14ac:dyDescent="0.35">
      <c r="B9" s="3" t="s">
        <v>14</v>
      </c>
      <c r="C9" t="s">
        <v>12</v>
      </c>
    </row>
    <row r="10" spans="1:3" x14ac:dyDescent="0.35">
      <c r="B10" s="3" t="s">
        <v>15</v>
      </c>
      <c r="C10" t="s">
        <v>13</v>
      </c>
    </row>
    <row r="11" spans="1:3" x14ac:dyDescent="0.35">
      <c r="B11" t="s">
        <v>9</v>
      </c>
    </row>
    <row r="13" spans="1:3" x14ac:dyDescent="0.35">
      <c r="A13" s="3" t="s">
        <v>6</v>
      </c>
      <c r="B13" t="s">
        <v>16</v>
      </c>
    </row>
    <row r="14" spans="1:3" x14ac:dyDescent="0.35">
      <c r="B14" s="3" t="s">
        <v>10</v>
      </c>
      <c r="C14" t="s">
        <v>17</v>
      </c>
    </row>
    <row r="15" spans="1:3" x14ac:dyDescent="0.35">
      <c r="B15" s="3" t="s">
        <v>14</v>
      </c>
      <c r="C15" t="s">
        <v>18</v>
      </c>
    </row>
    <row r="16" spans="1:3" x14ac:dyDescent="0.35">
      <c r="B16" s="3" t="s">
        <v>15</v>
      </c>
      <c r="C16" t="s">
        <v>19</v>
      </c>
    </row>
    <row r="17" spans="1:3" x14ac:dyDescent="0.35">
      <c r="B17" s="3"/>
      <c r="C17" t="s">
        <v>9</v>
      </c>
    </row>
    <row r="18" spans="1:3" x14ac:dyDescent="0.35">
      <c r="B18" s="3"/>
    </row>
    <row r="19" spans="1:3" x14ac:dyDescent="0.35">
      <c r="A19" s="3" t="s">
        <v>7</v>
      </c>
      <c r="B19" t="s">
        <v>8</v>
      </c>
    </row>
    <row r="20" spans="1:3" x14ac:dyDescent="0.35">
      <c r="B20" s="3" t="s">
        <v>10</v>
      </c>
    </row>
    <row r="21" spans="1:3" x14ac:dyDescent="0.35">
      <c r="B21" s="3" t="s">
        <v>14</v>
      </c>
    </row>
    <row r="22" spans="1:3" x14ac:dyDescent="0.35">
      <c r="B22" s="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4E7B-B6FD-471D-9623-38A28EC8927D}">
  <dimension ref="A2:L30"/>
  <sheetViews>
    <sheetView zoomScale="85" zoomScaleNormal="85" workbookViewId="0">
      <selection activeCell="E3" sqref="E3"/>
    </sheetView>
  </sheetViews>
  <sheetFormatPr defaultRowHeight="14.5" x14ac:dyDescent="0.35"/>
  <cols>
    <col min="1" max="1" width="3.08984375" bestFit="1" customWidth="1"/>
    <col min="3" max="3" width="11" bestFit="1" customWidth="1"/>
    <col min="12" max="12" width="10.1796875" bestFit="1" customWidth="1"/>
  </cols>
  <sheetData>
    <row r="2" spans="1:12" x14ac:dyDescent="0.35">
      <c r="B2" s="1" t="s">
        <v>0</v>
      </c>
      <c r="C2" t="s">
        <v>242</v>
      </c>
    </row>
    <row r="3" spans="1:12" x14ac:dyDescent="0.35">
      <c r="B3" s="1" t="s">
        <v>1</v>
      </c>
      <c r="C3" s="19">
        <v>45</v>
      </c>
    </row>
    <row r="4" spans="1:12" x14ac:dyDescent="0.35">
      <c r="B4" s="1" t="s">
        <v>2</v>
      </c>
      <c r="C4" s="20">
        <v>44823</v>
      </c>
    </row>
    <row r="5" spans="1:12" x14ac:dyDescent="0.35">
      <c r="B5" s="10" t="s">
        <v>20</v>
      </c>
      <c r="H5" s="6" t="s">
        <v>21</v>
      </c>
    </row>
    <row r="6" spans="1:12" x14ac:dyDescent="0.35">
      <c r="H6" s="6" t="s">
        <v>22</v>
      </c>
    </row>
    <row r="7" spans="1:12" x14ac:dyDescent="0.35">
      <c r="H7" s="6" t="s">
        <v>23</v>
      </c>
    </row>
    <row r="8" spans="1:12" x14ac:dyDescent="0.35">
      <c r="H8" s="6" t="s">
        <v>24</v>
      </c>
    </row>
    <row r="9" spans="1:12" x14ac:dyDescent="0.35">
      <c r="H9" s="6" t="s">
        <v>25</v>
      </c>
    </row>
    <row r="10" spans="1:12" x14ac:dyDescent="0.35">
      <c r="L10" s="9" t="s">
        <v>41</v>
      </c>
    </row>
    <row r="11" spans="1:12" x14ac:dyDescent="0.35">
      <c r="A11" s="1">
        <v>1</v>
      </c>
      <c r="B11" t="s">
        <v>26</v>
      </c>
      <c r="L11" s="5">
        <v>2</v>
      </c>
    </row>
    <row r="12" spans="1:12" x14ac:dyDescent="0.35">
      <c r="A12" s="1">
        <v>2</v>
      </c>
      <c r="B12" t="s">
        <v>27</v>
      </c>
      <c r="L12" s="5">
        <v>3</v>
      </c>
    </row>
    <row r="13" spans="1:12" x14ac:dyDescent="0.35">
      <c r="A13" s="1">
        <v>3</v>
      </c>
      <c r="B13" t="s">
        <v>28</v>
      </c>
      <c r="L13" s="5">
        <v>3</v>
      </c>
    </row>
    <row r="14" spans="1:12" x14ac:dyDescent="0.35">
      <c r="A14" s="1">
        <v>4</v>
      </c>
      <c r="B14" t="s">
        <v>29</v>
      </c>
      <c r="L14" s="5">
        <v>4</v>
      </c>
    </row>
    <row r="15" spans="1:12" x14ac:dyDescent="0.35">
      <c r="A15" s="1">
        <v>5</v>
      </c>
      <c r="B15" t="s">
        <v>30</v>
      </c>
      <c r="L15" s="5">
        <v>3</v>
      </c>
    </row>
    <row r="16" spans="1:12" x14ac:dyDescent="0.35">
      <c r="A16" s="1">
        <v>6</v>
      </c>
      <c r="B16" t="s">
        <v>31</v>
      </c>
      <c r="L16" s="5">
        <v>3</v>
      </c>
    </row>
    <row r="17" spans="1:12" x14ac:dyDescent="0.35">
      <c r="A17" s="1">
        <v>7</v>
      </c>
      <c r="B17" t="s">
        <v>32</v>
      </c>
      <c r="L17" s="5">
        <v>3</v>
      </c>
    </row>
    <row r="18" spans="1:12" x14ac:dyDescent="0.35">
      <c r="A18" s="1">
        <v>8</v>
      </c>
      <c r="B18" t="s">
        <v>33</v>
      </c>
      <c r="L18" s="5">
        <v>4</v>
      </c>
    </row>
    <row r="19" spans="1:12" x14ac:dyDescent="0.35">
      <c r="A19" s="1">
        <v>9</v>
      </c>
      <c r="B19" t="s">
        <v>34</v>
      </c>
      <c r="L19" s="5">
        <v>5</v>
      </c>
    </row>
    <row r="20" spans="1:12" x14ac:dyDescent="0.35">
      <c r="A20" s="1">
        <v>10</v>
      </c>
      <c r="B20" t="s">
        <v>35</v>
      </c>
      <c r="L20" s="5">
        <v>5</v>
      </c>
    </row>
    <row r="21" spans="1:12" x14ac:dyDescent="0.35">
      <c r="A21" s="1">
        <v>11</v>
      </c>
      <c r="B21" t="s">
        <v>36</v>
      </c>
      <c r="L21" s="5">
        <v>4</v>
      </c>
    </row>
    <row r="22" spans="1:12" x14ac:dyDescent="0.35">
      <c r="A22" s="1">
        <v>12</v>
      </c>
      <c r="B22" t="s">
        <v>37</v>
      </c>
      <c r="L22" s="5">
        <v>4</v>
      </c>
    </row>
    <row r="23" spans="1:12" x14ac:dyDescent="0.35">
      <c r="A23" s="1">
        <v>13</v>
      </c>
      <c r="B23" t="s">
        <v>38</v>
      </c>
      <c r="L23" s="5">
        <v>3</v>
      </c>
    </row>
    <row r="24" spans="1:12" x14ac:dyDescent="0.35">
      <c r="A24" s="1">
        <v>14</v>
      </c>
      <c r="B24" t="s">
        <v>39</v>
      </c>
      <c r="L24" s="5">
        <v>4</v>
      </c>
    </row>
    <row r="25" spans="1:12" x14ac:dyDescent="0.35">
      <c r="A25" s="1">
        <v>15</v>
      </c>
      <c r="B25" t="s">
        <v>40</v>
      </c>
      <c r="L25" s="5">
        <v>3</v>
      </c>
    </row>
    <row r="27" spans="1:12" ht="15" thickBot="1" x14ac:dyDescent="0.4">
      <c r="B27" s="7" t="s">
        <v>42</v>
      </c>
      <c r="C27" s="8"/>
      <c r="D27" s="8"/>
      <c r="E27" s="8"/>
      <c r="F27" s="8"/>
      <c r="G27" s="8"/>
      <c r="H27" s="8"/>
      <c r="I27" s="8"/>
    </row>
    <row r="28" spans="1:12" x14ac:dyDescent="0.35">
      <c r="B28" s="1" t="s">
        <v>43</v>
      </c>
      <c r="C28">
        <f>(L11+L14+L17+L20+L23)</f>
        <v>17</v>
      </c>
    </row>
    <row r="29" spans="1:12" x14ac:dyDescent="0.35">
      <c r="B29" s="1" t="s">
        <v>44</v>
      </c>
      <c r="C29">
        <f>(L12+L15+L18+L21+L24)</f>
        <v>18</v>
      </c>
    </row>
    <row r="30" spans="1:12" x14ac:dyDescent="0.35">
      <c r="B30" s="1" t="s">
        <v>45</v>
      </c>
      <c r="C30">
        <f>(L13+L16+L19+L22+L25)</f>
        <v>18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588B-20F7-48CE-AD45-D827077FFDB7}">
  <dimension ref="A2:R46"/>
  <sheetViews>
    <sheetView workbookViewId="0">
      <selection activeCell="R33" sqref="R33"/>
    </sheetView>
  </sheetViews>
  <sheetFormatPr defaultRowHeight="14.5" x14ac:dyDescent="0.35"/>
  <cols>
    <col min="1" max="1" width="2.81640625" bestFit="1" customWidth="1"/>
    <col min="3" max="3" width="10.453125" bestFit="1" customWidth="1"/>
  </cols>
  <sheetData>
    <row r="2" spans="1:11" x14ac:dyDescent="0.35">
      <c r="B2" s="1" t="s">
        <v>0</v>
      </c>
      <c r="C2">
        <f>Goals!C2</f>
        <v>0</v>
      </c>
    </row>
    <row r="3" spans="1:11" x14ac:dyDescent="0.35">
      <c r="B3" s="1" t="s">
        <v>1</v>
      </c>
      <c r="C3">
        <f>'Self-Assement Test'!C3</f>
        <v>45</v>
      </c>
    </row>
    <row r="4" spans="1:11" x14ac:dyDescent="0.35">
      <c r="B4" s="1" t="s">
        <v>2</v>
      </c>
      <c r="C4" s="18">
        <f>'Self-Assement Test'!C4</f>
        <v>44823</v>
      </c>
    </row>
    <row r="5" spans="1:11" x14ac:dyDescent="0.35">
      <c r="B5" s="10" t="s">
        <v>20</v>
      </c>
      <c r="H5" s="6"/>
    </row>
    <row r="6" spans="1:11" x14ac:dyDescent="0.35">
      <c r="H6" s="6"/>
    </row>
    <row r="8" spans="1:11" x14ac:dyDescent="0.35">
      <c r="A8" s="1">
        <v>1</v>
      </c>
      <c r="B8" t="s">
        <v>48</v>
      </c>
      <c r="J8" s="3" t="s">
        <v>58</v>
      </c>
      <c r="K8" s="11">
        <v>5</v>
      </c>
    </row>
    <row r="9" spans="1:11" x14ac:dyDescent="0.35">
      <c r="A9" s="1"/>
      <c r="B9" t="s">
        <v>54</v>
      </c>
    </row>
    <row r="10" spans="1:11" x14ac:dyDescent="0.35">
      <c r="A10" s="1"/>
      <c r="B10" t="s">
        <v>55</v>
      </c>
    </row>
    <row r="11" spans="1:11" x14ac:dyDescent="0.35">
      <c r="A11" s="1"/>
      <c r="B11" t="s">
        <v>56</v>
      </c>
    </row>
    <row r="12" spans="1:11" x14ac:dyDescent="0.35">
      <c r="A12" s="1"/>
      <c r="B12" t="s">
        <v>68</v>
      </c>
    </row>
    <row r="13" spans="1:11" x14ac:dyDescent="0.35">
      <c r="A13" s="1"/>
      <c r="B13" t="s">
        <v>57</v>
      </c>
    </row>
    <row r="14" spans="1:11" x14ac:dyDescent="0.35">
      <c r="A14" s="1">
        <v>2</v>
      </c>
      <c r="B14" t="s">
        <v>49</v>
      </c>
      <c r="J14" s="3" t="s">
        <v>59</v>
      </c>
      <c r="K14" s="11">
        <v>5</v>
      </c>
    </row>
    <row r="15" spans="1:11" x14ac:dyDescent="0.35">
      <c r="A15" s="1"/>
      <c r="B15" t="s">
        <v>63</v>
      </c>
    </row>
    <row r="16" spans="1:11" x14ac:dyDescent="0.35">
      <c r="A16" s="1"/>
      <c r="B16" t="s">
        <v>64</v>
      </c>
    </row>
    <row r="17" spans="1:18" x14ac:dyDescent="0.35">
      <c r="A17" s="1"/>
      <c r="B17" t="s">
        <v>65</v>
      </c>
    </row>
    <row r="18" spans="1:18" x14ac:dyDescent="0.35">
      <c r="A18" s="1"/>
      <c r="B18" t="s">
        <v>66</v>
      </c>
    </row>
    <row r="19" spans="1:18" x14ac:dyDescent="0.35">
      <c r="A19" s="1"/>
      <c r="B19" t="s">
        <v>67</v>
      </c>
    </row>
    <row r="20" spans="1:18" x14ac:dyDescent="0.35">
      <c r="A20" s="1">
        <v>3</v>
      </c>
      <c r="B20" t="s">
        <v>50</v>
      </c>
      <c r="J20" s="3" t="s">
        <v>62</v>
      </c>
      <c r="K20" s="11">
        <v>10</v>
      </c>
    </row>
    <row r="21" spans="1:18" x14ac:dyDescent="0.35">
      <c r="A21" s="1"/>
      <c r="B21" t="s">
        <v>69</v>
      </c>
    </row>
    <row r="22" spans="1:18" x14ac:dyDescent="0.35">
      <c r="A22" s="1"/>
      <c r="B22" t="s">
        <v>70</v>
      </c>
    </row>
    <row r="23" spans="1:18" x14ac:dyDescent="0.35">
      <c r="A23" s="1"/>
      <c r="B23" t="s">
        <v>71</v>
      </c>
    </row>
    <row r="24" spans="1:18" x14ac:dyDescent="0.35">
      <c r="A24" s="1"/>
      <c r="B24" t="s">
        <v>72</v>
      </c>
    </row>
    <row r="25" spans="1:18" x14ac:dyDescent="0.35">
      <c r="A25" s="1"/>
      <c r="B25" t="s">
        <v>73</v>
      </c>
    </row>
    <row r="26" spans="1:18" x14ac:dyDescent="0.35">
      <c r="A26" s="1">
        <v>4</v>
      </c>
      <c r="B26" t="s">
        <v>51</v>
      </c>
      <c r="Q26" s="3" t="s">
        <v>61</v>
      </c>
      <c r="R26" s="11">
        <v>3</v>
      </c>
    </row>
    <row r="27" spans="1:18" x14ac:dyDescent="0.35">
      <c r="A27" s="1"/>
      <c r="B27" t="s">
        <v>74</v>
      </c>
    </row>
    <row r="28" spans="1:18" x14ac:dyDescent="0.35">
      <c r="A28" s="1"/>
      <c r="B28" t="s">
        <v>75</v>
      </c>
    </row>
    <row r="29" spans="1:18" x14ac:dyDescent="0.35">
      <c r="A29" s="1"/>
      <c r="B29" t="s">
        <v>76</v>
      </c>
    </row>
    <row r="30" spans="1:18" x14ac:dyDescent="0.35">
      <c r="A30" s="1"/>
      <c r="B30" t="s">
        <v>77</v>
      </c>
    </row>
    <row r="31" spans="1:18" x14ac:dyDescent="0.35">
      <c r="A31" s="1"/>
      <c r="B31" t="s">
        <v>78</v>
      </c>
    </row>
    <row r="32" spans="1:18" x14ac:dyDescent="0.35">
      <c r="A32" s="1">
        <v>5</v>
      </c>
      <c r="B32" t="s">
        <v>52</v>
      </c>
      <c r="Q32" s="3" t="s">
        <v>60</v>
      </c>
      <c r="R32" s="11">
        <v>2</v>
      </c>
    </row>
    <row r="33" spans="1:6" x14ac:dyDescent="0.35">
      <c r="A33" s="1"/>
      <c r="B33" t="s">
        <v>46</v>
      </c>
    </row>
    <row r="34" spans="1:6" x14ac:dyDescent="0.35">
      <c r="A34" s="1"/>
      <c r="B34" t="s">
        <v>79</v>
      </c>
    </row>
    <row r="35" spans="1:6" x14ac:dyDescent="0.35">
      <c r="A35" s="1"/>
      <c r="B35" t="s">
        <v>65</v>
      </c>
    </row>
    <row r="36" spans="1:6" x14ac:dyDescent="0.35">
      <c r="A36" s="1"/>
      <c r="B36" t="s">
        <v>68</v>
      </c>
    </row>
    <row r="37" spans="1:6" x14ac:dyDescent="0.35">
      <c r="A37" s="1"/>
      <c r="B37" t="s">
        <v>47</v>
      </c>
    </row>
    <row r="38" spans="1:6" x14ac:dyDescent="0.35">
      <c r="A38" s="1"/>
    </row>
    <row r="39" spans="1:6" x14ac:dyDescent="0.35">
      <c r="A39" s="1"/>
    </row>
    <row r="40" spans="1:6" x14ac:dyDescent="0.35">
      <c r="A40" s="1"/>
      <c r="B40" s="12" t="s">
        <v>53</v>
      </c>
      <c r="C40" s="11">
        <f>R32+R26+K20+K14+K8</f>
        <v>25</v>
      </c>
    </row>
    <row r="41" spans="1:6" x14ac:dyDescent="0.35">
      <c r="A41" s="1"/>
      <c r="B41" s="13" t="s">
        <v>80</v>
      </c>
    </row>
    <row r="42" spans="1:6" x14ac:dyDescent="0.35">
      <c r="A42" s="1"/>
      <c r="B42" s="14" t="s">
        <v>81</v>
      </c>
      <c r="C42" s="6"/>
      <c r="D42" s="6"/>
      <c r="E42" s="6"/>
      <c r="F42" s="6"/>
    </row>
    <row r="43" spans="1:6" x14ac:dyDescent="0.35">
      <c r="B43" s="15" t="s">
        <v>82</v>
      </c>
      <c r="C43" s="6"/>
      <c r="D43" s="6"/>
      <c r="E43" s="6"/>
      <c r="F43" s="6"/>
    </row>
    <row r="44" spans="1:6" x14ac:dyDescent="0.35">
      <c r="B44" s="15" t="s">
        <v>100</v>
      </c>
      <c r="C44" s="6"/>
      <c r="D44" s="6"/>
      <c r="E44" s="6"/>
      <c r="F44" s="6"/>
    </row>
    <row r="45" spans="1:6" x14ac:dyDescent="0.35">
      <c r="B45" s="16" t="s">
        <v>83</v>
      </c>
      <c r="C45" s="6"/>
      <c r="D45" s="6"/>
      <c r="E45" s="6"/>
      <c r="F45" s="6"/>
    </row>
    <row r="46" spans="1:6" x14ac:dyDescent="0.35">
      <c r="B46" s="17" t="s">
        <v>84</v>
      </c>
      <c r="C46" s="6"/>
      <c r="D46" s="6"/>
      <c r="E46" s="6"/>
      <c r="F46" s="6"/>
    </row>
  </sheetData>
  <conditionalFormatting sqref="C40">
    <cfRule type="cellIs" dxfId="39" priority="1" operator="between">
      <formula>5</formula>
      <formula>9</formula>
    </cfRule>
    <cfRule type="cellIs" dxfId="38" priority="2" operator="between">
      <formula>10</formula>
      <formula>14</formula>
    </cfRule>
    <cfRule type="cellIs" dxfId="37" priority="3" operator="between">
      <formula>20</formula>
      <formula>22</formula>
    </cfRule>
    <cfRule type="cellIs" dxfId="36" priority="4" operator="between">
      <formula>23</formula>
      <formula>35</formula>
    </cfRule>
    <cfRule type="cellIs" dxfId="35" priority="5" operator="between">
      <formula>15</formula>
      <formula>19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BD61-F66F-4B37-BF9B-1682B6430DD2}">
  <dimension ref="A2:M45"/>
  <sheetViews>
    <sheetView topLeftCell="A25" workbookViewId="0">
      <selection activeCell="M32" sqref="M32"/>
    </sheetView>
  </sheetViews>
  <sheetFormatPr defaultRowHeight="14.5" x14ac:dyDescent="0.35"/>
  <cols>
    <col min="3" max="3" width="10.453125" bestFit="1" customWidth="1"/>
    <col min="9" max="9" width="11.81640625" customWidth="1"/>
    <col min="10" max="10" width="10.26953125" customWidth="1"/>
    <col min="11" max="11" width="16.1796875" customWidth="1"/>
  </cols>
  <sheetData>
    <row r="2" spans="1:13" x14ac:dyDescent="0.35">
      <c r="B2" s="1" t="s">
        <v>0</v>
      </c>
      <c r="C2">
        <f>Goals!C2</f>
        <v>0</v>
      </c>
    </row>
    <row r="3" spans="1:13" x14ac:dyDescent="0.35">
      <c r="B3" s="1" t="s">
        <v>1</v>
      </c>
      <c r="C3">
        <f>'Self-Assement Test'!C3</f>
        <v>45</v>
      </c>
    </row>
    <row r="4" spans="1:13" x14ac:dyDescent="0.35">
      <c r="B4" s="1" t="s">
        <v>2</v>
      </c>
      <c r="C4" s="18">
        <f>'Self-Assement Test'!C4</f>
        <v>44823</v>
      </c>
    </row>
    <row r="5" spans="1:13" x14ac:dyDescent="0.35">
      <c r="B5" s="10" t="s">
        <v>20</v>
      </c>
      <c r="H5" s="6"/>
    </row>
    <row r="7" spans="1:13" x14ac:dyDescent="0.35">
      <c r="A7" s="1">
        <v>1</v>
      </c>
      <c r="B7" t="s">
        <v>233</v>
      </c>
      <c r="L7" s="3" t="s">
        <v>58</v>
      </c>
      <c r="M7" s="11">
        <v>3</v>
      </c>
    </row>
    <row r="8" spans="1:13" x14ac:dyDescent="0.35">
      <c r="A8" s="1"/>
      <c r="B8" t="s">
        <v>21</v>
      </c>
    </row>
    <row r="9" spans="1:13" x14ac:dyDescent="0.35">
      <c r="A9" s="1"/>
      <c r="B9" t="s">
        <v>22</v>
      </c>
    </row>
    <row r="10" spans="1:13" x14ac:dyDescent="0.35">
      <c r="A10" s="1"/>
      <c r="B10" t="s">
        <v>88</v>
      </c>
    </row>
    <row r="11" spans="1:13" x14ac:dyDescent="0.35">
      <c r="A11" s="1"/>
      <c r="B11" t="s">
        <v>91</v>
      </c>
    </row>
    <row r="12" spans="1:13" x14ac:dyDescent="0.35">
      <c r="A12" s="1"/>
      <c r="B12" t="s">
        <v>92</v>
      </c>
    </row>
    <row r="13" spans="1:13" x14ac:dyDescent="0.35">
      <c r="A13" s="1">
        <v>2</v>
      </c>
      <c r="B13" t="s">
        <v>234</v>
      </c>
      <c r="L13" s="3" t="s">
        <v>59</v>
      </c>
      <c r="M13" s="11">
        <v>4</v>
      </c>
    </row>
    <row r="14" spans="1:13" x14ac:dyDescent="0.35">
      <c r="A14" s="1"/>
      <c r="B14" t="s">
        <v>21</v>
      </c>
    </row>
    <row r="15" spans="1:13" x14ac:dyDescent="0.35">
      <c r="A15" s="1"/>
      <c r="B15" t="s">
        <v>22</v>
      </c>
    </row>
    <row r="16" spans="1:13" x14ac:dyDescent="0.35">
      <c r="A16" s="1"/>
      <c r="B16" t="s">
        <v>88</v>
      </c>
    </row>
    <row r="17" spans="1:13" x14ac:dyDescent="0.35">
      <c r="A17" s="1"/>
      <c r="B17" t="s">
        <v>91</v>
      </c>
    </row>
    <row r="18" spans="1:13" x14ac:dyDescent="0.35">
      <c r="A18" s="1"/>
      <c r="B18" t="s">
        <v>92</v>
      </c>
    </row>
    <row r="19" spans="1:13" x14ac:dyDescent="0.35">
      <c r="A19" s="1">
        <v>3</v>
      </c>
      <c r="B19" t="s">
        <v>235</v>
      </c>
      <c r="L19" s="3" t="s">
        <v>62</v>
      </c>
      <c r="M19" s="11">
        <v>4</v>
      </c>
    </row>
    <row r="20" spans="1:13" x14ac:dyDescent="0.35">
      <c r="A20" s="1"/>
      <c r="B20" t="s">
        <v>21</v>
      </c>
    </row>
    <row r="21" spans="1:13" x14ac:dyDescent="0.35">
      <c r="A21" s="1"/>
      <c r="B21" t="s">
        <v>22</v>
      </c>
    </row>
    <row r="22" spans="1:13" x14ac:dyDescent="0.35">
      <c r="A22" s="1"/>
      <c r="B22" t="s">
        <v>88</v>
      </c>
    </row>
    <row r="23" spans="1:13" x14ac:dyDescent="0.35">
      <c r="A23" s="1"/>
      <c r="B23" t="s">
        <v>91</v>
      </c>
    </row>
    <row r="24" spans="1:13" x14ac:dyDescent="0.35">
      <c r="A24" s="1"/>
      <c r="B24" t="s">
        <v>92</v>
      </c>
    </row>
    <row r="25" spans="1:13" x14ac:dyDescent="0.35">
      <c r="A25" s="1">
        <v>4</v>
      </c>
      <c r="B25" t="s">
        <v>236</v>
      </c>
      <c r="L25" s="3" t="s">
        <v>61</v>
      </c>
      <c r="M25" s="11">
        <v>4</v>
      </c>
    </row>
    <row r="26" spans="1:13" x14ac:dyDescent="0.35">
      <c r="A26" s="1"/>
      <c r="B26" t="s">
        <v>21</v>
      </c>
    </row>
    <row r="27" spans="1:13" x14ac:dyDescent="0.35">
      <c r="A27" s="1"/>
      <c r="B27" t="s">
        <v>22</v>
      </c>
    </row>
    <row r="28" spans="1:13" x14ac:dyDescent="0.35">
      <c r="A28" s="1"/>
      <c r="B28" t="s">
        <v>88</v>
      </c>
    </row>
    <row r="29" spans="1:13" x14ac:dyDescent="0.35">
      <c r="A29" s="1"/>
      <c r="B29" t="s">
        <v>91</v>
      </c>
    </row>
    <row r="30" spans="1:13" x14ac:dyDescent="0.35">
      <c r="A30" s="1"/>
      <c r="B30" t="s">
        <v>92</v>
      </c>
    </row>
    <row r="31" spans="1:13" x14ac:dyDescent="0.35">
      <c r="A31" s="1">
        <v>5</v>
      </c>
      <c r="B31" t="s">
        <v>237</v>
      </c>
      <c r="L31" s="3" t="s">
        <v>60</v>
      </c>
      <c r="M31" s="11">
        <v>3</v>
      </c>
    </row>
    <row r="32" spans="1:13" x14ac:dyDescent="0.35">
      <c r="A32" s="1"/>
      <c r="B32" t="s">
        <v>21</v>
      </c>
    </row>
    <row r="33" spans="1:6" x14ac:dyDescent="0.35">
      <c r="A33" s="1"/>
      <c r="B33" t="s">
        <v>22</v>
      </c>
    </row>
    <row r="34" spans="1:6" x14ac:dyDescent="0.35">
      <c r="A34" s="1"/>
      <c r="B34" t="s">
        <v>88</v>
      </c>
    </row>
    <row r="35" spans="1:6" x14ac:dyDescent="0.35">
      <c r="A35" s="1"/>
      <c r="B35" t="s">
        <v>91</v>
      </c>
    </row>
    <row r="36" spans="1:6" x14ac:dyDescent="0.35">
      <c r="A36" s="1"/>
      <c r="B36" t="s">
        <v>92</v>
      </c>
    </row>
    <row r="39" spans="1:6" x14ac:dyDescent="0.35">
      <c r="A39" s="1"/>
      <c r="B39" s="12" t="s">
        <v>53</v>
      </c>
      <c r="C39" s="11">
        <f>M31+M25+M19+M13+M7</f>
        <v>18</v>
      </c>
    </row>
    <row r="40" spans="1:6" x14ac:dyDescent="0.35">
      <c r="A40" s="1"/>
      <c r="B40" s="13" t="s">
        <v>80</v>
      </c>
    </row>
    <row r="41" spans="1:6" x14ac:dyDescent="0.35">
      <c r="A41" s="1"/>
      <c r="B41" s="14" t="s">
        <v>238</v>
      </c>
      <c r="C41" s="6"/>
      <c r="D41" s="6"/>
      <c r="E41" s="6"/>
      <c r="F41" s="6"/>
    </row>
    <row r="42" spans="1:6" x14ac:dyDescent="0.35">
      <c r="B42" s="15" t="s">
        <v>82</v>
      </c>
      <c r="C42" s="6"/>
      <c r="D42" s="6"/>
      <c r="E42" s="6"/>
      <c r="F42" s="6"/>
    </row>
    <row r="43" spans="1:6" x14ac:dyDescent="0.35">
      <c r="B43" s="15" t="s">
        <v>239</v>
      </c>
      <c r="C43" s="6"/>
      <c r="D43" s="6"/>
      <c r="E43" s="6"/>
      <c r="F43" s="6"/>
    </row>
    <row r="44" spans="1:6" x14ac:dyDescent="0.35">
      <c r="B44" s="16" t="s">
        <v>240</v>
      </c>
      <c r="C44" s="6"/>
      <c r="D44" s="6"/>
      <c r="E44" s="6"/>
      <c r="F44" s="6"/>
    </row>
    <row r="45" spans="1:6" x14ac:dyDescent="0.35">
      <c r="B45" s="17" t="s">
        <v>241</v>
      </c>
      <c r="C45" s="6"/>
      <c r="D45" s="6"/>
      <c r="E45" s="6"/>
      <c r="F45" s="6"/>
    </row>
  </sheetData>
  <conditionalFormatting sqref="C39">
    <cfRule type="cellIs" dxfId="34" priority="1" operator="between">
      <formula>5</formula>
      <formula>9</formula>
    </cfRule>
    <cfRule type="cellIs" dxfId="33" priority="2" operator="between">
      <formula>10</formula>
      <formula>14</formula>
    </cfRule>
    <cfRule type="cellIs" dxfId="32" priority="3" operator="between">
      <formula>20</formula>
      <formula>22</formula>
    </cfRule>
    <cfRule type="cellIs" dxfId="31" priority="4" operator="between">
      <formula>23</formula>
      <formula>35</formula>
    </cfRule>
    <cfRule type="cellIs" dxfId="30" priority="5" operator="between">
      <formula>15</formula>
      <formula>19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00DF-83CD-4D26-93C0-9C38C1046DB2}">
  <dimension ref="A2:M45"/>
  <sheetViews>
    <sheetView topLeftCell="A31" workbookViewId="0">
      <selection activeCell="M32" sqref="M32"/>
    </sheetView>
  </sheetViews>
  <sheetFormatPr defaultRowHeight="14.5" x14ac:dyDescent="0.35"/>
  <cols>
    <col min="1" max="1" width="1.81640625" bestFit="1" customWidth="1"/>
    <col min="3" max="3" width="10.453125" bestFit="1" customWidth="1"/>
  </cols>
  <sheetData>
    <row r="2" spans="1:13" x14ac:dyDescent="0.35">
      <c r="B2" s="1" t="s">
        <v>0</v>
      </c>
      <c r="C2">
        <f>Goals!C2</f>
        <v>0</v>
      </c>
    </row>
    <row r="3" spans="1:13" x14ac:dyDescent="0.35">
      <c r="B3" s="1" t="s">
        <v>1</v>
      </c>
      <c r="C3">
        <f>'Self-Assement Test'!C3</f>
        <v>45</v>
      </c>
    </row>
    <row r="4" spans="1:13" x14ac:dyDescent="0.35">
      <c r="B4" s="1" t="s">
        <v>2</v>
      </c>
      <c r="C4" s="18">
        <f>'Self-Assement Test'!C4</f>
        <v>44823</v>
      </c>
    </row>
    <row r="5" spans="1:13" x14ac:dyDescent="0.35">
      <c r="B5" s="10" t="s">
        <v>20</v>
      </c>
      <c r="H5" s="6"/>
    </row>
    <row r="7" spans="1:13" x14ac:dyDescent="0.35">
      <c r="A7" s="1">
        <v>1</v>
      </c>
      <c r="B7" t="s">
        <v>85</v>
      </c>
      <c r="L7" s="3" t="s">
        <v>58</v>
      </c>
      <c r="M7" s="11">
        <v>3</v>
      </c>
    </row>
    <row r="8" spans="1:13" x14ac:dyDescent="0.35">
      <c r="A8" s="1"/>
      <c r="B8" t="s">
        <v>86</v>
      </c>
    </row>
    <row r="9" spans="1:13" x14ac:dyDescent="0.35">
      <c r="A9" s="1"/>
      <c r="B9" t="s">
        <v>87</v>
      </c>
    </row>
    <row r="10" spans="1:13" x14ac:dyDescent="0.35">
      <c r="A10" s="1"/>
      <c r="B10" t="s">
        <v>88</v>
      </c>
    </row>
    <row r="11" spans="1:13" x14ac:dyDescent="0.35">
      <c r="A11" s="1"/>
      <c r="B11" t="s">
        <v>89</v>
      </c>
    </row>
    <row r="12" spans="1:13" x14ac:dyDescent="0.35">
      <c r="A12" s="1"/>
      <c r="B12" t="s">
        <v>90</v>
      </c>
    </row>
    <row r="13" spans="1:13" x14ac:dyDescent="0.35">
      <c r="A13" s="1">
        <v>2</v>
      </c>
      <c r="B13" t="s">
        <v>93</v>
      </c>
      <c r="L13" s="3" t="s">
        <v>59</v>
      </c>
      <c r="M13" s="11">
        <v>3</v>
      </c>
    </row>
    <row r="14" spans="1:13" x14ac:dyDescent="0.35">
      <c r="A14" s="1"/>
      <c r="B14" t="s">
        <v>21</v>
      </c>
    </row>
    <row r="15" spans="1:13" x14ac:dyDescent="0.35">
      <c r="A15" s="1"/>
      <c r="B15" t="s">
        <v>22</v>
      </c>
    </row>
    <row r="16" spans="1:13" x14ac:dyDescent="0.35">
      <c r="A16" s="1"/>
      <c r="B16" t="s">
        <v>88</v>
      </c>
    </row>
    <row r="17" spans="1:13" x14ac:dyDescent="0.35">
      <c r="A17" s="1"/>
      <c r="B17" t="s">
        <v>91</v>
      </c>
    </row>
    <row r="18" spans="1:13" x14ac:dyDescent="0.35">
      <c r="A18" s="1"/>
      <c r="B18" t="s">
        <v>92</v>
      </c>
    </row>
    <row r="19" spans="1:13" x14ac:dyDescent="0.35">
      <c r="A19" s="1">
        <v>3</v>
      </c>
      <c r="B19" t="s">
        <v>94</v>
      </c>
      <c r="L19" s="3" t="s">
        <v>62</v>
      </c>
      <c r="M19" s="11">
        <v>4</v>
      </c>
    </row>
    <row r="20" spans="1:13" x14ac:dyDescent="0.35">
      <c r="A20" s="1"/>
      <c r="B20" t="s">
        <v>21</v>
      </c>
    </row>
    <row r="21" spans="1:13" x14ac:dyDescent="0.35">
      <c r="A21" s="1"/>
      <c r="B21" t="s">
        <v>22</v>
      </c>
    </row>
    <row r="22" spans="1:13" x14ac:dyDescent="0.35">
      <c r="A22" s="1"/>
      <c r="B22" t="s">
        <v>88</v>
      </c>
    </row>
    <row r="23" spans="1:13" x14ac:dyDescent="0.35">
      <c r="A23" s="1"/>
      <c r="B23" t="s">
        <v>91</v>
      </c>
    </row>
    <row r="24" spans="1:13" x14ac:dyDescent="0.35">
      <c r="A24" s="1"/>
      <c r="B24" t="s">
        <v>92</v>
      </c>
    </row>
    <row r="25" spans="1:13" x14ac:dyDescent="0.35">
      <c r="A25" s="1">
        <v>4</v>
      </c>
      <c r="B25" t="s">
        <v>95</v>
      </c>
      <c r="L25" s="3" t="s">
        <v>61</v>
      </c>
      <c r="M25" s="11">
        <v>3</v>
      </c>
    </row>
    <row r="26" spans="1:13" x14ac:dyDescent="0.35">
      <c r="A26" s="1"/>
      <c r="B26" t="s">
        <v>21</v>
      </c>
    </row>
    <row r="27" spans="1:13" x14ac:dyDescent="0.35">
      <c r="A27" s="1"/>
      <c r="B27" t="s">
        <v>22</v>
      </c>
    </row>
    <row r="28" spans="1:13" x14ac:dyDescent="0.35">
      <c r="A28" s="1"/>
      <c r="B28" t="s">
        <v>88</v>
      </c>
    </row>
    <row r="29" spans="1:13" x14ac:dyDescent="0.35">
      <c r="A29" s="1"/>
      <c r="B29" t="s">
        <v>91</v>
      </c>
    </row>
    <row r="30" spans="1:13" x14ac:dyDescent="0.35">
      <c r="A30" s="1"/>
      <c r="B30" t="s">
        <v>92</v>
      </c>
    </row>
    <row r="31" spans="1:13" x14ac:dyDescent="0.35">
      <c r="A31" s="1">
        <v>5</v>
      </c>
      <c r="B31" t="s">
        <v>96</v>
      </c>
      <c r="L31" s="3" t="s">
        <v>60</v>
      </c>
      <c r="M31" s="11">
        <v>5</v>
      </c>
    </row>
    <row r="32" spans="1:13" x14ac:dyDescent="0.35">
      <c r="A32" s="1"/>
      <c r="B32" t="s">
        <v>86</v>
      </c>
    </row>
    <row r="33" spans="1:6" x14ac:dyDescent="0.35">
      <c r="A33" s="1"/>
      <c r="B33" t="s">
        <v>87</v>
      </c>
    </row>
    <row r="34" spans="1:6" x14ac:dyDescent="0.35">
      <c r="A34" s="1"/>
      <c r="B34" t="s">
        <v>88</v>
      </c>
    </row>
    <row r="35" spans="1:6" x14ac:dyDescent="0.35">
      <c r="A35" s="1"/>
      <c r="B35" t="s">
        <v>89</v>
      </c>
    </row>
    <row r="36" spans="1:6" x14ac:dyDescent="0.35">
      <c r="A36" s="1"/>
      <c r="B36" t="s">
        <v>90</v>
      </c>
    </row>
    <row r="39" spans="1:6" x14ac:dyDescent="0.35">
      <c r="A39" s="1"/>
      <c r="B39" s="12" t="s">
        <v>53</v>
      </c>
      <c r="C39" s="11">
        <f>M31+M25+M19+M13+M7</f>
        <v>18</v>
      </c>
    </row>
    <row r="40" spans="1:6" x14ac:dyDescent="0.35">
      <c r="A40" s="1"/>
      <c r="B40" s="13" t="s">
        <v>80</v>
      </c>
    </row>
    <row r="41" spans="1:6" x14ac:dyDescent="0.35">
      <c r="A41" s="1"/>
      <c r="B41" s="14" t="s">
        <v>97</v>
      </c>
      <c r="C41" s="6"/>
      <c r="D41" s="6"/>
      <c r="E41" s="6"/>
      <c r="F41" s="6"/>
    </row>
    <row r="42" spans="1:6" x14ac:dyDescent="0.35">
      <c r="B42" s="15" t="s">
        <v>98</v>
      </c>
      <c r="C42" s="6"/>
      <c r="D42" s="6"/>
      <c r="E42" s="6"/>
      <c r="F42" s="6"/>
    </row>
    <row r="43" spans="1:6" x14ac:dyDescent="0.35">
      <c r="B43" s="15" t="s">
        <v>99</v>
      </c>
      <c r="C43" s="6"/>
      <c r="D43" s="6"/>
      <c r="E43" s="6"/>
      <c r="F43" s="6"/>
    </row>
    <row r="44" spans="1:6" x14ac:dyDescent="0.35">
      <c r="B44" s="16" t="s">
        <v>101</v>
      </c>
      <c r="C44" s="6"/>
      <c r="D44" s="6"/>
      <c r="E44" s="6"/>
      <c r="F44" s="6"/>
    </row>
    <row r="45" spans="1:6" x14ac:dyDescent="0.35">
      <c r="B45" s="17" t="s">
        <v>102</v>
      </c>
      <c r="C45" s="6"/>
      <c r="D45" s="6"/>
      <c r="E45" s="6"/>
      <c r="F45" s="6"/>
    </row>
  </sheetData>
  <conditionalFormatting sqref="C39">
    <cfRule type="cellIs" dxfId="29" priority="1" operator="between">
      <formula>5</formula>
      <formula>9</formula>
    </cfRule>
    <cfRule type="cellIs" dxfId="28" priority="2" operator="between">
      <formula>10</formula>
      <formula>14</formula>
    </cfRule>
    <cfRule type="cellIs" dxfId="27" priority="3" operator="between">
      <formula>20</formula>
      <formula>22</formula>
    </cfRule>
    <cfRule type="cellIs" dxfId="26" priority="4" operator="between">
      <formula>23</formula>
      <formula>35</formula>
    </cfRule>
    <cfRule type="cellIs" dxfId="25" priority="5" operator="between">
      <formula>15</formula>
      <formula>19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88CAE-1FF8-4B2F-A35D-4B380DB85A05}">
  <dimension ref="A1:R45"/>
  <sheetViews>
    <sheetView workbookViewId="0">
      <selection activeCell="M13" sqref="M13"/>
    </sheetView>
  </sheetViews>
  <sheetFormatPr defaultRowHeight="14.5" x14ac:dyDescent="0.35"/>
  <cols>
    <col min="1" max="1" width="1.81640625" bestFit="1" customWidth="1"/>
    <col min="3" max="3" width="10.453125" bestFit="1" customWidth="1"/>
  </cols>
  <sheetData>
    <row r="1" spans="1:18" x14ac:dyDescent="0.35">
      <c r="O1" s="22" t="s">
        <v>248</v>
      </c>
      <c r="R1" s="22" t="s">
        <v>248</v>
      </c>
    </row>
    <row r="2" spans="1:18" x14ac:dyDescent="0.35">
      <c r="B2" s="1" t="s">
        <v>0</v>
      </c>
      <c r="C2">
        <f>Goals!C2</f>
        <v>0</v>
      </c>
      <c r="O2" s="23">
        <v>44823</v>
      </c>
      <c r="R2" s="23">
        <v>44909</v>
      </c>
    </row>
    <row r="3" spans="1:18" x14ac:dyDescent="0.35">
      <c r="B3" s="1" t="s">
        <v>1</v>
      </c>
      <c r="C3">
        <f>'Self-Assement Test'!C3</f>
        <v>45</v>
      </c>
    </row>
    <row r="4" spans="1:18" x14ac:dyDescent="0.35">
      <c r="B4" s="1" t="s">
        <v>2</v>
      </c>
      <c r="C4" s="18">
        <f>'Self-Assement Test'!C4</f>
        <v>44823</v>
      </c>
      <c r="J4">
        <f>50-48</f>
        <v>2</v>
      </c>
    </row>
    <row r="5" spans="1:18" x14ac:dyDescent="0.35">
      <c r="B5" s="10" t="s">
        <v>20</v>
      </c>
      <c r="H5" s="6"/>
    </row>
    <row r="7" spans="1:18" x14ac:dyDescent="0.35">
      <c r="A7" s="1">
        <v>1</v>
      </c>
      <c r="B7" t="s">
        <v>103</v>
      </c>
      <c r="N7" s="3" t="s">
        <v>58</v>
      </c>
      <c r="O7" s="11">
        <v>4</v>
      </c>
      <c r="Q7" s="3" t="s">
        <v>58</v>
      </c>
      <c r="R7" s="11">
        <v>4</v>
      </c>
    </row>
    <row r="8" spans="1:18" x14ac:dyDescent="0.35">
      <c r="A8" s="1"/>
      <c r="B8" t="s">
        <v>104</v>
      </c>
    </row>
    <row r="9" spans="1:18" x14ac:dyDescent="0.35">
      <c r="A9" s="1"/>
      <c r="B9" t="s">
        <v>105</v>
      </c>
    </row>
    <row r="10" spans="1:18" x14ac:dyDescent="0.35">
      <c r="A10" s="1"/>
      <c r="B10" t="s">
        <v>106</v>
      </c>
    </row>
    <row r="11" spans="1:18" x14ac:dyDescent="0.35">
      <c r="A11" s="1"/>
      <c r="B11" t="s">
        <v>107</v>
      </c>
    </row>
    <row r="12" spans="1:18" x14ac:dyDescent="0.35">
      <c r="A12" s="1"/>
      <c r="B12" t="s">
        <v>108</v>
      </c>
    </row>
    <row r="13" spans="1:18" x14ac:dyDescent="0.35">
      <c r="A13" s="1">
        <v>2</v>
      </c>
      <c r="B13" t="s">
        <v>109</v>
      </c>
      <c r="N13" s="3" t="s">
        <v>59</v>
      </c>
      <c r="O13" s="11">
        <v>3</v>
      </c>
      <c r="Q13" s="3" t="s">
        <v>59</v>
      </c>
      <c r="R13" s="11">
        <v>4</v>
      </c>
    </row>
    <row r="14" spans="1:18" x14ac:dyDescent="0.35">
      <c r="A14" s="1"/>
      <c r="B14" t="s">
        <v>110</v>
      </c>
    </row>
    <row r="15" spans="1:18" x14ac:dyDescent="0.35">
      <c r="A15" s="1"/>
      <c r="B15" t="s">
        <v>111</v>
      </c>
    </row>
    <row r="16" spans="1:18" x14ac:dyDescent="0.35">
      <c r="A16" s="1"/>
      <c r="B16" t="s">
        <v>112</v>
      </c>
    </row>
    <row r="17" spans="1:18" x14ac:dyDescent="0.35">
      <c r="A17" s="1"/>
      <c r="B17" t="s">
        <v>113</v>
      </c>
    </row>
    <row r="18" spans="1:18" x14ac:dyDescent="0.35">
      <c r="A18" s="1"/>
      <c r="B18" t="s">
        <v>114</v>
      </c>
    </row>
    <row r="19" spans="1:18" x14ac:dyDescent="0.35">
      <c r="A19" s="1">
        <v>3</v>
      </c>
      <c r="B19" t="s">
        <v>115</v>
      </c>
      <c r="N19" s="3" t="s">
        <v>62</v>
      </c>
      <c r="O19" s="11">
        <v>3</v>
      </c>
      <c r="Q19" s="3" t="s">
        <v>62</v>
      </c>
      <c r="R19" s="11">
        <v>3</v>
      </c>
    </row>
    <row r="20" spans="1:18" x14ac:dyDescent="0.35">
      <c r="A20" s="1"/>
      <c r="B20" t="s">
        <v>116</v>
      </c>
    </row>
    <row r="21" spans="1:18" x14ac:dyDescent="0.35">
      <c r="A21" s="1"/>
      <c r="B21" t="s">
        <v>117</v>
      </c>
    </row>
    <row r="22" spans="1:18" x14ac:dyDescent="0.35">
      <c r="A22" s="1"/>
      <c r="B22" t="s">
        <v>125</v>
      </c>
    </row>
    <row r="23" spans="1:18" x14ac:dyDescent="0.35">
      <c r="A23" s="1"/>
      <c r="B23" t="s">
        <v>126</v>
      </c>
    </row>
    <row r="24" spans="1:18" x14ac:dyDescent="0.35">
      <c r="A24" s="1"/>
      <c r="B24" t="s">
        <v>118</v>
      </c>
    </row>
    <row r="25" spans="1:18" x14ac:dyDescent="0.35">
      <c r="A25" s="1">
        <v>4</v>
      </c>
      <c r="B25" t="s">
        <v>119</v>
      </c>
      <c r="N25" s="3" t="s">
        <v>61</v>
      </c>
      <c r="O25" s="11">
        <v>3</v>
      </c>
      <c r="Q25" s="3" t="s">
        <v>61</v>
      </c>
      <c r="R25" s="11">
        <v>4</v>
      </c>
    </row>
    <row r="26" spans="1:18" x14ac:dyDescent="0.35">
      <c r="A26" s="1"/>
      <c r="B26" t="s">
        <v>120</v>
      </c>
    </row>
    <row r="27" spans="1:18" x14ac:dyDescent="0.35">
      <c r="A27" s="1"/>
      <c r="B27" t="s">
        <v>121</v>
      </c>
    </row>
    <row r="28" spans="1:18" x14ac:dyDescent="0.35">
      <c r="A28" s="1"/>
      <c r="B28" t="s">
        <v>122</v>
      </c>
    </row>
    <row r="29" spans="1:18" x14ac:dyDescent="0.35">
      <c r="A29" s="1"/>
      <c r="B29" t="s">
        <v>123</v>
      </c>
    </row>
    <row r="30" spans="1:18" x14ac:dyDescent="0.35">
      <c r="A30" s="1"/>
      <c r="B30" t="s">
        <v>124</v>
      </c>
    </row>
    <row r="31" spans="1:18" x14ac:dyDescent="0.35">
      <c r="A31" s="1">
        <v>5</v>
      </c>
      <c r="B31" t="s">
        <v>127</v>
      </c>
      <c r="N31" s="3" t="s">
        <v>60</v>
      </c>
      <c r="O31" s="11">
        <v>3</v>
      </c>
      <c r="Q31" s="3" t="s">
        <v>60</v>
      </c>
      <c r="R31" s="11">
        <v>3</v>
      </c>
    </row>
    <row r="32" spans="1:18" x14ac:dyDescent="0.35">
      <c r="A32" s="1"/>
      <c r="B32" t="s">
        <v>128</v>
      </c>
    </row>
    <row r="33" spans="1:6" x14ac:dyDescent="0.35">
      <c r="A33" s="1"/>
      <c r="B33" t="s">
        <v>129</v>
      </c>
    </row>
    <row r="34" spans="1:6" x14ac:dyDescent="0.35">
      <c r="A34" s="1"/>
      <c r="B34" t="s">
        <v>130</v>
      </c>
    </row>
    <row r="35" spans="1:6" x14ac:dyDescent="0.35">
      <c r="A35" s="1"/>
      <c r="B35" t="s">
        <v>131</v>
      </c>
    </row>
    <row r="36" spans="1:6" x14ac:dyDescent="0.35">
      <c r="A36" s="1"/>
      <c r="B36" t="s">
        <v>132</v>
      </c>
    </row>
    <row r="38" spans="1:6" x14ac:dyDescent="0.35">
      <c r="C38" s="21">
        <f>O2</f>
        <v>44823</v>
      </c>
      <c r="D38" s="21">
        <f>R2</f>
        <v>44909</v>
      </c>
    </row>
    <row r="39" spans="1:6" x14ac:dyDescent="0.35">
      <c r="A39" s="1"/>
      <c r="B39" s="12" t="s">
        <v>53</v>
      </c>
      <c r="C39" s="11">
        <f>O31+O25+O19+O13+O7</f>
        <v>16</v>
      </c>
      <c r="D39" s="11">
        <f>R31+R25+R19+R13+R7</f>
        <v>18</v>
      </c>
    </row>
    <row r="40" spans="1:6" x14ac:dyDescent="0.35">
      <c r="A40" s="1"/>
      <c r="B40" s="13" t="s">
        <v>80</v>
      </c>
    </row>
    <row r="41" spans="1:6" x14ac:dyDescent="0.35">
      <c r="A41" s="1"/>
      <c r="B41" s="14" t="s">
        <v>133</v>
      </c>
      <c r="C41" s="6"/>
      <c r="D41" s="6"/>
      <c r="E41" s="6"/>
      <c r="F41" s="6"/>
    </row>
    <row r="42" spans="1:6" x14ac:dyDescent="0.35">
      <c r="B42" s="15" t="s">
        <v>134</v>
      </c>
      <c r="C42" s="6"/>
      <c r="D42" s="6"/>
      <c r="E42" s="6"/>
      <c r="F42" s="6"/>
    </row>
    <row r="43" spans="1:6" x14ac:dyDescent="0.35">
      <c r="B43" s="15" t="s">
        <v>135</v>
      </c>
      <c r="C43" s="6"/>
      <c r="D43" s="6"/>
      <c r="E43" s="6"/>
      <c r="F43" s="6"/>
    </row>
    <row r="44" spans="1:6" x14ac:dyDescent="0.35">
      <c r="B44" s="16" t="s">
        <v>136</v>
      </c>
      <c r="C44" s="6"/>
      <c r="D44" s="6"/>
      <c r="E44" s="6"/>
      <c r="F44" s="6"/>
    </row>
    <row r="45" spans="1:6" x14ac:dyDescent="0.35">
      <c r="B45" s="17" t="s">
        <v>137</v>
      </c>
      <c r="C45" s="6"/>
      <c r="D45" s="6"/>
      <c r="E45" s="6"/>
      <c r="F45" s="6"/>
    </row>
  </sheetData>
  <conditionalFormatting sqref="C39:D39">
    <cfRule type="cellIs" dxfId="24" priority="1" operator="between">
      <formula>5</formula>
      <formula>9</formula>
    </cfRule>
    <cfRule type="cellIs" dxfId="23" priority="2" operator="between">
      <formula>10</formula>
      <formula>14</formula>
    </cfRule>
    <cfRule type="cellIs" dxfId="22" priority="3" operator="between">
      <formula>20</formula>
      <formula>22</formula>
    </cfRule>
    <cfRule type="cellIs" dxfId="21" priority="4" operator="between">
      <formula>23</formula>
      <formula>35</formula>
    </cfRule>
    <cfRule type="cellIs" dxfId="20" priority="5" operator="between">
      <formula>15</formula>
      <formula>19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E955-29AB-400A-8092-B26921C1FD88}">
  <dimension ref="A2:M45"/>
  <sheetViews>
    <sheetView tabSelected="1" topLeftCell="A12" workbookViewId="0">
      <selection activeCell="M32" sqref="M32"/>
    </sheetView>
  </sheetViews>
  <sheetFormatPr defaultRowHeight="14.5" x14ac:dyDescent="0.35"/>
  <cols>
    <col min="1" max="1" width="1.81640625" bestFit="1" customWidth="1"/>
    <col min="3" max="3" width="10.453125" bestFit="1" customWidth="1"/>
  </cols>
  <sheetData>
    <row r="2" spans="1:13" x14ac:dyDescent="0.35">
      <c r="B2" s="1" t="s">
        <v>0</v>
      </c>
      <c r="C2">
        <f>Goals!C2</f>
        <v>0</v>
      </c>
    </row>
    <row r="3" spans="1:13" x14ac:dyDescent="0.35">
      <c r="B3" s="1" t="s">
        <v>1</v>
      </c>
      <c r="C3">
        <f>'Self-Assement Test'!C3</f>
        <v>45</v>
      </c>
    </row>
    <row r="4" spans="1:13" x14ac:dyDescent="0.35">
      <c r="B4" s="1" t="s">
        <v>2</v>
      </c>
      <c r="C4" s="18">
        <f>'Self-Assement Test'!C4</f>
        <v>44823</v>
      </c>
    </row>
    <row r="5" spans="1:13" x14ac:dyDescent="0.35">
      <c r="B5" s="10" t="s">
        <v>20</v>
      </c>
      <c r="H5" s="6"/>
    </row>
    <row r="7" spans="1:13" x14ac:dyDescent="0.35">
      <c r="A7" s="1">
        <v>1</v>
      </c>
      <c r="B7" t="s">
        <v>138</v>
      </c>
      <c r="L7" s="3" t="s">
        <v>58</v>
      </c>
      <c r="M7" s="11">
        <v>4</v>
      </c>
    </row>
    <row r="8" spans="1:13" x14ac:dyDescent="0.35">
      <c r="A8" s="1"/>
      <c r="B8" t="s">
        <v>21</v>
      </c>
    </row>
    <row r="9" spans="1:13" x14ac:dyDescent="0.35">
      <c r="A9" s="1"/>
      <c r="B9" t="s">
        <v>22</v>
      </c>
    </row>
    <row r="10" spans="1:13" x14ac:dyDescent="0.35">
      <c r="A10" s="1"/>
      <c r="B10" t="s">
        <v>88</v>
      </c>
    </row>
    <row r="11" spans="1:13" x14ac:dyDescent="0.35">
      <c r="A11" s="1"/>
      <c r="B11" t="s">
        <v>91</v>
      </c>
    </row>
    <row r="12" spans="1:13" x14ac:dyDescent="0.35">
      <c r="A12" s="1"/>
      <c r="B12" t="s">
        <v>92</v>
      </c>
    </row>
    <row r="13" spans="1:13" x14ac:dyDescent="0.35">
      <c r="A13" s="1">
        <v>2</v>
      </c>
      <c r="B13" t="s">
        <v>28</v>
      </c>
      <c r="L13" s="3" t="s">
        <v>59</v>
      </c>
      <c r="M13" s="11">
        <v>4</v>
      </c>
    </row>
    <row r="14" spans="1:13" x14ac:dyDescent="0.35">
      <c r="A14" s="1"/>
      <c r="B14" t="s">
        <v>21</v>
      </c>
    </row>
    <row r="15" spans="1:13" x14ac:dyDescent="0.35">
      <c r="A15" s="1"/>
      <c r="B15" t="s">
        <v>22</v>
      </c>
    </row>
    <row r="16" spans="1:13" x14ac:dyDescent="0.35">
      <c r="A16" s="1"/>
      <c r="B16" t="s">
        <v>88</v>
      </c>
    </row>
    <row r="17" spans="1:13" x14ac:dyDescent="0.35">
      <c r="A17" s="1"/>
      <c r="B17" t="s">
        <v>91</v>
      </c>
    </row>
    <row r="18" spans="1:13" x14ac:dyDescent="0.35">
      <c r="A18" s="1"/>
      <c r="B18" t="s">
        <v>92</v>
      </c>
    </row>
    <row r="19" spans="1:13" x14ac:dyDescent="0.35">
      <c r="A19" s="1">
        <v>3</v>
      </c>
      <c r="B19" t="s">
        <v>139</v>
      </c>
      <c r="L19" s="3" t="s">
        <v>62</v>
      </c>
      <c r="M19" s="11">
        <v>3</v>
      </c>
    </row>
    <row r="20" spans="1:13" x14ac:dyDescent="0.35">
      <c r="A20" s="1"/>
      <c r="B20" t="s">
        <v>21</v>
      </c>
    </row>
    <row r="21" spans="1:13" x14ac:dyDescent="0.35">
      <c r="A21" s="1"/>
      <c r="B21" t="s">
        <v>22</v>
      </c>
    </row>
    <row r="22" spans="1:13" x14ac:dyDescent="0.35">
      <c r="A22" s="1"/>
      <c r="B22" t="s">
        <v>88</v>
      </c>
    </row>
    <row r="23" spans="1:13" x14ac:dyDescent="0.35">
      <c r="A23" s="1"/>
      <c r="B23" t="s">
        <v>91</v>
      </c>
    </row>
    <row r="24" spans="1:13" x14ac:dyDescent="0.35">
      <c r="A24" s="1"/>
      <c r="B24" t="s">
        <v>92</v>
      </c>
    </row>
    <row r="25" spans="1:13" x14ac:dyDescent="0.35">
      <c r="A25" s="1">
        <v>4</v>
      </c>
      <c r="B25" t="s">
        <v>140</v>
      </c>
      <c r="L25" s="3" t="s">
        <v>61</v>
      </c>
      <c r="M25" s="11">
        <v>4</v>
      </c>
    </row>
    <row r="26" spans="1:13" x14ac:dyDescent="0.35">
      <c r="A26" s="1"/>
      <c r="B26" t="s">
        <v>86</v>
      </c>
    </row>
    <row r="27" spans="1:13" x14ac:dyDescent="0.35">
      <c r="A27" s="1"/>
      <c r="B27" t="s">
        <v>87</v>
      </c>
    </row>
    <row r="28" spans="1:13" x14ac:dyDescent="0.35">
      <c r="A28" s="1"/>
      <c r="B28" t="s">
        <v>88</v>
      </c>
    </row>
    <row r="29" spans="1:13" x14ac:dyDescent="0.35">
      <c r="A29" s="1"/>
      <c r="B29" t="s">
        <v>89</v>
      </c>
    </row>
    <row r="30" spans="1:13" x14ac:dyDescent="0.35">
      <c r="A30" s="1"/>
      <c r="B30" t="s">
        <v>90</v>
      </c>
    </row>
    <row r="31" spans="1:13" x14ac:dyDescent="0.35">
      <c r="A31" s="1">
        <v>5</v>
      </c>
      <c r="B31" t="s">
        <v>141</v>
      </c>
      <c r="L31" s="3" t="s">
        <v>60</v>
      </c>
      <c r="M31" s="11">
        <v>3</v>
      </c>
    </row>
    <row r="32" spans="1:13" x14ac:dyDescent="0.35">
      <c r="A32" s="1"/>
      <c r="B32" t="s">
        <v>142</v>
      </c>
    </row>
    <row r="33" spans="1:6" x14ac:dyDescent="0.35">
      <c r="A33" s="1"/>
      <c r="B33" t="s">
        <v>143</v>
      </c>
    </row>
    <row r="34" spans="1:6" x14ac:dyDescent="0.35">
      <c r="A34" s="1"/>
      <c r="B34" t="s">
        <v>144</v>
      </c>
    </row>
    <row r="35" spans="1:6" x14ac:dyDescent="0.35">
      <c r="A35" s="1"/>
      <c r="B35" t="s">
        <v>145</v>
      </c>
    </row>
    <row r="36" spans="1:6" x14ac:dyDescent="0.35">
      <c r="A36" s="1"/>
      <c r="B36" t="s">
        <v>146</v>
      </c>
    </row>
    <row r="39" spans="1:6" x14ac:dyDescent="0.35">
      <c r="A39" s="1"/>
      <c r="B39" s="12" t="s">
        <v>53</v>
      </c>
      <c r="C39" s="11">
        <f>M31+M25+M19+M13+M7</f>
        <v>18</v>
      </c>
    </row>
    <row r="40" spans="1:6" x14ac:dyDescent="0.35">
      <c r="A40" s="1"/>
      <c r="B40" s="13" t="s">
        <v>80</v>
      </c>
    </row>
    <row r="41" spans="1:6" x14ac:dyDescent="0.35">
      <c r="A41" s="1"/>
      <c r="B41" s="14" t="s">
        <v>147</v>
      </c>
      <c r="C41" s="6"/>
      <c r="D41" s="6"/>
      <c r="E41" s="6"/>
      <c r="F41" s="6"/>
    </row>
    <row r="42" spans="1:6" x14ac:dyDescent="0.35">
      <c r="B42" s="15" t="s">
        <v>148</v>
      </c>
      <c r="C42" s="6"/>
      <c r="D42" s="6"/>
      <c r="E42" s="6"/>
      <c r="F42" s="6"/>
    </row>
    <row r="43" spans="1:6" x14ac:dyDescent="0.35">
      <c r="B43" s="15" t="s">
        <v>149</v>
      </c>
      <c r="C43" s="6"/>
      <c r="D43" s="6"/>
      <c r="E43" s="6"/>
      <c r="F43" s="6"/>
    </row>
    <row r="44" spans="1:6" x14ac:dyDescent="0.35">
      <c r="B44" s="16" t="s">
        <v>150</v>
      </c>
      <c r="C44" s="6"/>
      <c r="D44" s="6"/>
      <c r="E44" s="6"/>
      <c r="F44" s="6"/>
    </row>
    <row r="45" spans="1:6" x14ac:dyDescent="0.35">
      <c r="B45" s="17" t="s">
        <v>151</v>
      </c>
      <c r="C45" s="6"/>
      <c r="D45" s="6"/>
      <c r="E45" s="6"/>
      <c r="F45" s="6"/>
    </row>
  </sheetData>
  <conditionalFormatting sqref="C39">
    <cfRule type="cellIs" dxfId="19" priority="1" operator="between">
      <formula>5</formula>
      <formula>9</formula>
    </cfRule>
    <cfRule type="cellIs" dxfId="18" priority="2" operator="between">
      <formula>10</formula>
      <formula>14</formula>
    </cfRule>
    <cfRule type="cellIs" dxfId="17" priority="3" operator="between">
      <formula>20</formula>
      <formula>22</formula>
    </cfRule>
    <cfRule type="cellIs" dxfId="16" priority="4" operator="between">
      <formula>23</formula>
      <formula>35</formula>
    </cfRule>
    <cfRule type="cellIs" dxfId="15" priority="5" operator="between">
      <formula>15</formula>
      <formula>19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BB577-FCD1-4BD0-BCB9-89336F70CD3A}">
  <dimension ref="A2:M45"/>
  <sheetViews>
    <sheetView topLeftCell="A31" workbookViewId="0">
      <selection activeCell="M32" sqref="M32"/>
    </sheetView>
  </sheetViews>
  <sheetFormatPr defaultColWidth="10.90625" defaultRowHeight="14.5" x14ac:dyDescent="0.35"/>
  <cols>
    <col min="1" max="1" width="1.81640625" bestFit="1" customWidth="1"/>
  </cols>
  <sheetData>
    <row r="2" spans="1:13" x14ac:dyDescent="0.35">
      <c r="B2" s="1" t="s">
        <v>0</v>
      </c>
      <c r="C2">
        <f>Goals!C2</f>
        <v>0</v>
      </c>
    </row>
    <row r="3" spans="1:13" x14ac:dyDescent="0.35">
      <c r="B3" s="1" t="s">
        <v>1</v>
      </c>
      <c r="C3">
        <f>'Self-Assement Test'!C3</f>
        <v>45</v>
      </c>
    </row>
    <row r="4" spans="1:13" x14ac:dyDescent="0.35">
      <c r="B4" s="1" t="s">
        <v>2</v>
      </c>
      <c r="C4" s="18">
        <f>'Self-Assement Test'!C4</f>
        <v>44823</v>
      </c>
    </row>
    <row r="5" spans="1:13" x14ac:dyDescent="0.35">
      <c r="B5" s="10" t="s">
        <v>20</v>
      </c>
      <c r="H5" s="6"/>
    </row>
    <row r="7" spans="1:13" x14ac:dyDescent="0.35">
      <c r="A7" s="1">
        <v>1</v>
      </c>
      <c r="B7" t="s">
        <v>152</v>
      </c>
      <c r="L7" s="3" t="s">
        <v>58</v>
      </c>
      <c r="M7" s="11">
        <v>5</v>
      </c>
    </row>
    <row r="8" spans="1:13" x14ac:dyDescent="0.35">
      <c r="A8" s="1"/>
      <c r="B8" t="s">
        <v>86</v>
      </c>
    </row>
    <row r="9" spans="1:13" x14ac:dyDescent="0.35">
      <c r="A9" s="1"/>
      <c r="B9" t="s">
        <v>87</v>
      </c>
    </row>
    <row r="10" spans="1:13" x14ac:dyDescent="0.35">
      <c r="A10" s="1"/>
      <c r="B10" t="s">
        <v>88</v>
      </c>
    </row>
    <row r="11" spans="1:13" x14ac:dyDescent="0.35">
      <c r="A11" s="1"/>
      <c r="B11" t="s">
        <v>89</v>
      </c>
    </row>
    <row r="12" spans="1:13" x14ac:dyDescent="0.35">
      <c r="A12" s="1"/>
      <c r="B12" t="s">
        <v>90</v>
      </c>
    </row>
    <row r="13" spans="1:13" x14ac:dyDescent="0.35">
      <c r="A13" s="1">
        <v>2</v>
      </c>
      <c r="B13" t="s">
        <v>153</v>
      </c>
      <c r="L13" s="3" t="s">
        <v>59</v>
      </c>
      <c r="M13" s="11">
        <v>5</v>
      </c>
    </row>
    <row r="14" spans="1:13" x14ac:dyDescent="0.35">
      <c r="A14" s="1"/>
      <c r="B14" t="s">
        <v>154</v>
      </c>
    </row>
    <row r="15" spans="1:13" x14ac:dyDescent="0.35">
      <c r="A15" s="1"/>
      <c r="B15" t="s">
        <v>22</v>
      </c>
    </row>
    <row r="16" spans="1:13" x14ac:dyDescent="0.35">
      <c r="A16" s="1"/>
      <c r="B16" t="s">
        <v>155</v>
      </c>
    </row>
    <row r="17" spans="1:13" x14ac:dyDescent="0.35">
      <c r="A17" s="1"/>
      <c r="B17" t="s">
        <v>156</v>
      </c>
    </row>
    <row r="18" spans="1:13" x14ac:dyDescent="0.35">
      <c r="A18" s="1"/>
      <c r="B18" t="s">
        <v>92</v>
      </c>
    </row>
    <row r="19" spans="1:13" x14ac:dyDescent="0.35">
      <c r="A19" s="1">
        <v>3</v>
      </c>
      <c r="B19" t="s">
        <v>157</v>
      </c>
      <c r="L19" s="3" t="s">
        <v>62</v>
      </c>
      <c r="M19" s="11">
        <v>5</v>
      </c>
    </row>
    <row r="20" spans="1:13" x14ac:dyDescent="0.35">
      <c r="A20" s="1"/>
      <c r="B20" t="s">
        <v>21</v>
      </c>
    </row>
    <row r="21" spans="1:13" x14ac:dyDescent="0.35">
      <c r="A21" s="1"/>
      <c r="B21" t="s">
        <v>22</v>
      </c>
    </row>
    <row r="22" spans="1:13" x14ac:dyDescent="0.35">
      <c r="A22" s="1"/>
      <c r="B22" t="s">
        <v>158</v>
      </c>
    </row>
    <row r="23" spans="1:13" x14ac:dyDescent="0.35">
      <c r="A23" s="1"/>
      <c r="B23" t="s">
        <v>159</v>
      </c>
    </row>
    <row r="24" spans="1:13" x14ac:dyDescent="0.35">
      <c r="A24" s="1"/>
      <c r="B24" t="s">
        <v>25</v>
      </c>
    </row>
    <row r="25" spans="1:13" x14ac:dyDescent="0.35">
      <c r="A25" s="1">
        <v>4</v>
      </c>
      <c r="B25" t="s">
        <v>160</v>
      </c>
      <c r="L25" s="3" t="s">
        <v>61</v>
      </c>
      <c r="M25" s="11">
        <v>5</v>
      </c>
    </row>
    <row r="26" spans="1:13" x14ac:dyDescent="0.35">
      <c r="A26" s="1"/>
      <c r="B26" t="s">
        <v>161</v>
      </c>
    </row>
    <row r="27" spans="1:13" x14ac:dyDescent="0.35">
      <c r="A27" s="1"/>
      <c r="B27" t="s">
        <v>87</v>
      </c>
    </row>
    <row r="28" spans="1:13" x14ac:dyDescent="0.35">
      <c r="A28" s="1"/>
      <c r="B28" t="s">
        <v>162</v>
      </c>
    </row>
    <row r="29" spans="1:13" x14ac:dyDescent="0.35">
      <c r="A29" s="1"/>
      <c r="B29" t="s">
        <v>163</v>
      </c>
    </row>
    <row r="30" spans="1:13" x14ac:dyDescent="0.35">
      <c r="A30" s="1"/>
      <c r="B30" t="s">
        <v>164</v>
      </c>
    </row>
    <row r="31" spans="1:13" x14ac:dyDescent="0.35">
      <c r="A31" s="1">
        <v>5</v>
      </c>
      <c r="B31" t="s">
        <v>165</v>
      </c>
      <c r="L31" s="3" t="s">
        <v>60</v>
      </c>
      <c r="M31" s="11">
        <v>4</v>
      </c>
    </row>
    <row r="32" spans="1:13" x14ac:dyDescent="0.35">
      <c r="A32" s="1"/>
      <c r="B32" t="s">
        <v>161</v>
      </c>
    </row>
    <row r="33" spans="1:6" x14ac:dyDescent="0.35">
      <c r="A33" s="1"/>
      <c r="B33" t="s">
        <v>87</v>
      </c>
    </row>
    <row r="34" spans="1:6" x14ac:dyDescent="0.35">
      <c r="A34" s="1"/>
      <c r="B34" t="s">
        <v>166</v>
      </c>
    </row>
    <row r="35" spans="1:6" x14ac:dyDescent="0.35">
      <c r="A35" s="1"/>
      <c r="B35" t="s">
        <v>89</v>
      </c>
    </row>
    <row r="36" spans="1:6" x14ac:dyDescent="0.35">
      <c r="A36" s="1"/>
      <c r="B36" t="s">
        <v>167</v>
      </c>
    </row>
    <row r="39" spans="1:6" x14ac:dyDescent="0.35">
      <c r="A39" s="1"/>
      <c r="B39" s="12" t="s">
        <v>53</v>
      </c>
      <c r="C39" s="11">
        <f>M31+M25+M19+M13+M7</f>
        <v>24</v>
      </c>
    </row>
    <row r="40" spans="1:6" x14ac:dyDescent="0.35">
      <c r="A40" s="1"/>
      <c r="B40" s="13" t="s">
        <v>80</v>
      </c>
    </row>
    <row r="41" spans="1:6" x14ac:dyDescent="0.35">
      <c r="A41" s="1"/>
      <c r="B41" s="14" t="s">
        <v>168</v>
      </c>
      <c r="C41" s="6"/>
      <c r="D41" s="6"/>
      <c r="E41" s="6"/>
      <c r="F41" s="6"/>
    </row>
    <row r="42" spans="1:6" x14ac:dyDescent="0.35">
      <c r="B42" s="15" t="s">
        <v>169</v>
      </c>
      <c r="C42" s="6"/>
      <c r="D42" s="6"/>
      <c r="E42" s="6"/>
      <c r="F42" s="6"/>
    </row>
    <row r="43" spans="1:6" x14ac:dyDescent="0.35">
      <c r="B43" s="15" t="s">
        <v>170</v>
      </c>
      <c r="C43" s="6"/>
      <c r="D43" s="6"/>
      <c r="E43" s="6"/>
      <c r="F43" s="6"/>
    </row>
    <row r="44" spans="1:6" x14ac:dyDescent="0.35">
      <c r="B44" s="16" t="s">
        <v>171</v>
      </c>
      <c r="C44" s="6"/>
      <c r="D44" s="6"/>
      <c r="E44" s="6"/>
      <c r="F44" s="6"/>
    </row>
    <row r="45" spans="1:6" x14ac:dyDescent="0.35">
      <c r="B45" s="17" t="s">
        <v>172</v>
      </c>
      <c r="C45" s="6"/>
      <c r="D45" s="6"/>
      <c r="E45" s="6"/>
      <c r="F45" s="6"/>
    </row>
  </sheetData>
  <conditionalFormatting sqref="C39">
    <cfRule type="cellIs" dxfId="14" priority="1" operator="between">
      <formula>5</formula>
      <formula>9</formula>
    </cfRule>
    <cfRule type="cellIs" dxfId="13" priority="2" operator="between">
      <formula>10</formula>
      <formula>14</formula>
    </cfRule>
    <cfRule type="cellIs" dxfId="12" priority="3" operator="between">
      <formula>20</formula>
      <formula>22</formula>
    </cfRule>
    <cfRule type="cellIs" dxfId="11" priority="4" operator="between">
      <formula>23</formula>
      <formula>35</formula>
    </cfRule>
    <cfRule type="cellIs" dxfId="10" priority="5" operator="between">
      <formula>15</formula>
      <formula>19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DAF4-7D6F-4A39-9355-58B16D30A1CE}">
  <dimension ref="A2:O45"/>
  <sheetViews>
    <sheetView topLeftCell="A28" workbookViewId="0">
      <selection activeCell="B46" sqref="B46"/>
    </sheetView>
  </sheetViews>
  <sheetFormatPr defaultRowHeight="14.5" x14ac:dyDescent="0.35"/>
  <cols>
    <col min="1" max="1" width="1.81640625" bestFit="1" customWidth="1"/>
    <col min="3" max="3" width="10.453125" bestFit="1" customWidth="1"/>
  </cols>
  <sheetData>
    <row r="2" spans="1:15" x14ac:dyDescent="0.35">
      <c r="B2" s="1" t="s">
        <v>0</v>
      </c>
      <c r="C2">
        <f>Goals!C2</f>
        <v>0</v>
      </c>
    </row>
    <row r="3" spans="1:15" x14ac:dyDescent="0.35">
      <c r="B3" s="1" t="s">
        <v>1</v>
      </c>
      <c r="C3">
        <f>'Self-Assement Test'!C3</f>
        <v>45</v>
      </c>
    </row>
    <row r="4" spans="1:15" x14ac:dyDescent="0.35">
      <c r="B4" s="1" t="s">
        <v>2</v>
      </c>
      <c r="C4" s="18">
        <f>'Self-Assement Test'!C4</f>
        <v>44823</v>
      </c>
    </row>
    <row r="5" spans="1:15" x14ac:dyDescent="0.35">
      <c r="B5" s="10" t="s">
        <v>20</v>
      </c>
      <c r="H5" s="6"/>
    </row>
    <row r="7" spans="1:15" x14ac:dyDescent="0.35">
      <c r="A7" s="1">
        <v>1</v>
      </c>
      <c r="B7" t="s">
        <v>173</v>
      </c>
      <c r="N7" s="3" t="s">
        <v>58</v>
      </c>
      <c r="O7" s="11">
        <v>5</v>
      </c>
    </row>
    <row r="8" spans="1:15" x14ac:dyDescent="0.35">
      <c r="A8" s="1"/>
      <c r="B8" t="s">
        <v>86</v>
      </c>
    </row>
    <row r="9" spans="1:15" x14ac:dyDescent="0.35">
      <c r="A9" s="1"/>
      <c r="B9" t="s">
        <v>174</v>
      </c>
    </row>
    <row r="10" spans="1:15" x14ac:dyDescent="0.35">
      <c r="A10" s="1"/>
      <c r="B10" t="s">
        <v>175</v>
      </c>
    </row>
    <row r="11" spans="1:15" x14ac:dyDescent="0.35">
      <c r="A11" s="1"/>
      <c r="B11" t="s">
        <v>176</v>
      </c>
    </row>
    <row r="12" spans="1:15" x14ac:dyDescent="0.35">
      <c r="A12" s="1"/>
      <c r="B12" t="s">
        <v>177</v>
      </c>
    </row>
    <row r="13" spans="1:15" x14ac:dyDescent="0.35">
      <c r="A13" s="1">
        <v>2</v>
      </c>
      <c r="B13" t="s">
        <v>178</v>
      </c>
      <c r="N13" s="3" t="s">
        <v>59</v>
      </c>
      <c r="O13" s="11">
        <v>3</v>
      </c>
    </row>
    <row r="14" spans="1:15" x14ac:dyDescent="0.35">
      <c r="A14" s="1"/>
      <c r="B14" t="s">
        <v>179</v>
      </c>
    </row>
    <row r="15" spans="1:15" x14ac:dyDescent="0.35">
      <c r="A15" s="1"/>
      <c r="B15" t="s">
        <v>180</v>
      </c>
    </row>
    <row r="16" spans="1:15" x14ac:dyDescent="0.35">
      <c r="A16" s="1"/>
      <c r="B16" t="s">
        <v>181</v>
      </c>
    </row>
    <row r="17" spans="1:15" x14ac:dyDescent="0.35">
      <c r="A17" s="1"/>
      <c r="B17" t="s">
        <v>182</v>
      </c>
    </row>
    <row r="18" spans="1:15" x14ac:dyDescent="0.35">
      <c r="A18" s="1"/>
      <c r="B18" t="s">
        <v>183</v>
      </c>
    </row>
    <row r="19" spans="1:15" x14ac:dyDescent="0.35">
      <c r="A19" s="1">
        <v>3</v>
      </c>
      <c r="B19" t="s">
        <v>184</v>
      </c>
      <c r="N19" s="3" t="s">
        <v>62</v>
      </c>
      <c r="O19" s="11">
        <v>3</v>
      </c>
    </row>
    <row r="20" spans="1:15" x14ac:dyDescent="0.35">
      <c r="A20" s="1"/>
      <c r="B20" t="s">
        <v>185</v>
      </c>
    </row>
    <row r="21" spans="1:15" x14ac:dyDescent="0.35">
      <c r="A21" s="1"/>
      <c r="B21" t="s">
        <v>186</v>
      </c>
    </row>
    <row r="22" spans="1:15" x14ac:dyDescent="0.35">
      <c r="A22" s="1"/>
      <c r="B22" t="s">
        <v>187</v>
      </c>
    </row>
    <row r="23" spans="1:15" x14ac:dyDescent="0.35">
      <c r="A23" s="1"/>
      <c r="B23" t="s">
        <v>188</v>
      </c>
    </row>
    <row r="24" spans="1:15" x14ac:dyDescent="0.35">
      <c r="A24" s="1"/>
      <c r="B24" t="s">
        <v>189</v>
      </c>
    </row>
    <row r="25" spans="1:15" x14ac:dyDescent="0.35">
      <c r="A25" s="1">
        <v>4</v>
      </c>
      <c r="B25" t="s">
        <v>190</v>
      </c>
      <c r="N25" s="3" t="s">
        <v>61</v>
      </c>
      <c r="O25" s="11">
        <v>3</v>
      </c>
    </row>
    <row r="26" spans="1:15" x14ac:dyDescent="0.35">
      <c r="A26" s="1"/>
      <c r="B26" t="s">
        <v>191</v>
      </c>
    </row>
    <row r="27" spans="1:15" x14ac:dyDescent="0.35">
      <c r="A27" s="1"/>
      <c r="B27" t="s">
        <v>192</v>
      </c>
    </row>
    <row r="28" spans="1:15" x14ac:dyDescent="0.35">
      <c r="A28" s="1"/>
      <c r="B28" t="s">
        <v>76</v>
      </c>
    </row>
    <row r="29" spans="1:15" x14ac:dyDescent="0.35">
      <c r="A29" s="1"/>
      <c r="B29" t="s">
        <v>77</v>
      </c>
    </row>
    <row r="30" spans="1:15" x14ac:dyDescent="0.35">
      <c r="A30" s="1"/>
      <c r="B30" t="s">
        <v>193</v>
      </c>
    </row>
    <row r="31" spans="1:15" x14ac:dyDescent="0.35">
      <c r="A31" s="1">
        <v>5</v>
      </c>
      <c r="B31" t="s">
        <v>194</v>
      </c>
      <c r="N31" s="3" t="s">
        <v>60</v>
      </c>
      <c r="O31" s="11">
        <v>1</v>
      </c>
    </row>
    <row r="32" spans="1:15" x14ac:dyDescent="0.35">
      <c r="A32" s="1"/>
      <c r="B32" t="s">
        <v>86</v>
      </c>
    </row>
    <row r="33" spans="1:6" x14ac:dyDescent="0.35">
      <c r="A33" s="1"/>
      <c r="B33" t="s">
        <v>195</v>
      </c>
    </row>
    <row r="34" spans="1:6" x14ac:dyDescent="0.35">
      <c r="A34" s="1"/>
      <c r="B34" t="s">
        <v>196</v>
      </c>
    </row>
    <row r="35" spans="1:6" x14ac:dyDescent="0.35">
      <c r="A35" s="1"/>
      <c r="B35" t="s">
        <v>197</v>
      </c>
    </row>
    <row r="36" spans="1:6" x14ac:dyDescent="0.35">
      <c r="A36" s="1"/>
      <c r="B36" t="s">
        <v>177</v>
      </c>
    </row>
    <row r="39" spans="1:6" x14ac:dyDescent="0.35">
      <c r="A39" s="1"/>
      <c r="B39" s="12" t="s">
        <v>53</v>
      </c>
      <c r="C39" s="11">
        <f>O31+O25+O19+O13+O7</f>
        <v>15</v>
      </c>
    </row>
    <row r="40" spans="1:6" x14ac:dyDescent="0.35">
      <c r="A40" s="1"/>
      <c r="B40" s="13" t="s">
        <v>80</v>
      </c>
    </row>
    <row r="41" spans="1:6" x14ac:dyDescent="0.35">
      <c r="A41" s="1"/>
      <c r="B41" s="14" t="s">
        <v>243</v>
      </c>
      <c r="C41" s="6"/>
      <c r="D41" s="6"/>
      <c r="E41" s="6"/>
      <c r="F41" s="6"/>
    </row>
    <row r="42" spans="1:6" x14ac:dyDescent="0.35">
      <c r="B42" s="15" t="s">
        <v>244</v>
      </c>
      <c r="C42" s="6"/>
      <c r="D42" s="6"/>
      <c r="E42" s="6"/>
      <c r="F42" s="6"/>
    </row>
    <row r="43" spans="1:6" x14ac:dyDescent="0.35">
      <c r="B43" s="15" t="s">
        <v>245</v>
      </c>
      <c r="C43" s="6"/>
      <c r="D43" s="6"/>
      <c r="E43" s="6"/>
      <c r="F43" s="6"/>
    </row>
    <row r="44" spans="1:6" x14ac:dyDescent="0.35">
      <c r="B44" s="16" t="s">
        <v>246</v>
      </c>
      <c r="C44" s="6"/>
      <c r="D44" s="6"/>
      <c r="E44" s="6"/>
      <c r="F44" s="6"/>
    </row>
    <row r="45" spans="1:6" x14ac:dyDescent="0.35">
      <c r="B45" s="17" t="s">
        <v>247</v>
      </c>
      <c r="C45" s="6"/>
      <c r="D45" s="6"/>
      <c r="E45" s="6"/>
      <c r="F45" s="6"/>
    </row>
  </sheetData>
  <conditionalFormatting sqref="C39">
    <cfRule type="cellIs" dxfId="9" priority="1" operator="between">
      <formula>5</formula>
      <formula>9</formula>
    </cfRule>
    <cfRule type="cellIs" dxfId="8" priority="2" operator="between">
      <formula>10</formula>
      <formula>14</formula>
    </cfRule>
    <cfRule type="cellIs" dxfId="7" priority="3" operator="between">
      <formula>20</formula>
      <formula>22</formula>
    </cfRule>
    <cfRule type="cellIs" dxfId="6" priority="4" operator="between">
      <formula>23</formula>
      <formula>35</formula>
    </cfRule>
    <cfRule type="cellIs" dxfId="5" priority="5" operator="between">
      <formula>15</formula>
      <formula>19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70548-E093-4474-B094-868183B4EDED}">
  <dimension ref="A2:O45"/>
  <sheetViews>
    <sheetView topLeftCell="A22" workbookViewId="0">
      <selection activeCell="O32" sqref="O32"/>
    </sheetView>
  </sheetViews>
  <sheetFormatPr defaultRowHeight="14.5" x14ac:dyDescent="0.35"/>
  <cols>
    <col min="1" max="1" width="1.81640625" bestFit="1" customWidth="1"/>
    <col min="3" max="3" width="10.453125" bestFit="1" customWidth="1"/>
  </cols>
  <sheetData>
    <row r="2" spans="1:15" x14ac:dyDescent="0.35">
      <c r="B2" s="1" t="s">
        <v>0</v>
      </c>
      <c r="C2">
        <f>Goals!C2</f>
        <v>0</v>
      </c>
    </row>
    <row r="3" spans="1:15" x14ac:dyDescent="0.35">
      <c r="B3" s="1" t="s">
        <v>1</v>
      </c>
      <c r="C3">
        <f>'Self-Assement Test'!C3</f>
        <v>45</v>
      </c>
    </row>
    <row r="4" spans="1:15" x14ac:dyDescent="0.35">
      <c r="B4" s="1" t="s">
        <v>2</v>
      </c>
      <c r="C4" s="18">
        <f>'Self-Assement Test'!C4</f>
        <v>44823</v>
      </c>
    </row>
    <row r="5" spans="1:15" x14ac:dyDescent="0.35">
      <c r="B5" s="10" t="s">
        <v>20</v>
      </c>
      <c r="H5" s="6"/>
    </row>
    <row r="7" spans="1:15" x14ac:dyDescent="0.35">
      <c r="A7" s="1">
        <v>1</v>
      </c>
      <c r="B7" t="s">
        <v>198</v>
      </c>
      <c r="N7" s="3" t="s">
        <v>58</v>
      </c>
      <c r="O7" s="11">
        <v>5</v>
      </c>
    </row>
    <row r="8" spans="1:15" x14ac:dyDescent="0.35">
      <c r="A8" s="1"/>
      <c r="B8" t="s">
        <v>74</v>
      </c>
    </row>
    <row r="9" spans="1:15" x14ac:dyDescent="0.35">
      <c r="A9" s="1"/>
      <c r="B9" t="s">
        <v>75</v>
      </c>
    </row>
    <row r="10" spans="1:15" x14ac:dyDescent="0.35">
      <c r="A10" s="1"/>
      <c r="B10" t="s">
        <v>199</v>
      </c>
    </row>
    <row r="11" spans="1:15" x14ac:dyDescent="0.35">
      <c r="A11" s="1"/>
      <c r="B11" t="s">
        <v>77</v>
      </c>
    </row>
    <row r="12" spans="1:15" x14ac:dyDescent="0.35">
      <c r="A12" s="1"/>
      <c r="B12" t="s">
        <v>200</v>
      </c>
    </row>
    <row r="13" spans="1:15" x14ac:dyDescent="0.35">
      <c r="A13" s="1">
        <v>2</v>
      </c>
      <c r="B13" t="s">
        <v>201</v>
      </c>
      <c r="N13" s="3" t="s">
        <v>59</v>
      </c>
      <c r="O13" s="11">
        <v>3</v>
      </c>
    </row>
    <row r="14" spans="1:15" x14ac:dyDescent="0.35">
      <c r="A14" s="1"/>
      <c r="B14" t="s">
        <v>202</v>
      </c>
    </row>
    <row r="15" spans="1:15" x14ac:dyDescent="0.35">
      <c r="A15" s="1"/>
      <c r="B15" t="s">
        <v>203</v>
      </c>
    </row>
    <row r="16" spans="1:15" x14ac:dyDescent="0.35">
      <c r="A16" s="1"/>
      <c r="B16" t="s">
        <v>204</v>
      </c>
    </row>
    <row r="17" spans="1:15" x14ac:dyDescent="0.35">
      <c r="A17" s="1"/>
      <c r="B17" t="s">
        <v>205</v>
      </c>
    </row>
    <row r="18" spans="1:15" x14ac:dyDescent="0.35">
      <c r="A18" s="1"/>
      <c r="B18" t="s">
        <v>206</v>
      </c>
    </row>
    <row r="19" spans="1:15" x14ac:dyDescent="0.35">
      <c r="A19" s="1">
        <v>3</v>
      </c>
      <c r="B19" t="s">
        <v>207</v>
      </c>
      <c r="N19" s="3" t="s">
        <v>62</v>
      </c>
      <c r="O19" s="11">
        <v>3</v>
      </c>
    </row>
    <row r="20" spans="1:15" x14ac:dyDescent="0.35">
      <c r="A20" s="1"/>
      <c r="B20" t="s">
        <v>208</v>
      </c>
    </row>
    <row r="21" spans="1:15" x14ac:dyDescent="0.35">
      <c r="A21" s="1"/>
      <c r="B21" t="s">
        <v>209</v>
      </c>
    </row>
    <row r="22" spans="1:15" x14ac:dyDescent="0.35">
      <c r="A22" s="1"/>
      <c r="B22" t="s">
        <v>210</v>
      </c>
    </row>
    <row r="23" spans="1:15" x14ac:dyDescent="0.35">
      <c r="A23" s="1"/>
      <c r="B23" t="s">
        <v>182</v>
      </c>
    </row>
    <row r="24" spans="1:15" x14ac:dyDescent="0.35">
      <c r="A24" s="1"/>
      <c r="B24" t="s">
        <v>92</v>
      </c>
    </row>
    <row r="25" spans="1:15" x14ac:dyDescent="0.35">
      <c r="A25" s="1">
        <v>4</v>
      </c>
      <c r="B25" t="s">
        <v>211</v>
      </c>
      <c r="N25" s="3" t="s">
        <v>61</v>
      </c>
      <c r="O25" s="11">
        <v>5</v>
      </c>
    </row>
    <row r="26" spans="1:15" x14ac:dyDescent="0.35">
      <c r="A26" s="1"/>
      <c r="B26" t="s">
        <v>212</v>
      </c>
    </row>
    <row r="27" spans="1:15" x14ac:dyDescent="0.35">
      <c r="A27" s="1"/>
      <c r="B27" t="s">
        <v>213</v>
      </c>
    </row>
    <row r="28" spans="1:15" x14ac:dyDescent="0.35">
      <c r="A28" s="1"/>
      <c r="B28" t="s">
        <v>214</v>
      </c>
    </row>
    <row r="29" spans="1:15" x14ac:dyDescent="0.35">
      <c r="A29" s="1"/>
      <c r="B29" s="4" t="s">
        <v>216</v>
      </c>
    </row>
    <row r="30" spans="1:15" x14ac:dyDescent="0.35">
      <c r="A30" s="1"/>
      <c r="B30" t="s">
        <v>215</v>
      </c>
    </row>
    <row r="31" spans="1:15" x14ac:dyDescent="0.35">
      <c r="A31" s="1">
        <v>5</v>
      </c>
      <c r="B31" t="s">
        <v>217</v>
      </c>
      <c r="N31" s="3" t="s">
        <v>60</v>
      </c>
      <c r="O31" s="11">
        <v>4</v>
      </c>
    </row>
    <row r="32" spans="1:15" x14ac:dyDescent="0.35">
      <c r="A32" s="1"/>
      <c r="B32" t="s">
        <v>218</v>
      </c>
    </row>
    <row r="33" spans="1:6" x14ac:dyDescent="0.35">
      <c r="A33" s="1"/>
      <c r="B33" t="s">
        <v>87</v>
      </c>
    </row>
    <row r="34" spans="1:6" x14ac:dyDescent="0.35">
      <c r="A34" s="1"/>
      <c r="B34" t="s">
        <v>219</v>
      </c>
    </row>
    <row r="35" spans="1:6" x14ac:dyDescent="0.35">
      <c r="A35" s="1"/>
      <c r="B35" t="s">
        <v>89</v>
      </c>
    </row>
    <row r="36" spans="1:6" x14ac:dyDescent="0.35">
      <c r="A36" s="1"/>
      <c r="B36" t="s">
        <v>90</v>
      </c>
    </row>
    <row r="39" spans="1:6" x14ac:dyDescent="0.35">
      <c r="A39" s="1"/>
      <c r="B39" s="12" t="s">
        <v>53</v>
      </c>
      <c r="C39" s="11">
        <f>O31+O25+O19+O13+O7</f>
        <v>20</v>
      </c>
    </row>
    <row r="40" spans="1:6" x14ac:dyDescent="0.35">
      <c r="A40" s="1"/>
      <c r="B40" s="13" t="s">
        <v>80</v>
      </c>
    </row>
    <row r="41" spans="1:6" x14ac:dyDescent="0.35">
      <c r="A41" s="1"/>
      <c r="B41" s="14" t="s">
        <v>220</v>
      </c>
      <c r="C41" s="6"/>
      <c r="D41" s="6"/>
      <c r="E41" s="6"/>
      <c r="F41" s="6"/>
    </row>
    <row r="42" spans="1:6" x14ac:dyDescent="0.35">
      <c r="B42" s="15" t="s">
        <v>221</v>
      </c>
      <c r="C42" s="6"/>
      <c r="D42" s="6"/>
      <c r="E42" s="6"/>
      <c r="F42" s="6"/>
    </row>
    <row r="43" spans="1:6" x14ac:dyDescent="0.35">
      <c r="B43" s="15" t="s">
        <v>222</v>
      </c>
      <c r="C43" s="6"/>
      <c r="D43" s="6"/>
      <c r="E43" s="6"/>
      <c r="F43" s="6"/>
    </row>
    <row r="44" spans="1:6" x14ac:dyDescent="0.35">
      <c r="B44" s="16" t="s">
        <v>223</v>
      </c>
      <c r="C44" s="6"/>
      <c r="D44" s="6"/>
      <c r="E44" s="6"/>
      <c r="F44" s="6"/>
    </row>
    <row r="45" spans="1:6" x14ac:dyDescent="0.35">
      <c r="B45" s="17" t="s">
        <v>224</v>
      </c>
      <c r="C45" s="6"/>
      <c r="D45" s="6"/>
      <c r="E45" s="6"/>
      <c r="F45" s="6"/>
    </row>
  </sheetData>
  <conditionalFormatting sqref="C39">
    <cfRule type="cellIs" dxfId="4" priority="1" operator="between">
      <formula>5</formula>
      <formula>9</formula>
    </cfRule>
    <cfRule type="cellIs" dxfId="3" priority="2" operator="between">
      <formula>10</formula>
      <formula>14</formula>
    </cfRule>
    <cfRule type="cellIs" dxfId="2" priority="3" operator="between">
      <formula>20</formula>
      <formula>22</formula>
    </cfRule>
    <cfRule type="cellIs" dxfId="1" priority="4" operator="between">
      <formula>23</formula>
      <formula>35</formula>
    </cfRule>
    <cfRule type="cellIs" dxfId="0" priority="5" operator="between">
      <formula>15</formula>
      <formula>19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Graph Eval</vt:lpstr>
      <vt:lpstr>Goals</vt:lpstr>
      <vt:lpstr>Self-Assement Test</vt:lpstr>
      <vt:lpstr>Climbing Experience Eval</vt:lpstr>
      <vt:lpstr>TecniSkills</vt:lpstr>
      <vt:lpstr>Mental Skill Eval</vt:lpstr>
      <vt:lpstr>General fitness Eval</vt:lpstr>
      <vt:lpstr>Climbing specific Fitn</vt:lpstr>
      <vt:lpstr>Injury Risk Eval</vt:lpstr>
      <vt:lpstr>Nutritional  Eval</vt:lpstr>
      <vt:lpstr>Lifestyle Eval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Josina Bernardes</dc:creator>
  <cp:lastModifiedBy>Josina Bernardes</cp:lastModifiedBy>
  <dcterms:created xsi:type="dcterms:W3CDTF">2015-06-05T18:17:20Z</dcterms:created>
  <dcterms:modified xsi:type="dcterms:W3CDTF">2022-12-14T13:43:41Z</dcterms:modified>
</cp:coreProperties>
</file>
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8000" tabRatio="500" firstSheet="1" activeTab="5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Ref" sheetId="2" state="hidden" r:id="rId2"/>
    <sheet xmlns:r="http://schemas.openxmlformats.org/officeDocument/2006/relationships" name="💪 Gym Session Log" sheetId="3" state="visible" r:id="rId3"/>
    <sheet xmlns:r="http://schemas.openxmlformats.org/officeDocument/2006/relationships" name="📈 Exercise Progress" sheetId="4" state="visible" r:id="rId4"/>
    <sheet xmlns:r="http://schemas.openxmlformats.org/officeDocument/2006/relationships" name="🦵 Rehab Program" sheetId="5" state="visible" r:id="rId5"/>
    <sheet xmlns:r="http://schemas.openxmlformats.org/officeDocument/2006/relationships" name="🧗 Climbing Log" sheetId="6" state="visible" r:id="rId6"/>
    <sheet xmlns:r="http://schemas.openxmlformats.org/officeDocument/2006/relationships" name="🏔️ Climbing Goals" sheetId="7" state="visible" r:id="rId7"/>
    <sheet xmlns:r="http://schemas.openxmlformats.org/officeDocument/2006/relationships" name="📅 Weekly Planner" sheetId="8" state="visible" r:id="rId8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0.0"/>
    <numFmt numFmtId="166" formatCode="DD/MM/YYYY"/>
  </numFmts>
  <fonts count="37">
    <font>
      <name val="Calibri"/>
      <charset val="1"/>
      <family val="2"/>
      <color theme="1"/>
      <sz val="11"/>
    </font>
    <font>
      <name val="Arial"/>
      <charset val="1"/>
      <family val="2"/>
      <b val="1"/>
      <color rgb="FFFFFFFF"/>
      <sz val="18"/>
    </font>
    <font>
      <name val="Arial"/>
      <charset val="1"/>
      <family val="2"/>
      <b val="1"/>
      <color rgb="FFFFFFFF"/>
      <sz val="12"/>
    </font>
    <font>
      <name val="Arial"/>
      <charset val="1"/>
      <family val="2"/>
      <b val="1"/>
      <color rgb="FF000000"/>
      <sz val="11"/>
    </font>
    <font>
      <name val="Arial"/>
      <charset val="1"/>
      <family val="2"/>
      <color rgb="FF000000"/>
      <sz val="11"/>
    </font>
    <font>
      <name val="Arial"/>
      <charset val="1"/>
      <family val="2"/>
      <color rgb="FF1A5276"/>
      <sz val="11"/>
    </font>
    <font>
      <name val="Arial"/>
      <charset val="1"/>
      <family val="2"/>
      <b val="1"/>
      <color rgb="FFFFFFFF"/>
      <sz val="11"/>
    </font>
    <font>
      <name val="Arial"/>
      <charset val="1"/>
      <family val="2"/>
      <b val="1"/>
      <color rgb="FFFFFFFF"/>
      <sz val="14"/>
    </font>
    <font>
      <name val="Arial"/>
      <charset val="1"/>
      <family val="2"/>
      <i val="1"/>
      <color rgb="FF1A5276"/>
      <sz val="10"/>
    </font>
    <font>
      <name val="Arial"/>
      <charset val="1"/>
      <family val="2"/>
      <b val="1"/>
      <color rgb="FF1A5276"/>
      <sz val="9"/>
    </font>
    <font>
      <name val="Arial"/>
      <charset val="1"/>
      <family val="2"/>
      <b val="1"/>
      <color rgb="FF1ABC9C"/>
      <sz val="9"/>
    </font>
    <font>
      <name val="Arial"/>
      <charset val="1"/>
      <family val="2"/>
      <b val="1"/>
      <color rgb="FFFFFFFF"/>
      <sz val="10"/>
    </font>
    <font>
      <name val="Arial"/>
      <charset val="1"/>
      <family val="2"/>
      <color rgb="FF1ABC9C"/>
      <sz val="11"/>
    </font>
    <font>
      <name val="Arial"/>
      <charset val="1"/>
      <family val="2"/>
      <b val="1"/>
      <color rgb="FF1A5276"/>
      <sz val="11"/>
    </font>
    <font>
      <name val="Arial"/>
      <family val="2"/>
      <b val="1"/>
      <color rgb="FFFFFFFF"/>
      <sz val="10"/>
    </font>
    <font>
      <name val="Arial"/>
      <family val="2"/>
      <color rgb="FF000000"/>
      <sz val="10"/>
    </font>
    <font>
      <name val="Arial"/>
      <family val="2"/>
      <color rgb="FF1ABC9C"/>
      <sz val="10"/>
    </font>
    <font>
      <name val="Arial"/>
      <family val="2"/>
      <b val="1"/>
      <color rgb="FF000000"/>
      <sz val="10"/>
    </font>
    <font>
      <name val="Arial"/>
      <family val="2"/>
      <b val="1"/>
      <color rgb="FF1A5276"/>
      <sz val="10"/>
    </font>
    <font>
      <name val="Arial"/>
      <charset val="1"/>
      <family val="2"/>
      <b val="1"/>
      <color rgb="FF000000"/>
      <sz val="10"/>
    </font>
    <font>
      <name val="Arial"/>
      <charset val="1"/>
      <family val="2"/>
      <b val="1"/>
      <color rgb="FF1A5276"/>
      <sz val="10"/>
    </font>
    <font>
      <name val="Arial"/>
      <family val="2"/>
      <color rgb="FF1A5276"/>
      <sz val="10"/>
    </font>
    <font>
      <name val="Arial"/>
      <family val="2"/>
      <b val="1"/>
      <color rgb="FF27AE60"/>
      <sz val="10"/>
    </font>
    <font>
      <name val="Arial"/>
      <family val="2"/>
      <color rgb="FFAAAAAA"/>
      <sz val="10"/>
    </font>
    <font>
      <name val="Arial"/>
      <family val="2"/>
      <b val="1"/>
      <color rgb="FF888888"/>
      <sz val="10"/>
    </font>
    <font>
      <name val="Arial"/>
      <family val="2"/>
      <b val="1"/>
      <color rgb="FFE74C3C"/>
      <sz val="10"/>
    </font>
    <font>
      <name val="Arial"/>
      <family val="2"/>
      <color rgb="FF2E86AB"/>
      <sz val="10"/>
    </font>
    <font>
      <name val="Arial"/>
      <family val="2"/>
      <b val="1"/>
      <color rgb="FFFFFFFF"/>
      <sz val="13"/>
    </font>
    <font>
      <name val="Arial"/>
      <family val="2"/>
      <i val="1"/>
      <color rgb="FF8E44AD"/>
      <sz val="9"/>
    </font>
    <font>
      <name val="Arial"/>
      <family val="2"/>
      <b val="1"/>
      <color rgb="FFFFFFFF"/>
      <sz val="9"/>
    </font>
    <font>
      <name val="Arial"/>
      <family val="2"/>
      <b val="1"/>
      <color rgb="FF1ABC9C"/>
      <sz val="10"/>
    </font>
    <font>
      <name val="Arial"/>
      <family val="2"/>
      <b val="1"/>
      <color rgb="FF000000"/>
      <sz val="9"/>
    </font>
    <font>
      <name val="Arial"/>
      <family val="2"/>
      <color rgb="FF8E44AD"/>
      <sz val="9"/>
    </font>
    <font>
      <name val="Arial"/>
      <family val="2"/>
      <color rgb="FF27AE60"/>
      <sz val="10"/>
    </font>
    <font>
      <name val="Arial"/>
      <family val="2"/>
      <b val="1"/>
      <color rgb="FF000000"/>
      <sz val="10"/>
    </font>
    <font>
      <name val="Arial"/>
      <family val="2"/>
      <b val="1"/>
      <color rgb="FF8E44AD"/>
      <sz val="10"/>
    </font>
    <font>
      <name val="Arial"/>
      <color rgb="00000000"/>
      <sz val="10"/>
    </font>
  </fonts>
  <fills count="23">
    <fill>
      <patternFill/>
    </fill>
    <fill>
      <patternFill patternType="gray125"/>
    </fill>
    <fill>
      <patternFill patternType="solid">
        <fgColor rgb="FF1A5276"/>
        <bgColor rgb="FF333399"/>
      </patternFill>
    </fill>
    <fill>
      <patternFill patternType="solid">
        <fgColor rgb="FF2E86AB"/>
        <bgColor rgb="FF008080"/>
      </patternFill>
    </fill>
    <fill>
      <patternFill patternType="solid">
        <fgColor rgb="FFF2F3F4"/>
        <bgColor rgb="FFF5EEF8"/>
      </patternFill>
    </fill>
    <fill>
      <patternFill patternType="solid">
        <fgColor rgb="FFFFFFFF"/>
        <bgColor rgb="FFF2F3F4"/>
      </patternFill>
    </fill>
    <fill>
      <patternFill patternType="solid">
        <fgColor rgb="FFAED6F1"/>
        <bgColor rgb="FFBDC3C7"/>
      </patternFill>
    </fill>
    <fill>
      <patternFill patternType="solid">
        <fgColor rgb="FF1ABC9C"/>
        <bgColor rgb="FF27AE60"/>
      </patternFill>
    </fill>
    <fill>
      <patternFill patternType="solid">
        <fgColor rgb="FFFEF3CD"/>
        <bgColor rgb="FFF2F3F4"/>
      </patternFill>
    </fill>
    <fill>
      <patternFill patternType="solid">
        <fgColor rgb="FFD5F5E3"/>
        <bgColor rgb="FFF2F3F4"/>
      </patternFill>
    </fill>
    <fill>
      <patternFill patternType="solid">
        <fgColor rgb="FFF0B429"/>
        <bgColor rgb="FFFF9900"/>
      </patternFill>
    </fill>
    <fill>
      <patternFill patternType="solid">
        <fgColor rgb="FFE67E22"/>
        <bgColor rgb="FFFF9900"/>
      </patternFill>
    </fill>
    <fill>
      <patternFill patternType="solid">
        <fgColor rgb="FF8E44AD"/>
        <bgColor rgb="FF993366"/>
      </patternFill>
    </fill>
    <fill>
      <patternFill patternType="solid">
        <fgColor rgb="FFE8DAEF"/>
        <bgColor rgb="FFF5EEF8"/>
      </patternFill>
    </fill>
    <fill>
      <patternFill patternType="solid">
        <fgColor rgb="FFF5EEF8"/>
        <bgColor rgb="FFF2F3F4"/>
      </patternFill>
    </fill>
    <fill>
      <patternFill patternType="solid">
        <fgColor rgb="FFA569BD"/>
        <bgColor rgb="FF8E44AD"/>
      </patternFill>
    </fill>
    <fill>
      <patternFill patternType="solid">
        <fgColor rgb="FFE8DAEF"/>
      </patternFill>
    </fill>
    <fill>
      <patternFill patternType="solid">
        <fgColor rgb="FFD5F5E3"/>
      </patternFill>
    </fill>
    <fill>
      <patternFill patternType="solid">
        <fgColor rgb="00F2F2F2"/>
      </patternFill>
    </fill>
    <fill>
      <patternFill patternType="solid">
        <fgColor rgb="00FFD700"/>
      </patternFill>
    </fill>
    <fill>
      <patternFill patternType="solid">
        <fgColor rgb="00D5F5E3"/>
      </patternFill>
    </fill>
    <fill>
      <patternFill patternType="solid">
        <fgColor rgb="00D1F2EB"/>
      </patternFill>
    </fill>
    <fill>
      <patternFill patternType="solid">
        <fgColor rgb="00FFFFFF"/>
      </patternFill>
    </fill>
  </fills>
  <borders count="9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/>
      <right/>
      <top style="thin">
        <color rgb="FFBDC3C7"/>
      </top>
      <bottom style="thin">
        <color rgb="FFBDC3C7"/>
      </bottom>
      <diagonal/>
    </border>
    <border>
      <left/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/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/>
      <right/>
      <top style="thin">
        <color rgb="FFBDC3C7"/>
      </top>
      <bottom/>
      <diagonal/>
    </border>
    <border>
      <left/>
      <right style="thin">
        <color rgb="FFBDC3C7"/>
      </right>
      <top style="thin">
        <color rgb="FFBDC3C7"/>
      </top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60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0" fontId="6" fillId="2" borderId="0" pivotButton="0" quotePrefix="0" xfId="0"/>
    <xf numFmtId="0" fontId="11" fillId="3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left" vertical="center"/>
    </xf>
    <xf numFmtId="165" fontId="4" fillId="8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9" fontId="13" fillId="8" borderId="1" applyAlignment="1" pivotButton="0" quotePrefix="0" xfId="0">
      <alignment horizontal="center" vertical="center"/>
    </xf>
    <xf numFmtId="165" fontId="13" fillId="8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2" fontId="13" fillId="9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13" fillId="8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left" vertical="center"/>
    </xf>
    <xf numFmtId="165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9" fontId="13" fillId="4" borderId="1" applyAlignment="1" pivotButton="0" quotePrefix="0" xfId="0">
      <alignment horizontal="center" vertical="center"/>
    </xf>
    <xf numFmtId="165" fontId="1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13" fillId="4" borderId="1" applyAlignment="1" pivotButton="0" quotePrefix="0" xfId="0">
      <alignment horizontal="center" vertical="center"/>
    </xf>
    <xf numFmtId="164" fontId="15" fillId="8" borderId="1" applyAlignment="1" pivotButton="0" quotePrefix="0" xfId="0">
      <alignment horizontal="left" vertical="center"/>
    </xf>
    <xf numFmtId="165" fontId="15" fillId="8" borderId="1" applyAlignment="1" pivotButton="0" quotePrefix="0" xfId="0">
      <alignment horizontal="center" vertical="center"/>
    </xf>
    <xf numFmtId="0" fontId="16" fillId="9" borderId="1" applyAlignment="1" pivotButton="0" quotePrefix="0" xfId="0">
      <alignment horizontal="left" vertical="center"/>
    </xf>
    <xf numFmtId="0" fontId="17" fillId="8" borderId="1" applyAlignment="1" pivotButton="0" quotePrefix="0" xfId="0">
      <alignment horizontal="left" vertical="center"/>
    </xf>
    <xf numFmtId="9" fontId="18" fillId="8" borderId="1" applyAlignment="1" pivotButton="0" quotePrefix="0" xfId="0">
      <alignment horizontal="center" vertical="center"/>
    </xf>
    <xf numFmtId="165" fontId="18" fillId="8" borderId="1" applyAlignment="1" pivotButton="0" quotePrefix="0" xfId="0">
      <alignment horizontal="center" vertical="center"/>
    </xf>
    <xf numFmtId="0" fontId="16" fillId="9" borderId="1" applyAlignment="1" pivotButton="0" quotePrefix="0" xfId="0">
      <alignment horizontal="center" vertical="center"/>
    </xf>
    <xf numFmtId="2" fontId="18" fillId="9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left" vertical="center"/>
    </xf>
    <xf numFmtId="0" fontId="18" fillId="8" borderId="1" applyAlignment="1" pivotButton="0" quotePrefix="0" xfId="0">
      <alignment horizontal="center" vertical="center"/>
    </xf>
    <xf numFmtId="0" fontId="0" fillId="5" borderId="0" pivotButton="0" quotePrefix="0" xfId="0"/>
    <xf numFmtId="0" fontId="19" fillId="1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64" fontId="0" fillId="8" borderId="1" applyAlignment="1" pivotButton="0" quotePrefix="0" xfId="0">
      <alignment horizontal="left" vertical="center"/>
    </xf>
    <xf numFmtId="165" fontId="0" fillId="8" borderId="1" applyAlignment="1" pivotButton="0" quotePrefix="0" xfId="0">
      <alignment horizontal="center" vertical="center"/>
    </xf>
    <xf numFmtId="0" fontId="12" fillId="9" borderId="1" pivotButton="0" quotePrefix="0" xfId="0"/>
    <xf numFmtId="0" fontId="0" fillId="8" borderId="1" applyAlignment="1" pivotButton="0" quotePrefix="0" xfId="0">
      <alignment horizontal="left" vertical="center"/>
    </xf>
    <xf numFmtId="9" fontId="0" fillId="8" borderId="1" applyAlignment="1" pivotButton="0" quotePrefix="0" xfId="0">
      <alignment horizontal="center" vertical="center"/>
    </xf>
    <xf numFmtId="2" fontId="13" fillId="9" borderId="1" pivotButton="0" quotePrefix="0" xfId="0"/>
    <xf numFmtId="0" fontId="1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165" fontId="4" fillId="5" borderId="1" applyAlignment="1" pivotButton="0" quotePrefix="0" xfId="0">
      <alignment horizontal="center" vertical="center"/>
    </xf>
    <xf numFmtId="165" fontId="21" fillId="5" borderId="1" applyAlignment="1" pivotButton="0" quotePrefix="0" xfId="0">
      <alignment horizontal="center" vertical="center"/>
    </xf>
    <xf numFmtId="0" fontId="22" fillId="5" borderId="1" applyAlignment="1" pivotButton="0" quotePrefix="0" xfId="0">
      <alignment horizontal="center" vertical="center"/>
    </xf>
    <xf numFmtId="165" fontId="21" fillId="4" borderId="1" applyAlignment="1" pivotButton="0" quotePrefix="0" xfId="0">
      <alignment horizontal="center" vertical="center"/>
    </xf>
    <xf numFmtId="0" fontId="22" fillId="4" borderId="1" applyAlignment="1" pivotButton="0" quotePrefix="0" xfId="0">
      <alignment horizontal="center" vertical="center"/>
    </xf>
    <xf numFmtId="0" fontId="2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24" fillId="5" borderId="1" applyAlignment="1" pivotButton="0" quotePrefix="0" xfId="0">
      <alignment horizontal="center" vertical="center"/>
    </xf>
    <xf numFmtId="0" fontId="25" fillId="4" borderId="1" applyAlignment="1" pivotButton="0" quotePrefix="0" xfId="0">
      <alignment horizontal="center" vertical="center"/>
    </xf>
    <xf numFmtId="0" fontId="25" fillId="5" borderId="1" applyAlignment="1" pivotButton="0" quotePrefix="0" xfId="0">
      <alignment horizontal="center" vertical="center"/>
    </xf>
    <xf numFmtId="0" fontId="23" fillId="4" borderId="1" applyAlignment="1" pivotButton="0" quotePrefix="0" xfId="0">
      <alignment horizontal="center" vertical="center"/>
    </xf>
    <xf numFmtId="0" fontId="24" fillId="4" borderId="1" applyAlignment="1" pivotButton="0" quotePrefix="0" xfId="0">
      <alignment horizontal="center" vertical="center"/>
    </xf>
    <xf numFmtId="0" fontId="22" fillId="0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left" vertical="center"/>
    </xf>
    <xf numFmtId="0" fontId="17" fillId="4" borderId="1" applyAlignment="1" pivotButton="0" quotePrefix="0" xfId="0">
      <alignment horizontal="left" vertical="center"/>
    </xf>
    <xf numFmtId="0" fontId="26" fillId="4" borderId="1" applyAlignment="1" pivotButton="0" quotePrefix="0" xfId="0">
      <alignment horizontal="left" vertical="center"/>
    </xf>
    <xf numFmtId="0" fontId="15" fillId="5" borderId="1" applyAlignment="1" pivotButton="0" quotePrefix="0" xfId="0">
      <alignment horizontal="left" vertical="center"/>
    </xf>
    <xf numFmtId="0" fontId="17" fillId="5" borderId="1" applyAlignment="1" pivotButton="0" quotePrefix="0" xfId="0">
      <alignment horizontal="left" vertical="center"/>
    </xf>
    <xf numFmtId="0" fontId="26" fillId="5" borderId="1" applyAlignment="1" pivotButton="0" quotePrefix="0" xfId="0">
      <alignment horizontal="left" vertical="center"/>
    </xf>
    <xf numFmtId="0" fontId="11" fillId="11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2" fontId="4" fillId="5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0" fontId="29" fillId="12" borderId="1" applyAlignment="1" pivotButton="0" quotePrefix="0" xfId="0">
      <alignment horizontal="center" vertical="center" wrapText="1"/>
    </xf>
    <xf numFmtId="0" fontId="29" fillId="7" borderId="1" applyAlignment="1" pivotButton="0" quotePrefix="0" xfId="0">
      <alignment horizontal="center" vertical="center" wrapText="1"/>
    </xf>
    <xf numFmtId="164" fontId="15" fillId="13" borderId="1" applyAlignment="1" pivotButton="0" quotePrefix="0" xfId="0">
      <alignment horizontal="left" vertical="center"/>
    </xf>
    <xf numFmtId="0" fontId="17" fillId="13" borderId="1" applyAlignment="1" pivotButton="0" quotePrefix="0" xfId="0">
      <alignment horizontal="left" vertical="center"/>
    </xf>
    <xf numFmtId="1" fontId="16" fillId="9" borderId="1" applyAlignment="1" pivotButton="0" quotePrefix="0" xfId="0">
      <alignment horizontal="center" vertical="center"/>
    </xf>
    <xf numFmtId="0" fontId="15" fillId="13" borderId="1" applyAlignment="1" pivotButton="0" quotePrefix="0" xfId="0">
      <alignment horizontal="center" vertical="center"/>
    </xf>
    <xf numFmtId="0" fontId="30" fillId="9" borderId="1" applyAlignment="1" pivotButton="0" quotePrefix="0" xfId="0">
      <alignment horizontal="center" vertical="center"/>
    </xf>
    <xf numFmtId="1" fontId="30" fillId="9" borderId="1" applyAlignment="1" pivotButton="0" quotePrefix="0" xfId="0">
      <alignment horizontal="center" vertical="center"/>
    </xf>
    <xf numFmtId="0" fontId="15" fillId="13" borderId="1" applyAlignment="1" pivotButton="0" quotePrefix="0" xfId="0">
      <alignment horizontal="left" vertical="center"/>
    </xf>
    <xf numFmtId="164" fontId="15" fillId="14" borderId="1" applyAlignment="1" pivotButton="0" quotePrefix="0" xfId="0">
      <alignment horizontal="left" vertical="center"/>
    </xf>
    <xf numFmtId="0" fontId="17" fillId="14" borderId="1" applyAlignment="1" pivotButton="0" quotePrefix="0" xfId="0">
      <alignment horizontal="left" vertical="center"/>
    </xf>
    <xf numFmtId="0" fontId="15" fillId="14" borderId="1" applyAlignment="1" pivotButton="0" quotePrefix="0" xfId="0">
      <alignment horizontal="center" vertical="center"/>
    </xf>
    <xf numFmtId="0" fontId="15" fillId="14" borderId="1" applyAlignment="1" pivotButton="0" quotePrefix="0" xfId="0">
      <alignment horizontal="left" vertical="center"/>
    </xf>
    <xf numFmtId="0" fontId="31" fillId="10" borderId="1" applyAlignment="1" pivotButton="0" quotePrefix="0" xfId="0">
      <alignment horizontal="center" vertical="center"/>
    </xf>
    <xf numFmtId="164" fontId="0" fillId="13" borderId="1" pivotButton="0" quotePrefix="0" xfId="0"/>
    <xf numFmtId="0" fontId="0" fillId="13" borderId="1" pivotButton="0" quotePrefix="0" xfId="0"/>
    <xf numFmtId="0" fontId="0" fillId="13" borderId="1" applyAlignment="1" pivotButton="0" quotePrefix="0" xfId="0">
      <alignment horizontal="center" vertical="center"/>
    </xf>
    <xf numFmtId="0" fontId="14" fillId="12" borderId="4" applyAlignment="1" pivotButton="0" quotePrefix="0" xfId="0">
      <alignment horizontal="center" vertical="center"/>
    </xf>
    <xf numFmtId="0" fontId="29" fillId="15" borderId="1" applyAlignment="1" pivotButton="0" quotePrefix="0" xfId="0">
      <alignment horizontal="center" vertical="center"/>
    </xf>
    <xf numFmtId="0" fontId="32" fillId="13" borderId="1" applyAlignment="1" pivotButton="0" quotePrefix="0" xfId="0">
      <alignment horizontal="center" vertical="center"/>
    </xf>
    <xf numFmtId="0" fontId="21" fillId="4" borderId="1" applyAlignment="1" pivotButton="0" quotePrefix="0" xfId="0">
      <alignment horizontal="left" vertical="center"/>
    </xf>
    <xf numFmtId="0" fontId="29" fillId="2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0" fillId="8" borderId="1" pivotButton="0" quotePrefix="0" xfId="0"/>
    <xf numFmtId="0" fontId="0" fillId="4" borderId="1" pivotButton="0" quotePrefix="0" xfId="0"/>
    <xf numFmtId="0" fontId="34" fillId="16" borderId="5" applyAlignment="1" pivotButton="0" quotePrefix="0" xfId="0">
      <alignment horizontal="left" vertical="center"/>
    </xf>
    <xf numFmtId="1" fontId="35" fillId="17" borderId="5" applyAlignment="1" pivotButton="0" quotePrefix="0" xfId="0">
      <alignment horizontal="center" vertical="center"/>
    </xf>
    <xf numFmtId="0" fontId="5" fillId="5" borderId="0" pivotButton="0" quotePrefix="0" xfId="0"/>
    <xf numFmtId="0" fontId="0" fillId="0" borderId="0" pivotButton="0" quotePrefix="0" xfId="0"/>
    <xf numFmtId="0" fontId="5" fillId="4" borderId="0" pivotButton="0" quotePrefix="0" xfId="0"/>
    <xf numFmtId="0" fontId="4" fillId="4" borderId="0" pivotButton="0" quotePrefix="0" xfId="0"/>
    <xf numFmtId="0" fontId="4" fillId="5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0" fillId="6" borderId="0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11" fillId="2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18" fillId="6" borderId="1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20" fillId="8" borderId="4" applyAlignment="1" pivotButton="0" quotePrefix="0" xfId="0">
      <alignment horizontal="center" vertical="center"/>
    </xf>
    <xf numFmtId="0" fontId="7" fillId="11" borderId="0" applyAlignment="1" pivotButton="0" quotePrefix="0" xfId="0">
      <alignment horizontal="center" vertical="center"/>
    </xf>
    <xf numFmtId="0" fontId="20" fillId="6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1" fontId="16" fillId="9" borderId="1" applyAlignment="1" pivotButton="0" quotePrefix="0" xfId="0">
      <alignment horizontal="center" vertical="center"/>
    </xf>
    <xf numFmtId="0" fontId="27" fillId="12" borderId="0" applyAlignment="1" pivotButton="0" quotePrefix="0" xfId="0">
      <alignment horizontal="center" vertical="center"/>
    </xf>
    <xf numFmtId="164" fontId="0" fillId="13" borderId="1" pivotButton="0" quotePrefix="0" xfId="0"/>
    <xf numFmtId="0" fontId="29" fillId="7" borderId="0" applyAlignment="1" pivotButton="0" quotePrefix="0" xfId="0">
      <alignment horizontal="center" vertical="center"/>
    </xf>
    <xf numFmtId="0" fontId="14" fillId="12" borderId="1" applyAlignment="1" pivotButton="0" quotePrefix="0" xfId="0">
      <alignment horizontal="center" vertical="center"/>
    </xf>
    <xf numFmtId="0" fontId="28" fillId="13" borderId="0" applyAlignment="1" pivotButton="0" quotePrefix="0" xfId="0">
      <alignment horizontal="left" vertical="center"/>
    </xf>
    <xf numFmtId="0" fontId="7" fillId="7" borderId="0" applyAlignment="1" pivotButton="0" quotePrefix="0" xfId="0">
      <alignment horizontal="center" vertical="center"/>
    </xf>
    <xf numFmtId="0" fontId="29" fillId="3" borderId="1" applyAlignment="1" pivotButton="0" quotePrefix="0" xfId="0">
      <alignment horizontal="center" vertical="center"/>
    </xf>
    <xf numFmtId="0" fontId="19" fillId="10" borderId="1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11" fillId="2" borderId="5" applyAlignment="1" pivotButton="0" quotePrefix="0" xfId="0">
      <alignment horizontal="center" vertical="center"/>
    </xf>
    <xf numFmtId="0" fontId="11" fillId="3" borderId="5" applyAlignment="1" pivotButton="0" quotePrefix="0" xfId="0">
      <alignment horizontal="center" vertical="center"/>
    </xf>
    <xf numFmtId="0" fontId="14" fillId="2" borderId="5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11" fillId="11" borderId="5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20" fillId="6" borderId="5" applyAlignment="1" pivotButton="0" quotePrefix="0" xfId="0">
      <alignment horizontal="center" vertical="center"/>
    </xf>
    <xf numFmtId="0" fontId="14" fillId="12" borderId="5" applyAlignment="1" pivotButton="0" quotePrefix="0" xfId="0">
      <alignment horizontal="center" vertical="center"/>
    </xf>
    <xf numFmtId="166" fontId="36" fillId="18" borderId="8" applyAlignment="1" pivotButton="0" quotePrefix="0" xfId="0">
      <alignment horizontal="left" vertical="center"/>
    </xf>
    <xf numFmtId="0" fontId="36" fillId="19" borderId="8" applyAlignment="1" pivotButton="0" quotePrefix="0" xfId="0">
      <alignment horizontal="left" vertical="center"/>
    </xf>
    <xf numFmtId="1" fontId="36" fillId="20" borderId="8" applyAlignment="1" pivotButton="0" quotePrefix="0" xfId="0">
      <alignment horizontal="center" vertical="center"/>
    </xf>
    <xf numFmtId="0" fontId="36" fillId="18" borderId="8" applyAlignment="1" pivotButton="0" quotePrefix="0" xfId="0">
      <alignment horizontal="center" vertical="center"/>
    </xf>
    <xf numFmtId="0" fontId="36" fillId="19" borderId="8" applyAlignment="1" pivotButton="0" quotePrefix="0" xfId="0">
      <alignment horizontal="center" vertical="center"/>
    </xf>
    <xf numFmtId="0" fontId="36" fillId="20" borderId="8" applyAlignment="1" pivotButton="0" quotePrefix="0" xfId="0">
      <alignment horizontal="center" vertical="center"/>
    </xf>
    <xf numFmtId="0" fontId="36" fillId="18" borderId="8" applyAlignment="1" pivotButton="0" quotePrefix="0" xfId="0">
      <alignment horizontal="left" vertical="center"/>
    </xf>
    <xf numFmtId="0" fontId="36" fillId="21" borderId="8" applyAlignment="1" pivotButton="0" quotePrefix="0" xfId="0">
      <alignment horizontal="center" vertical="center"/>
    </xf>
    <xf numFmtId="166" fontId="36" fillId="22" borderId="8" applyAlignment="1" pivotButton="0" quotePrefix="0" xfId="0">
      <alignment horizontal="left" vertical="center"/>
    </xf>
    <xf numFmtId="0" fontId="36" fillId="22" borderId="8" applyAlignment="1" pivotButton="0" quotePrefix="0" xfId="0">
      <alignment horizontal="center" vertical="center"/>
    </xf>
    <xf numFmtId="0" fontId="36" fillId="22" borderId="8" applyAlignment="1" pivotButton="0" quotePrefix="0" xfId="0">
      <alignment horizontal="left" vertical="center"/>
    </xf>
    <xf numFmtId="164" fontId="0" fillId="13" borderId="5" pivotButton="0" quotePrefix="0" xfId="0"/>
    <xf numFmtId="1" fontId="16" fillId="9" borderId="5" applyAlignment="1" pivotButton="0" quotePrefix="0" xfId="0">
      <alignment horizontal="center" vertical="center"/>
    </xf>
    <xf numFmtId="0" fontId="29" fillId="3" borderId="5" applyAlignment="1" pivotButton="0" quotePrefix="0" xfId="0">
      <alignment horizontal="center" vertical="center"/>
    </xf>
    <xf numFmtId="0" fontId="19" fillId="10" borderId="5" applyAlignment="1" pivotButton="0" quotePrefix="0" xfId="0">
      <alignment horizontal="center" vertical="center"/>
    </xf>
    <xf numFmtId="166" fontId="36" fillId="18" borderId="8" applyAlignment="1" pivotButton="0" quotePrefix="0" xfId="0">
      <alignment horizontal="left" vertical="center"/>
    </xf>
    <xf numFmtId="166" fontId="36" fillId="22" borderId="8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86AB"/>
      <rgbColor rgb="FFBDC3C7"/>
      <rgbColor rgb="FF888888"/>
      <rgbColor rgb="FF9999FF"/>
      <rgbColor rgb="FF8E44AD"/>
      <rgbColor rgb="FFFEF3CD"/>
      <rgbColor rgb="FFF2F3F4"/>
      <rgbColor rgb="FF660066"/>
      <rgbColor rgb="FFE74C3C"/>
      <rgbColor rgb="FF0066CC"/>
      <rgbColor rgb="FFE8DA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EEF8"/>
      <rgbColor rgb="FFD5F5E3"/>
      <rgbColor rgb="FFFFFF99"/>
      <rgbColor rgb="FFAED6F1"/>
      <rgbColor rgb="FFFF99CC"/>
      <rgbColor rgb="FFCC99FF"/>
      <rgbColor rgb="FFFFCC99"/>
      <rgbColor rgb="FF3366FF"/>
      <rgbColor rgb="FF1ABC9C"/>
      <rgbColor rgb="FF99CC00"/>
      <rgbColor rgb="FFF0B429"/>
      <rgbColor rgb="FFFF9900"/>
      <rgbColor rgb="FFE67E22"/>
      <rgbColor rgb="FFA569BD"/>
      <rgbColor rgb="FFAAAAAA"/>
      <rgbColor rgb="FF1A5276"/>
      <rgbColor rgb="FF27AE6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A5276"/>
    <outlinePr summaryBelow="1" summaryRight="1"/>
    <pageSetUpPr/>
  </sheetPr>
  <dimension ref="A1:H22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29" sqref="B29"/>
    </sheetView>
  </sheetViews>
  <sheetFormatPr baseColWidth="10" defaultColWidth="8.6640625" defaultRowHeight="15" customHeight="1"/>
  <cols>
    <col width="30" customWidth="1" style="103" min="1" max="1"/>
    <col width="48" customWidth="1" style="103" min="2" max="2"/>
    <col width="22" customWidth="1" style="103" min="3" max="8"/>
  </cols>
  <sheetData>
    <row r="1" ht="36" customHeight="1" s="103">
      <c r="A1" s="107" t="inlineStr">
        <is>
          <t>🏋️  Jo's Training Hub 2024–2026</t>
        </is>
      </c>
    </row>
    <row r="2" ht="7.5" customHeight="1" s="103"/>
    <row r="3" ht="15.75" customHeight="1" s="103">
      <c r="A3" s="134" t="inlineStr">
        <is>
          <t>💪  Gym Training</t>
        </is>
      </c>
      <c r="B3" s="109" t="n"/>
      <c r="C3" s="109" t="n"/>
      <c r="D3" s="110" t="n"/>
      <c r="E3" s="134" t="inlineStr">
        <is>
          <t>📊  Quick Stats</t>
        </is>
      </c>
      <c r="F3" s="109" t="n"/>
      <c r="G3" s="109" t="n"/>
      <c r="H3" s="110" t="n"/>
    </row>
    <row r="4" ht="15" customHeight="1" s="103">
      <c r="A4" s="1" t="inlineStr">
        <is>
          <t>Total sessions logged</t>
        </is>
      </c>
      <c r="B4" s="105" t="n">
        <v>6</v>
      </c>
    </row>
    <row r="5" ht="15" customHeight="1" s="103">
      <c r="A5" s="2" t="inlineStr">
        <is>
          <t>First session</t>
        </is>
      </c>
      <c r="B5" s="106" t="inlineStr">
        <is>
          <t>19 Sep 2024</t>
        </is>
      </c>
    </row>
    <row r="6" ht="15" customHeight="1" s="103">
      <c r="A6" s="1" t="inlineStr">
        <is>
          <t>Latest session</t>
        </is>
      </c>
      <c r="B6" s="105" t="inlineStr">
        <is>
          <t>1 Jan 2026</t>
        </is>
      </c>
    </row>
    <row r="7" ht="15" customHeight="1" s="103">
      <c r="A7" s="2" t="inlineStr">
        <is>
          <t>Body weight range</t>
        </is>
      </c>
      <c r="B7" s="106" t="inlineStr">
        <is>
          <t>48.4 – 49.3 kg</t>
        </is>
      </c>
    </row>
    <row r="8" ht="15" customHeight="1" s="103">
      <c r="A8" s="1" t="inlineStr">
        <is>
          <t>Exercise categories</t>
        </is>
      </c>
      <c r="B8" s="105" t="inlineStr">
        <is>
          <t>5  (Inferior, Core, Superior, Wrist, Fingers)</t>
        </is>
      </c>
    </row>
    <row r="9" ht="15" customHeight="1" s="103">
      <c r="A9" s="2" t="n"/>
      <c r="B9" s="106" t="n"/>
    </row>
    <row r="10" ht="15" customHeight="1" s="103">
      <c r="A10" s="1" t="inlineStr">
        <is>
          <t>📋  Sheets in this file:</t>
        </is>
      </c>
      <c r="B10" s="105" t="n"/>
    </row>
    <row r="11" ht="15" customHeight="1" s="103">
      <c r="A11" s="2" t="inlineStr">
        <is>
          <t xml:space="preserve">  💪 Gym Session Log</t>
        </is>
      </c>
      <c r="B11" s="102" t="inlineStr">
        <is>
          <t>→ Log every session in a clean table</t>
        </is>
      </c>
    </row>
    <row r="12" ht="15" customHeight="1" s="103">
      <c r="A12" s="1" t="inlineStr">
        <is>
          <t xml:space="preserve">  📈 Exercise Progress</t>
        </is>
      </c>
      <c r="B12" s="104" t="inlineStr">
        <is>
          <t>→ Track weight progression per exercise</t>
        </is>
      </c>
    </row>
    <row r="13" ht="15" customHeight="1" s="103">
      <c r="A13" s="2" t="inlineStr">
        <is>
          <t xml:space="preserve">  🦵 Rehab Program</t>
        </is>
      </c>
      <c r="B13" s="102" t="inlineStr">
        <is>
          <t>→ Calf rehab programme (Dyllan / FisioHolland)</t>
        </is>
      </c>
    </row>
    <row r="14" ht="15" customHeight="1" s="103">
      <c r="A14" s="1" t="inlineStr">
        <is>
          <t xml:space="preserve">  🧗 Climbing Log</t>
        </is>
      </c>
      <c r="B14" s="104" t="inlineStr">
        <is>
          <t>→ Weekly climbing sessions &amp; grade counts</t>
        </is>
      </c>
    </row>
    <row r="15" ht="15" customHeight="1" s="103">
      <c r="A15" s="2" t="inlineStr">
        <is>
          <t xml:space="preserve">  🏔️ Climbing Goals</t>
        </is>
      </c>
      <c r="B15" s="102" t="inlineStr">
        <is>
          <t>→ Pyramid targets &amp; macrocycle plan</t>
        </is>
      </c>
    </row>
    <row r="16" ht="15" customHeight="1" s="103">
      <c r="A16" s="1" t="inlineStr">
        <is>
          <t xml:space="preserve">  📅 Weekly Planner</t>
        </is>
      </c>
      <c r="B16" s="104" t="inlineStr">
        <is>
          <t>→ Plan your training week</t>
        </is>
      </c>
    </row>
    <row r="17" ht="15" customHeight="1" s="103">
      <c r="A17" s="2" t="n"/>
      <c r="B17" s="106" t="n"/>
    </row>
    <row r="18" ht="15" customHeight="1" s="103">
      <c r="A18" s="1" t="inlineStr">
        <is>
          <t>💡  How to use:</t>
        </is>
      </c>
      <c r="B18" s="105" t="n"/>
    </row>
    <row r="19" ht="15" customHeight="1" s="103">
      <c r="A19" s="2" t="inlineStr">
        <is>
          <t xml:space="preserve">  1.  Log each gym session</t>
        </is>
      </c>
      <c r="B19" s="106" t="inlineStr">
        <is>
          <t>in 💪 Gym Session Log — add a new row per session</t>
        </is>
      </c>
    </row>
    <row r="20" ht="15" customHeight="1" s="103">
      <c r="A20" s="1" t="inlineStr">
        <is>
          <t xml:space="preserve">  2.  Check progress</t>
        </is>
      </c>
      <c r="B20" s="105" t="inlineStr">
        <is>
          <t>in 📈 Exercise Progress — weights auto-update</t>
        </is>
      </c>
    </row>
    <row r="21" ht="15" customHeight="1" s="103">
      <c r="A21" s="2" t="inlineStr">
        <is>
          <t xml:space="preserve">  3.  After rehab surgery</t>
        </is>
      </c>
      <c r="B21" s="106" t="inlineStr">
        <is>
          <t>follow the 🦵 Rehab Program week by week</t>
        </is>
      </c>
    </row>
    <row r="22" ht="15" customHeight="1" s="103">
      <c r="A22" s="1" t="inlineStr">
        <is>
          <t xml:space="preserve">  4.  After every climb</t>
        </is>
      </c>
      <c r="B22" s="105" t="inlineStr">
        <is>
          <t>log grades in 🧗 Climbing Log</t>
        </is>
      </c>
    </row>
  </sheetData>
  <mergeCells count="22">
    <mergeCell ref="B11:D11"/>
    <mergeCell ref="B14:D14"/>
    <mergeCell ref="B8:D8"/>
    <mergeCell ref="B17:D17"/>
    <mergeCell ref="B13:D13"/>
    <mergeCell ref="A1:H1"/>
    <mergeCell ref="B10:D10"/>
    <mergeCell ref="B19:D19"/>
    <mergeCell ref="E3:H3"/>
    <mergeCell ref="B9:D9"/>
    <mergeCell ref="B15:D15"/>
    <mergeCell ref="B6:D6"/>
    <mergeCell ref="B20:D20"/>
    <mergeCell ref="B5:D5"/>
    <mergeCell ref="B4:D4"/>
    <mergeCell ref="B7:D7"/>
    <mergeCell ref="B16:D16"/>
    <mergeCell ref="B22:D22"/>
    <mergeCell ref="A3:D3"/>
    <mergeCell ref="B18:D18"/>
    <mergeCell ref="B21:D21"/>
    <mergeCell ref="B12:D12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zoomScaleNormal="100" workbookViewId="0">
      <selection activeCell="A1" sqref="A1"/>
    </sheetView>
  </sheetViews>
  <sheetFormatPr baseColWidth="10" defaultColWidth="8.6640625" defaultRowHeight="15" customHeight="1"/>
  <cols>
    <col width="30" customWidth="1" style="103" min="1" max="1"/>
    <col width="25" customWidth="1" style="103" min="2" max="2"/>
    <col width="8" customWidth="1" style="103" min="3" max="3"/>
    <col width="12" customWidth="1" style="103" min="4" max="4"/>
    <col width="8" customWidth="1" style="103" min="5" max="5"/>
  </cols>
  <sheetData>
    <row r="1" ht="15" customHeight="1" s="103">
      <c r="A1" s="3" t="inlineStr">
        <is>
          <t>Exercise</t>
        </is>
      </c>
      <c r="B1" s="3" t="inlineStr">
        <is>
          <t>Category</t>
        </is>
      </c>
      <c r="C1" s="3" t="inlineStr">
        <is>
          <t>Sets</t>
        </is>
      </c>
      <c r="D1" s="3" t="inlineStr">
        <is>
          <t>Reps / Time</t>
        </is>
      </c>
      <c r="E1" s="3" t="inlineStr">
        <is>
          <t>Rest</t>
        </is>
      </c>
    </row>
    <row r="2" ht="15" customHeight="1" s="103">
      <c r="A2" t="inlineStr">
        <is>
          <t>Hip Abductor</t>
        </is>
      </c>
      <c r="B2" t="inlineStr">
        <is>
          <t>Inferior Members</t>
        </is>
      </c>
      <c r="C2" t="n">
        <v>4</v>
      </c>
      <c r="D2" t="inlineStr">
        <is>
          <t>6</t>
        </is>
      </c>
      <c r="E2" t="inlineStr">
        <is>
          <t>3'</t>
        </is>
      </c>
    </row>
    <row r="3" ht="15" customHeight="1" s="103">
      <c r="A3" t="inlineStr">
        <is>
          <t>Hip Adductor</t>
        </is>
      </c>
      <c r="B3" t="inlineStr">
        <is>
          <t>Inferior Members</t>
        </is>
      </c>
      <c r="C3" t="n">
        <v>4</v>
      </c>
      <c r="D3" t="inlineStr">
        <is>
          <t>6</t>
        </is>
      </c>
      <c r="E3" t="inlineStr">
        <is>
          <t>3'</t>
        </is>
      </c>
    </row>
    <row r="4" ht="15" customHeight="1" s="103">
      <c r="A4" t="inlineStr">
        <is>
          <t>Ext. Quadriceps</t>
        </is>
      </c>
      <c r="B4" t="inlineStr">
        <is>
          <t>Inferior Members</t>
        </is>
      </c>
      <c r="C4" t="n">
        <v>4</v>
      </c>
      <c r="D4" t="inlineStr">
        <is>
          <t>6</t>
        </is>
      </c>
      <c r="E4" t="inlineStr">
        <is>
          <t>3'</t>
        </is>
      </c>
    </row>
    <row r="5" ht="15" customHeight="1" s="103">
      <c r="A5" t="inlineStr">
        <is>
          <t>Prone Leg Curl</t>
        </is>
      </c>
      <c r="B5" t="inlineStr">
        <is>
          <t>Inferior Members</t>
        </is>
      </c>
      <c r="C5" t="n">
        <v>3</v>
      </c>
      <c r="D5" t="inlineStr">
        <is>
          <t>8</t>
        </is>
      </c>
      <c r="E5" t="inlineStr">
        <is>
          <t>3'</t>
        </is>
      </c>
    </row>
    <row r="6" ht="15" customHeight="1" s="103">
      <c r="A6" t="inlineStr">
        <is>
          <t>Leg Press</t>
        </is>
      </c>
      <c r="B6" t="inlineStr">
        <is>
          <t>Inferior Members</t>
        </is>
      </c>
      <c r="C6" t="n">
        <v>4</v>
      </c>
      <c r="D6" t="inlineStr">
        <is>
          <t>8</t>
        </is>
      </c>
      <c r="E6" t="inlineStr">
        <is>
          <t>3'</t>
        </is>
      </c>
    </row>
    <row r="7" ht="15" customHeight="1" s="103">
      <c r="A7" t="inlineStr">
        <is>
          <t>Plank</t>
        </is>
      </c>
      <c r="B7" t="inlineStr">
        <is>
          <t>Core</t>
        </is>
      </c>
      <c r="C7" t="n">
        <v>4</v>
      </c>
      <c r="D7" t="inlineStr">
        <is>
          <t>1×1'</t>
        </is>
      </c>
      <c r="E7" t="inlineStr">
        <is>
          <t>3'</t>
        </is>
      </c>
    </row>
    <row r="8" ht="15" customHeight="1" s="103">
      <c r="A8" t="inlineStr">
        <is>
          <t>Russian Sit-ups</t>
        </is>
      </c>
      <c r="B8" t="inlineStr">
        <is>
          <t>Core</t>
        </is>
      </c>
      <c r="C8" t="n">
        <v>4</v>
      </c>
      <c r="D8" t="inlineStr">
        <is>
          <t>30</t>
        </is>
      </c>
      <c r="E8" t="inlineStr">
        <is>
          <t>3'</t>
        </is>
      </c>
    </row>
    <row r="9" ht="15" customHeight="1" s="103">
      <c r="A9" t="inlineStr">
        <is>
          <t>Floor ABS Rotation</t>
        </is>
      </c>
      <c r="B9" t="inlineStr">
        <is>
          <t>Core</t>
        </is>
      </c>
      <c r="C9" t="n">
        <v>3</v>
      </c>
      <c r="D9" t="inlineStr">
        <is>
          <t>20</t>
        </is>
      </c>
      <c r="E9" t="inlineStr">
        <is>
          <t>1'</t>
        </is>
      </c>
    </row>
    <row r="10" ht="15" customHeight="1" s="103">
      <c r="A10" t="inlineStr">
        <is>
          <t>Leg + Arms Ups</t>
        </is>
      </c>
      <c r="B10" t="inlineStr">
        <is>
          <t>Core</t>
        </is>
      </c>
      <c r="C10" t="n">
        <v>3</v>
      </c>
      <c r="D10" t="inlineStr">
        <is>
          <t>10</t>
        </is>
      </c>
      <c r="E10" t="inlineStr">
        <is>
          <t>3'</t>
        </is>
      </c>
    </row>
    <row r="11" ht="15" customHeight="1" s="103">
      <c r="A11" t="inlineStr">
        <is>
          <t>Matrix Abd. N4</t>
        </is>
      </c>
      <c r="B11" t="inlineStr">
        <is>
          <t>Core</t>
        </is>
      </c>
      <c r="C11" t="n">
        <v>4</v>
      </c>
      <c r="D11" t="inlineStr">
        <is>
          <t>8</t>
        </is>
      </c>
      <c r="E11" t="inlineStr">
        <is>
          <t>3'</t>
        </is>
      </c>
    </row>
    <row r="12" ht="15" customHeight="1" s="103">
      <c r="A12" t="inlineStr">
        <is>
          <t>Matrix Abd. Up</t>
        </is>
      </c>
      <c r="B12" t="inlineStr">
        <is>
          <t>Core</t>
        </is>
      </c>
      <c r="C12" t="n">
        <v>4</v>
      </c>
      <c r="D12" t="inlineStr">
        <is>
          <t>10</t>
        </is>
      </c>
      <c r="E12" t="inlineStr">
        <is>
          <t>3'</t>
        </is>
      </c>
    </row>
    <row r="13" ht="15" customHeight="1" s="103">
      <c r="A13" t="inlineStr">
        <is>
          <t>Rotary Torso</t>
        </is>
      </c>
      <c r="B13" t="inlineStr">
        <is>
          <t>Core</t>
        </is>
      </c>
      <c r="C13" t="n">
        <v>4</v>
      </c>
      <c r="D13" t="inlineStr">
        <is>
          <t>8</t>
        </is>
      </c>
      <c r="E13" t="inlineStr">
        <is>
          <t>3'</t>
        </is>
      </c>
    </row>
    <row r="14" ht="15" customHeight="1" s="103">
      <c r="A14" t="inlineStr">
        <is>
          <t>Scapular Pull-up</t>
        </is>
      </c>
      <c r="B14" t="inlineStr">
        <is>
          <t>Superior – No Machine</t>
        </is>
      </c>
      <c r="C14" t="n">
        <v>3</v>
      </c>
      <c r="D14" t="inlineStr">
        <is>
          <t>8</t>
        </is>
      </c>
      <c r="E14" t="inlineStr">
        <is>
          <t>1'</t>
        </is>
      </c>
    </row>
    <row r="15" ht="15" customHeight="1" s="103">
      <c r="A15" t="inlineStr">
        <is>
          <t>ISO Scapular Pull</t>
        </is>
      </c>
      <c r="B15" t="inlineStr">
        <is>
          <t>Superior – No Machine</t>
        </is>
      </c>
      <c r="C15" t="n">
        <v>3</v>
      </c>
      <c r="D15" t="inlineStr">
        <is>
          <t>1×10''</t>
        </is>
      </c>
      <c r="E15" t="inlineStr">
        <is>
          <t>1'</t>
        </is>
      </c>
    </row>
    <row r="16" ht="15" customHeight="1" s="103">
      <c r="A16" t="inlineStr">
        <is>
          <t>1-Arm Scap. Pull-up</t>
        </is>
      </c>
      <c r="B16" t="inlineStr">
        <is>
          <t>Superior – No Machine</t>
        </is>
      </c>
      <c r="C16" t="n">
        <v>3</v>
      </c>
      <c r="D16" t="inlineStr">
        <is>
          <t>4</t>
        </is>
      </c>
      <c r="E16" t="inlineStr">
        <is>
          <t>1'</t>
        </is>
      </c>
    </row>
    <row r="17" ht="15" customHeight="1" s="103">
      <c r="A17" t="inlineStr">
        <is>
          <t>Pull-up</t>
        </is>
      </c>
      <c r="B17" t="inlineStr">
        <is>
          <t>Superior – No Machine</t>
        </is>
      </c>
      <c r="C17" t="n">
        <v>4</v>
      </c>
      <c r="D17" t="inlineStr">
        <is>
          <t>2</t>
        </is>
      </c>
      <c r="E17" t="inlineStr">
        <is>
          <t>3'</t>
        </is>
      </c>
    </row>
    <row r="18" ht="15" customHeight="1" s="103">
      <c r="A18" t="inlineStr">
        <is>
          <t>Pull-up + Weight</t>
        </is>
      </c>
      <c r="B18" t="inlineStr">
        <is>
          <t>Superior – No Machine</t>
        </is>
      </c>
      <c r="C18" t="n">
        <v>4</v>
      </c>
      <c r="D18" t="inlineStr">
        <is>
          <t>2</t>
        </is>
      </c>
      <c r="E18" t="inlineStr">
        <is>
          <t>3'</t>
        </is>
      </c>
    </row>
    <row r="19" ht="15" customHeight="1" s="103">
      <c r="A19" t="inlineStr">
        <is>
          <t>Lat Pulldown / Pull-up Bar</t>
        </is>
      </c>
      <c r="B19" t="inlineStr">
        <is>
          <t>Superior – Machine</t>
        </is>
      </c>
      <c r="C19" t="n">
        <v>4</v>
      </c>
      <c r="D19" t="inlineStr">
        <is>
          <t>8</t>
        </is>
      </c>
      <c r="E19" t="inlineStr">
        <is>
          <t>3'</t>
        </is>
      </c>
    </row>
    <row r="20" ht="15" customHeight="1" s="103">
      <c r="A20" t="inlineStr">
        <is>
          <t>Rear Deltoid N1</t>
        </is>
      </c>
      <c r="B20" t="inlineStr">
        <is>
          <t>Superior – Machine</t>
        </is>
      </c>
      <c r="C20" t="n">
        <v>4</v>
      </c>
      <c r="D20" t="inlineStr">
        <is>
          <t>8</t>
        </is>
      </c>
      <c r="E20" t="inlineStr">
        <is>
          <t>3'</t>
        </is>
      </c>
    </row>
    <row r="21" ht="15" customHeight="1" s="103">
      <c r="A21" t="inlineStr">
        <is>
          <t>Fly Deltoid N2</t>
        </is>
      </c>
      <c r="B21" t="inlineStr">
        <is>
          <t>Superior – Machine</t>
        </is>
      </c>
      <c r="C21" t="n">
        <v>4</v>
      </c>
      <c r="D21" t="inlineStr">
        <is>
          <t>8</t>
        </is>
      </c>
      <c r="E21" t="inlineStr">
        <is>
          <t>3'</t>
        </is>
      </c>
    </row>
    <row r="22" ht="15" customHeight="1" s="103">
      <c r="A22" t="inlineStr">
        <is>
          <t>Shoulder Press</t>
        </is>
      </c>
      <c r="B22" t="inlineStr">
        <is>
          <t>Superior – Machine</t>
        </is>
      </c>
      <c r="C22" t="n">
        <v>4</v>
      </c>
      <c r="D22" t="inlineStr">
        <is>
          <t>8</t>
        </is>
      </c>
      <c r="E22" t="inlineStr">
        <is>
          <t>3'</t>
        </is>
      </c>
    </row>
    <row r="23" ht="15" customHeight="1" s="103">
      <c r="A23" t="inlineStr">
        <is>
          <t>Chest Press</t>
        </is>
      </c>
      <c r="B23" t="inlineStr">
        <is>
          <t>Superior – Machine</t>
        </is>
      </c>
      <c r="C23" t="n">
        <v>4</v>
      </c>
      <c r="D23" t="inlineStr">
        <is>
          <t>6</t>
        </is>
      </c>
      <c r="E23" t="inlineStr">
        <is>
          <t>3'</t>
        </is>
      </c>
    </row>
    <row r="24" ht="15" customHeight="1" s="103">
      <c r="A24" t="inlineStr">
        <is>
          <t>Cable Cross Over</t>
        </is>
      </c>
      <c r="B24" t="inlineStr">
        <is>
          <t>Superior – Machine</t>
        </is>
      </c>
      <c r="C24" t="n">
        <v>4</v>
      </c>
      <c r="D24" t="inlineStr">
        <is>
          <t>8</t>
        </is>
      </c>
      <c r="E24" t="inlineStr">
        <is>
          <t>1'</t>
        </is>
      </c>
    </row>
    <row r="25" ht="15" customHeight="1" s="103">
      <c r="A25" t="inlineStr">
        <is>
          <t>Low Row</t>
        </is>
      </c>
      <c r="B25" t="inlineStr">
        <is>
          <t>Superior – Machine</t>
        </is>
      </c>
      <c r="C25" t="n">
        <v>3</v>
      </c>
      <c r="D25" t="inlineStr">
        <is>
          <t>8</t>
        </is>
      </c>
      <c r="E25" t="inlineStr">
        <is>
          <t>3'</t>
        </is>
      </c>
    </row>
    <row r="26" ht="15" customHeight="1" s="103">
      <c r="A26" t="inlineStr">
        <is>
          <t>Shoulder Rotation</t>
        </is>
      </c>
      <c r="B26" t="inlineStr">
        <is>
          <t>Superior – Machine</t>
        </is>
      </c>
      <c r="C26" t="n">
        <v>3</v>
      </c>
      <c r="D26" t="inlineStr">
        <is>
          <t>8</t>
        </is>
      </c>
      <c r="E26" t="inlineStr">
        <is>
          <t>1'</t>
        </is>
      </c>
    </row>
    <row r="27" ht="15" customHeight="1" s="103">
      <c r="A27" t="inlineStr">
        <is>
          <t>Biceps</t>
        </is>
      </c>
      <c r="B27" t="inlineStr">
        <is>
          <t>Superior – Machine</t>
        </is>
      </c>
      <c r="C27" t="n">
        <v>4</v>
      </c>
      <c r="D27" t="inlineStr">
        <is>
          <t>8</t>
        </is>
      </c>
      <c r="E27" t="inlineStr">
        <is>
          <t>1'</t>
        </is>
      </c>
    </row>
    <row r="28" ht="15" customHeight="1" s="103">
      <c r="A28" t="inlineStr">
        <is>
          <t>Seated Triceps Press</t>
        </is>
      </c>
      <c r="B28" t="inlineStr">
        <is>
          <t>Superior – Machine</t>
        </is>
      </c>
      <c r="C28" t="n">
        <v>4</v>
      </c>
      <c r="D28" t="inlineStr">
        <is>
          <t>8</t>
        </is>
      </c>
      <c r="E28" t="inlineStr">
        <is>
          <t>3'</t>
        </is>
      </c>
    </row>
    <row r="29" ht="15" customHeight="1" s="103">
      <c r="A29" t="inlineStr">
        <is>
          <t>Seated Row – Matrix</t>
        </is>
      </c>
      <c r="B29" t="inlineStr">
        <is>
          <t>Superior – Machine</t>
        </is>
      </c>
      <c r="C29" t="n">
        <v>4</v>
      </c>
      <c r="D29" t="inlineStr">
        <is>
          <t>8</t>
        </is>
      </c>
      <c r="E29" t="inlineStr">
        <is>
          <t>3'</t>
        </is>
      </c>
    </row>
    <row r="30" ht="15" customHeight="1" s="103">
      <c r="A30" t="inlineStr">
        <is>
          <t>Arm Curls (Biceps)</t>
        </is>
      </c>
      <c r="B30" t="inlineStr">
        <is>
          <t>Superior – Machine</t>
        </is>
      </c>
      <c r="C30" t="n">
        <v>4</v>
      </c>
      <c r="D30" t="inlineStr">
        <is>
          <t>8</t>
        </is>
      </c>
      <c r="E30" t="inlineStr">
        <is>
          <t>3'</t>
        </is>
      </c>
    </row>
    <row r="31" ht="15" customHeight="1" s="103">
      <c r="A31" t="inlineStr">
        <is>
          <t>Wrist Extension</t>
        </is>
      </c>
      <c r="B31" t="inlineStr">
        <is>
          <t>Wrist</t>
        </is>
      </c>
      <c r="C31" t="n">
        <v>3</v>
      </c>
      <c r="D31" t="inlineStr">
        <is>
          <t>12</t>
        </is>
      </c>
      <c r="E31" t="inlineStr">
        <is>
          <t>1'</t>
        </is>
      </c>
    </row>
    <row r="32" ht="15" customHeight="1" s="103">
      <c r="A32" t="inlineStr">
        <is>
          <t>Wrist Internal</t>
        </is>
      </c>
      <c r="B32" t="inlineStr">
        <is>
          <t>Wrist</t>
        </is>
      </c>
      <c r="C32" t="n">
        <v>3</v>
      </c>
      <c r="D32" t="inlineStr">
        <is>
          <t>12</t>
        </is>
      </c>
      <c r="E32" t="inlineStr">
        <is>
          <t>1'</t>
        </is>
      </c>
    </row>
    <row r="33" ht="15" customHeight="1" s="103">
      <c r="A33" t="inlineStr">
        <is>
          <t>Wrist Curls Int Roll</t>
        </is>
      </c>
      <c r="B33" t="inlineStr">
        <is>
          <t>Wrist</t>
        </is>
      </c>
      <c r="C33" t="n">
        <v>3</v>
      </c>
      <c r="D33" t="inlineStr">
        <is>
          <t>3×3'</t>
        </is>
      </c>
      <c r="E33" t="inlineStr">
        <is>
          <t>3'</t>
        </is>
      </c>
    </row>
    <row r="34" ht="15" customHeight="1" s="103">
      <c r="A34" t="inlineStr">
        <is>
          <t>Wrist Curls Ext Roll</t>
        </is>
      </c>
      <c r="B34" t="inlineStr">
        <is>
          <t>Wrist</t>
        </is>
      </c>
      <c r="C34" t="n">
        <v>3</v>
      </c>
      <c r="D34" t="inlineStr">
        <is>
          <t>3×3'</t>
        </is>
      </c>
      <c r="E34" t="inlineStr">
        <is>
          <t>3'</t>
        </is>
      </c>
    </row>
    <row r="35" ht="15" customHeight="1" s="103">
      <c r="A35" t="inlineStr">
        <is>
          <t>Grips w/ Machine</t>
        </is>
      </c>
      <c r="B35" t="inlineStr">
        <is>
          <t>Fingers</t>
        </is>
      </c>
      <c r="C35" t="n">
        <v>3</v>
      </c>
      <c r="D35" t="inlineStr">
        <is>
          <t>3×10''</t>
        </is>
      </c>
      <c r="E35" t="inlineStr">
        <is>
          <t>5'</t>
        </is>
      </c>
    </row>
    <row r="36" ht="15" customHeight="1" s="103">
      <c r="A36" t="inlineStr">
        <is>
          <t>Rowing</t>
        </is>
      </c>
      <c r="B36" t="inlineStr">
        <is>
          <t>Warm-up</t>
        </is>
      </c>
      <c r="C36" t="n">
        <v>1</v>
      </c>
      <c r="D36" t="inlineStr">
        <is>
          <t>10'</t>
        </is>
      </c>
      <c r="E36" t="inlineStr">
        <is>
          <t>-</t>
        </is>
      </c>
    </row>
    <row r="37" ht="15" customHeight="1" s="103">
      <c r="A37" t="inlineStr">
        <is>
          <t>Bike</t>
        </is>
      </c>
      <c r="B37" t="inlineStr">
        <is>
          <t>Warm-up</t>
        </is>
      </c>
      <c r="C37" t="n">
        <v>1</v>
      </c>
      <c r="D37" t="inlineStr">
        <is>
          <t>20'</t>
        </is>
      </c>
      <c r="E37" t="inlineStr">
        <is>
          <t>-</t>
        </is>
      </c>
    </row>
    <row r="38" ht="15" customHeight="1" s="103">
      <c r="A38" t="inlineStr">
        <is>
          <t>Elliptical</t>
        </is>
      </c>
      <c r="B38" t="inlineStr">
        <is>
          <t>Warm-up</t>
        </is>
      </c>
      <c r="C38" t="n">
        <v>1</v>
      </c>
      <c r="D38" t="inlineStr">
        <is>
          <t>5'</t>
        </is>
      </c>
      <c r="E38" t="inlineStr">
        <is>
          <t>-</t>
        </is>
      </c>
    </row>
    <row r="39" ht="15" customHeight="1" s="103">
      <c r="A39" t="inlineStr">
        <is>
          <t>Assault Bike</t>
        </is>
      </c>
      <c r="B39" t="inlineStr">
        <is>
          <t>Warm-up</t>
        </is>
      </c>
      <c r="C39" t="n">
        <v>2</v>
      </c>
      <c r="D39" t="inlineStr">
        <is>
          <t>4'</t>
        </is>
      </c>
      <c r="E39" t="inlineStr">
        <is>
          <t>-</t>
        </is>
      </c>
    </row>
    <row r="40" ht="15" customHeight="1" s="103">
      <c r="A40" t="inlineStr">
        <is>
          <t>Leg Press (Calfs)</t>
        </is>
      </c>
      <c r="B40" t="inlineStr">
        <is>
          <t>Rehab</t>
        </is>
      </c>
      <c r="C40" t="n">
        <v>4</v>
      </c>
      <c r="D40" t="inlineStr">
        <is>
          <t>8</t>
        </is>
      </c>
      <c r="E40" t="inlineStr">
        <is>
          <t>3'-5'</t>
        </is>
      </c>
    </row>
    <row r="41" ht="15" customHeight="1" s="103">
      <c r="A41" t="inlineStr">
        <is>
          <t>Calfs Raise (w/ weight)</t>
        </is>
      </c>
      <c r="B41" t="inlineStr">
        <is>
          <t>Rehab</t>
        </is>
      </c>
      <c r="C41" t="n">
        <v>4</v>
      </c>
      <c r="D41" t="inlineStr">
        <is>
          <t>8</t>
        </is>
      </c>
      <c r="E41" t="inlineStr">
        <is>
          <t>3'-5'</t>
        </is>
      </c>
    </row>
    <row r="42" ht="15" customHeight="1" s="103">
      <c r="A42" t="inlineStr">
        <is>
          <t>Leg Curl (Machine)</t>
        </is>
      </c>
      <c r="B42" t="inlineStr">
        <is>
          <t>Rehab</t>
        </is>
      </c>
      <c r="C42" t="n">
        <v>4</v>
      </c>
      <c r="D42" t="inlineStr">
        <is>
          <t>8</t>
        </is>
      </c>
      <c r="E42" t="inlineStr">
        <is>
          <t>3'-5'</t>
        </is>
      </c>
    </row>
    <row r="43" ht="15" customHeight="1" s="103">
      <c r="A43" t="inlineStr">
        <is>
          <t>Stretching</t>
        </is>
      </c>
      <c r="B43" t="inlineStr">
        <is>
          <t>Stretching</t>
        </is>
      </c>
      <c r="C43" t="n">
        <v>6</v>
      </c>
      <c r="D43" t="inlineStr">
        <is>
          <t>1×1'</t>
        </is>
      </c>
      <c r="E43" t="inlineStr">
        <is>
          <t>30''</t>
        </is>
      </c>
    </row>
    <row r="44" ht="15" customHeight="1" s="103">
      <c r="A44" t="inlineStr">
        <is>
          <t>Leg Extension</t>
        </is>
      </c>
      <c r="B44" t="inlineStr">
        <is>
          <t>Inferior Members</t>
        </is>
      </c>
      <c r="C44" t="n">
        <v>4</v>
      </c>
      <c r="D44" t="inlineStr">
        <is>
          <t>8</t>
        </is>
      </c>
      <c r="E44" t="inlineStr">
        <is>
          <t>3'</t>
        </is>
      </c>
    </row>
    <row r="45" ht="15" customHeight="1" s="103">
      <c r="A45" t="inlineStr">
        <is>
          <t>Div. Seated Row</t>
        </is>
      </c>
      <c r="B45" t="inlineStr">
        <is>
          <t>Superior – Machine</t>
        </is>
      </c>
      <c r="C45" t="n">
        <v>3</v>
      </c>
      <c r="D45" t="inlineStr">
        <is>
          <t>8</t>
        </is>
      </c>
      <c r="E45" t="inlineStr">
        <is>
          <t>2'</t>
        </is>
      </c>
    </row>
    <row r="46" ht="15" customHeight="1" s="103">
      <c r="A46" t="inlineStr">
        <is>
          <t>Hang 1-Arm Hang</t>
        </is>
      </c>
      <c r="B46" t="inlineStr">
        <is>
          <t>Fingers</t>
        </is>
      </c>
      <c r="C46" t="n">
        <v>6</v>
      </c>
      <c r="D46" t="inlineStr">
        <is>
          <t>1×10''</t>
        </is>
      </c>
      <c r="E46" t="inlineStr">
        <is>
          <t>5'</t>
        </is>
      </c>
    </row>
    <row r="47" ht="15" customHeight="1" s="103">
      <c r="A47" t="inlineStr">
        <is>
          <t>Edge Iso Holds</t>
        </is>
      </c>
      <c r="B47" t="inlineStr">
        <is>
          <t>Fingers</t>
        </is>
      </c>
      <c r="C47" t="n">
        <v>6</v>
      </c>
      <c r="D47" t="inlineStr">
        <is>
          <t>1×7''</t>
        </is>
      </c>
      <c r="E47" t="inlineStr">
        <is>
          <t>5'</t>
        </is>
      </c>
    </row>
    <row r="48" ht="15" customHeight="1" s="103">
      <c r="A48" t="inlineStr">
        <is>
          <t>AnaCap FB – Two Arms</t>
        </is>
      </c>
      <c r="B48" t="inlineStr">
        <is>
          <t>Fingers</t>
        </is>
      </c>
      <c r="C48" t="n">
        <v>6</v>
      </c>
      <c r="D48" t="inlineStr">
        <is>
          <t>7×7''</t>
        </is>
      </c>
      <c r="E48" t="inlineStr">
        <is>
          <t>5'</t>
        </is>
      </c>
    </row>
    <row r="49" ht="15" customHeight="1" s="103">
      <c r="A49" t="inlineStr">
        <is>
          <t>MS Load Straight</t>
        </is>
      </c>
      <c r="B49" t="inlineStr">
        <is>
          <t>Fingers</t>
        </is>
      </c>
      <c r="C49" t="n">
        <v>6</v>
      </c>
      <c r="D49" t="inlineStr">
        <is>
          <t>1×7''</t>
        </is>
      </c>
      <c r="E49" t="inlineStr">
        <is>
          <t>5'</t>
        </is>
      </c>
    </row>
    <row r="50" ht="15" customHeight="1" s="103">
      <c r="A50" t="inlineStr">
        <is>
          <t>Calfs Machine</t>
        </is>
      </c>
      <c r="B50" t="inlineStr">
        <is>
          <t>Rehab</t>
        </is>
      </c>
      <c r="C50" t="n">
        <v>3</v>
      </c>
      <c r="D50" t="inlineStr">
        <is>
          <t>12</t>
        </is>
      </c>
      <c r="E50" t="inlineStr">
        <is>
          <t>3'</t>
        </is>
      </c>
    </row>
    <row r="51" ht="15" customHeight="1" s="103">
      <c r="A51" t="inlineStr">
        <is>
          <t>Conv. Shoulder Press</t>
        </is>
      </c>
      <c r="B51" t="inlineStr">
        <is>
          <t>Superior – Machine</t>
        </is>
      </c>
      <c r="C51" t="n">
        <v>4</v>
      </c>
      <c r="D51" t="inlineStr">
        <is>
          <t>8</t>
        </is>
      </c>
      <c r="E51" t="inlineStr">
        <is>
          <t>2'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tabColor rgb="FF2E86AB"/>
    <outlinePr summaryBelow="1" summaryRight="1"/>
    <pageSetUpPr/>
  </sheetPr>
  <dimension ref="A1:K236"/>
  <sheetViews>
    <sheetView zoomScaleNormal="100" workbookViewId="0">
      <pane ySplit="4" topLeftCell="A72" activePane="bottomLeft" state="frozen"/>
      <selection pane="bottomLeft" activeCell="A1" sqref="A1:K1"/>
    </sheetView>
  </sheetViews>
  <sheetFormatPr baseColWidth="10" defaultColWidth="8.6640625" defaultRowHeight="15" customHeight="1"/>
  <cols>
    <col width="13" customWidth="1" style="103" min="1" max="1"/>
    <col width="12" customWidth="1" style="103" min="2" max="2"/>
    <col width="22" customWidth="1" style="103" min="3" max="3"/>
    <col width="30" customWidth="1" style="103" min="4" max="4"/>
    <col width="13" customWidth="1" style="103" min="5" max="6"/>
    <col width="7" customWidth="1" style="103" min="7" max="7"/>
    <col width="13" customWidth="1" style="103" min="8" max="8"/>
    <col width="8" customWidth="1" style="103" min="9" max="9"/>
    <col width="14" customWidth="1" style="103" min="10" max="10"/>
    <col width="35" customWidth="1" style="103" min="11" max="11"/>
  </cols>
  <sheetData>
    <row r="1" ht="27.75" customHeight="1" s="103">
      <c r="A1" s="116" t="inlineStr">
        <is>
          <t>💪  Gym Session Log</t>
        </is>
      </c>
    </row>
    <row r="2" ht="18" customHeight="1" s="103">
      <c r="A2" s="114" t="inlineStr">
        <is>
          <t xml:space="preserve">  ✏️  Enter: Date · Body Wt · Exercise (dropdown) · Intensity % · Weight Used  —  Sets, Reps, Rest &amp; Max Ref fill automatically</t>
        </is>
      </c>
    </row>
    <row r="3" ht="6" customHeight="1" s="103">
      <c r="A3" s="117" t="inlineStr">
        <is>
          <t xml:space="preserve">  ✏️ = You fill in</t>
        </is>
      </c>
      <c r="G3" s="111" t="inlineStr">
        <is>
          <t xml:space="preserve">  ⚡ = Auto-calculated</t>
        </is>
      </c>
    </row>
    <row r="4" ht="15" customHeight="1" s="103">
      <c r="A4" s="112" t="inlineStr">
        <is>
          <t>Date</t>
        </is>
      </c>
      <c r="B4" s="112" t="inlineStr">
        <is>
          <t>Body Wt (kg)</t>
        </is>
      </c>
      <c r="C4" s="5" t="inlineStr">
        <is>
          <t>Category</t>
        </is>
      </c>
      <c r="D4" s="112" t="inlineStr">
        <is>
          <t>Exercise</t>
        </is>
      </c>
      <c r="E4" s="112" t="inlineStr">
        <is>
          <t>Intensity %</t>
        </is>
      </c>
      <c r="F4" s="112" t="inlineStr">
        <is>
          <t>Weight Used (kg)</t>
        </is>
      </c>
      <c r="G4" s="5" t="inlineStr">
        <is>
          <t>Sets</t>
        </is>
      </c>
      <c r="H4" s="5" t="inlineStr">
        <is>
          <t>Reps / Time</t>
        </is>
      </c>
      <c r="I4" s="5" t="inlineStr">
        <is>
          <t>Rest</t>
        </is>
      </c>
      <c r="J4" s="5" t="inlineStr">
        <is>
          <t>Max Ref (kg)</t>
        </is>
      </c>
      <c r="K4" s="112" t="inlineStr">
        <is>
          <t>Notes</t>
        </is>
      </c>
    </row>
    <row r="5" ht="15" customHeight="1" s="103">
      <c r="A5" s="135" t="inlineStr">
        <is>
          <t>── Session 1:  19 Sep 2024  ·  Body weight: 48.4 kg  ──</t>
        </is>
      </c>
      <c r="B5" s="109" t="n"/>
      <c r="C5" s="109" t="n"/>
      <c r="D5" s="109" t="n"/>
      <c r="E5" s="109" t="n"/>
      <c r="F5" s="109" t="n"/>
      <c r="G5" s="109" t="n"/>
      <c r="H5" s="109" t="n"/>
      <c r="I5" s="109" t="n"/>
      <c r="J5" s="109" t="n"/>
      <c r="K5" s="110" t="n"/>
    </row>
    <row r="6" ht="15" customHeight="1" s="103">
      <c r="A6" s="6" t="n">
        <v>45554</v>
      </c>
      <c r="B6" s="7" t="n">
        <v>48.4</v>
      </c>
      <c r="C6" s="8">
        <f>IFERROR(INDEX(Ref!$B$2:$B$43,MATCH(D6,Ref!$A$2:$A$43,0)),"")</f>
        <v/>
      </c>
      <c r="D6" s="9" t="inlineStr">
        <is>
          <t>Hip Abductor</t>
        </is>
      </c>
      <c r="E6" s="10" t="n">
        <v>0.85</v>
      </c>
      <c r="F6" s="11" t="n">
        <v>32</v>
      </c>
      <c r="G6" s="12">
        <f>IFERROR(INDEX(Ref!$C$2:$C$43,MATCH(D6,Ref!$A$2:$A$43,0)),"")</f>
        <v/>
      </c>
      <c r="H6" s="12">
        <f>IFERROR(INDEX(Ref!$D$2:$D$43,MATCH(D6,Ref!$A$2:$A$43,0)),"")</f>
        <v/>
      </c>
      <c r="I6" s="12">
        <f>IFERROR(INDEX(Ref!$E$2:$E$43,MATCH(D6,Ref!$A$2:$A$43,0)),"")</f>
        <v/>
      </c>
      <c r="J6" s="13">
        <f>IFERROR(IF(OR(E6="",F6="",ISNUMBER(FIND("bw",LOWER(TEXT(F6,"@"))))=TRUE()),"",ROUND(F6/E6,2)),"")</f>
        <v/>
      </c>
      <c r="K6" s="14" t="n"/>
    </row>
    <row r="7" ht="15" customHeight="1" s="103">
      <c r="A7" s="6" t="n">
        <v>45554</v>
      </c>
      <c r="B7" s="7" t="n">
        <v>48.4</v>
      </c>
      <c r="C7" s="8">
        <f>IFERROR(INDEX(Ref!$B$2:$B$43,MATCH(D7,Ref!$A$2:$A$43,0)),"")</f>
        <v/>
      </c>
      <c r="D7" s="9" t="inlineStr">
        <is>
          <t>Hip Adductor</t>
        </is>
      </c>
      <c r="E7" s="10" t="n">
        <v>0.85</v>
      </c>
      <c r="F7" s="11" t="n">
        <v>25</v>
      </c>
      <c r="G7" s="12">
        <f>IFERROR(INDEX(Ref!$C$2:$C$43,MATCH(D7,Ref!$A$2:$A$43,0)),"")</f>
        <v/>
      </c>
      <c r="H7" s="12">
        <f>IFERROR(INDEX(Ref!$D$2:$D$43,MATCH(D7,Ref!$A$2:$A$43,0)),"")</f>
        <v/>
      </c>
      <c r="I7" s="12">
        <f>IFERROR(INDEX(Ref!$E$2:$E$43,MATCH(D7,Ref!$A$2:$A$43,0)),"")</f>
        <v/>
      </c>
      <c r="J7" s="13">
        <f>IFERROR(IF(OR(E7="",F7="",ISNUMBER(FIND("bw",LOWER(TEXT(F7,"@"))))=TRUE()),"",ROUND(F7/E7,2)),"")</f>
        <v/>
      </c>
      <c r="K7" s="14" t="n"/>
    </row>
    <row r="8" ht="15" customHeight="1" s="103">
      <c r="A8" s="6" t="n">
        <v>45554</v>
      </c>
      <c r="B8" s="7" t="n">
        <v>48.4</v>
      </c>
      <c r="C8" s="8">
        <f>IFERROR(INDEX(Ref!$B$2:$B$43,MATCH(D8,Ref!$A$2:$A$43,0)),"")</f>
        <v/>
      </c>
      <c r="D8" s="9" t="inlineStr">
        <is>
          <t>Ext. Quadriceps</t>
        </is>
      </c>
      <c r="E8" s="10" t="n">
        <v>0.85</v>
      </c>
      <c r="F8" s="11" t="n">
        <v>25</v>
      </c>
      <c r="G8" s="12">
        <f>IFERROR(INDEX(Ref!$C$2:$C$43,MATCH(D8,Ref!$A$2:$A$43,0)),"")</f>
        <v/>
      </c>
      <c r="H8" s="12">
        <f>IFERROR(INDEX(Ref!$D$2:$D$43,MATCH(D8,Ref!$A$2:$A$43,0)),"")</f>
        <v/>
      </c>
      <c r="I8" s="12">
        <f>IFERROR(INDEX(Ref!$E$2:$E$43,MATCH(D8,Ref!$A$2:$A$43,0)),"")</f>
        <v/>
      </c>
      <c r="J8" s="13">
        <f>IFERROR(IF(OR(E8="",F8="",ISNUMBER(FIND("bw",LOWER(TEXT(F8,"@"))))=TRUE()),"",ROUND(F8/E8,2)),"")</f>
        <v/>
      </c>
      <c r="K8" s="14" t="n"/>
    </row>
    <row r="9" ht="15" customHeight="1" s="103">
      <c r="A9" s="6" t="n">
        <v>45554</v>
      </c>
      <c r="B9" s="7" t="n">
        <v>48.4</v>
      </c>
      <c r="C9" s="8">
        <f>IFERROR(INDEX(Ref!$B$2:$B$43,MATCH(D9,Ref!$A$2:$A$43,0)),"")</f>
        <v/>
      </c>
      <c r="D9" s="9" t="inlineStr">
        <is>
          <t>Plank</t>
        </is>
      </c>
      <c r="E9" s="10" t="n">
        <v>0.5</v>
      </c>
      <c r="F9" s="15" t="inlineStr">
        <is>
          <t>bw</t>
        </is>
      </c>
      <c r="G9" s="12">
        <f>IFERROR(INDEX(Ref!$C$2:$C$43,MATCH(D9,Ref!$A$2:$A$43,0)),"")</f>
        <v/>
      </c>
      <c r="H9" s="12">
        <f>IFERROR(INDEX(Ref!$D$2:$D$43,MATCH(D9,Ref!$A$2:$A$43,0)),"")</f>
        <v/>
      </c>
      <c r="I9" s="12">
        <f>IFERROR(INDEX(Ref!$E$2:$E$43,MATCH(D9,Ref!$A$2:$A$43,0)),"")</f>
        <v/>
      </c>
      <c r="J9" s="13">
        <f>IFERROR(IF(OR(E9="",F9="",ISNUMBER(FIND("bw",LOWER(TEXT(F9,"@"))))=TRUE()),"",ROUND(F9/E9,2)),"")</f>
        <v/>
      </c>
      <c r="K9" s="14" t="n"/>
    </row>
    <row r="10" ht="15" customHeight="1" s="103">
      <c r="A10" s="6" t="n">
        <v>45554</v>
      </c>
      <c r="B10" s="7" t="n">
        <v>48.4</v>
      </c>
      <c r="C10" s="8">
        <f>IFERROR(INDEX(Ref!$B$2:$B$43,MATCH(D10,Ref!$A$2:$A$43,0)),"")</f>
        <v/>
      </c>
      <c r="D10" s="9" t="inlineStr">
        <is>
          <t>Russian Sit-ups</t>
        </is>
      </c>
      <c r="E10" s="10" t="n">
        <v>0.65</v>
      </c>
      <c r="F10" s="11" t="n">
        <v>6</v>
      </c>
      <c r="G10" s="12">
        <f>IFERROR(INDEX(Ref!$C$2:$C$43,MATCH(D10,Ref!$A$2:$A$43,0)),"")</f>
        <v/>
      </c>
      <c r="H10" s="12">
        <f>IFERROR(INDEX(Ref!$D$2:$D$43,MATCH(D10,Ref!$A$2:$A$43,0)),"")</f>
        <v/>
      </c>
      <c r="I10" s="12">
        <f>IFERROR(INDEX(Ref!$E$2:$E$43,MATCH(D10,Ref!$A$2:$A$43,0)),"")</f>
        <v/>
      </c>
      <c r="J10" s="13">
        <f>IFERROR(IF(OR(E10="",F10="",ISNUMBER(FIND("bw",LOWER(TEXT(F10,"@"))))=TRUE()),"",ROUND(F10/E10,2)),"")</f>
        <v/>
      </c>
      <c r="K10" s="14" t="n"/>
    </row>
    <row r="11" ht="15" customHeight="1" s="103">
      <c r="A11" s="6" t="n">
        <v>45554</v>
      </c>
      <c r="B11" s="7" t="n">
        <v>48.4</v>
      </c>
      <c r="C11" s="8">
        <f>IFERROR(INDEX(Ref!$B$2:$B$43,MATCH(D11,Ref!$A$2:$A$43,0)),"")</f>
        <v/>
      </c>
      <c r="D11" s="9" t="inlineStr">
        <is>
          <t>Floor ABS Rotation</t>
        </is>
      </c>
      <c r="E11" s="10" t="n">
        <v>0.5</v>
      </c>
      <c r="F11" s="15" t="inlineStr">
        <is>
          <t>2x2</t>
        </is>
      </c>
      <c r="G11" s="12">
        <f>IFERROR(INDEX(Ref!$C$2:$C$43,MATCH(D11,Ref!$A$2:$A$43,0)),"")</f>
        <v/>
      </c>
      <c r="H11" s="12">
        <f>IFERROR(INDEX(Ref!$D$2:$D$43,MATCH(D11,Ref!$A$2:$A$43,0)),"")</f>
        <v/>
      </c>
      <c r="I11" s="12">
        <f>IFERROR(INDEX(Ref!$E$2:$E$43,MATCH(D11,Ref!$A$2:$A$43,0)),"")</f>
        <v/>
      </c>
      <c r="J11" s="13">
        <f>IFERROR(IF(OR(E11="",F11="",ISNUMBER(FIND("bw",LOWER(TEXT(F11,"@"))))=TRUE()),"",ROUND(F11/E11,2)),"")</f>
        <v/>
      </c>
      <c r="K11" s="14" t="n"/>
    </row>
    <row r="12" ht="15" customHeight="1" s="103">
      <c r="A12" s="6" t="n">
        <v>45554</v>
      </c>
      <c r="B12" s="7" t="n">
        <v>48.4</v>
      </c>
      <c r="C12" s="8">
        <f>IFERROR(INDEX(Ref!$B$2:$B$43,MATCH(D12,Ref!$A$2:$A$43,0)),"")</f>
        <v/>
      </c>
      <c r="D12" s="9" t="inlineStr">
        <is>
          <t>Leg + Arms Ups</t>
        </is>
      </c>
      <c r="E12" s="10" t="n">
        <v>0.95</v>
      </c>
      <c r="F12" s="11" t="n">
        <v>12</v>
      </c>
      <c r="G12" s="12">
        <f>IFERROR(INDEX(Ref!$C$2:$C$43,MATCH(D12,Ref!$A$2:$A$43,0)),"")</f>
        <v/>
      </c>
      <c r="H12" s="12">
        <f>IFERROR(INDEX(Ref!$D$2:$D$43,MATCH(D12,Ref!$A$2:$A$43,0)),"")</f>
        <v/>
      </c>
      <c r="I12" s="12">
        <f>IFERROR(INDEX(Ref!$E$2:$E$43,MATCH(D12,Ref!$A$2:$A$43,0)),"")</f>
        <v/>
      </c>
      <c r="J12" s="13">
        <f>IFERROR(IF(OR(E12="",F12="",ISNUMBER(FIND("bw",LOWER(TEXT(F12,"@"))))=TRUE()),"",ROUND(F12/E12,2)),"")</f>
        <v/>
      </c>
      <c r="K12" s="14" t="n"/>
    </row>
    <row r="13" ht="15" customHeight="1" s="103">
      <c r="A13" s="6" t="n">
        <v>45554</v>
      </c>
      <c r="B13" s="7" t="n">
        <v>48.4</v>
      </c>
      <c r="C13" s="8">
        <f>IFERROR(INDEX(Ref!$B$2:$B$43,MATCH(D13,Ref!$A$2:$A$43,0)),"")</f>
        <v/>
      </c>
      <c r="D13" s="9" t="inlineStr">
        <is>
          <t>Matrix Abd. N4</t>
        </is>
      </c>
      <c r="E13" s="10" t="n">
        <v>0.85</v>
      </c>
      <c r="F13" s="11" t="n">
        <v>5</v>
      </c>
      <c r="G13" s="12">
        <f>IFERROR(INDEX(Ref!$C$2:$C$43,MATCH(D13,Ref!$A$2:$A$43,0)),"")</f>
        <v/>
      </c>
      <c r="H13" s="12">
        <f>IFERROR(INDEX(Ref!$D$2:$D$43,MATCH(D13,Ref!$A$2:$A$43,0)),"")</f>
        <v/>
      </c>
      <c r="I13" s="12">
        <f>IFERROR(INDEX(Ref!$E$2:$E$43,MATCH(D13,Ref!$A$2:$A$43,0)),"")</f>
        <v/>
      </c>
      <c r="J13" s="13">
        <f>IFERROR(IF(OR(E13="",F13="",ISNUMBER(FIND("bw",LOWER(TEXT(F13,"@"))))=TRUE()),"",ROUND(F13/E13,2)),"")</f>
        <v/>
      </c>
      <c r="K13" s="14" t="n"/>
    </row>
    <row r="14" ht="15" customHeight="1" s="103">
      <c r="A14" s="6" t="n">
        <v>45554</v>
      </c>
      <c r="B14" s="7" t="n">
        <v>48.4</v>
      </c>
      <c r="C14" s="8">
        <f>IFERROR(INDEX(Ref!$B$2:$B$43,MATCH(D14,Ref!$A$2:$A$43,0)),"")</f>
        <v/>
      </c>
      <c r="D14" s="9" t="inlineStr">
        <is>
          <t>Matrix Back&amp;Lat</t>
        </is>
      </c>
      <c r="E14" s="10" t="n"/>
      <c r="F14" s="15" t="inlineStr">
        <is>
          <t>bw</t>
        </is>
      </c>
      <c r="G14" s="12">
        <f>IFERROR(INDEX(Ref!$C$2:$C$43,MATCH(D14,Ref!$A$2:$A$43,0)),"")</f>
        <v/>
      </c>
      <c r="H14" s="12">
        <f>IFERROR(INDEX(Ref!$D$2:$D$43,MATCH(D14,Ref!$A$2:$A$43,0)),"")</f>
        <v/>
      </c>
      <c r="I14" s="12">
        <f>IFERROR(INDEX(Ref!$E$2:$E$43,MATCH(D14,Ref!$A$2:$A$43,0)),"")</f>
        <v/>
      </c>
      <c r="J14" s="13">
        <f>IFERROR(IF(OR(E14="",F14="",ISNUMBER(FIND("bw",LOWER(TEXT(F14,"@"))))=TRUE()),"",ROUND(F14/E14,2)),"")</f>
        <v/>
      </c>
      <c r="K14" s="14" t="n"/>
    </row>
    <row r="15" ht="15" customHeight="1" s="103">
      <c r="A15" s="6" t="n">
        <v>45554</v>
      </c>
      <c r="B15" s="7" t="n">
        <v>48.4</v>
      </c>
      <c r="C15" s="8">
        <f>IFERROR(INDEX(Ref!$B$2:$B$43,MATCH(D15,Ref!$A$2:$A$43,0)),"")</f>
        <v/>
      </c>
      <c r="D15" s="9" t="inlineStr">
        <is>
          <t>Scapular Pull-up</t>
        </is>
      </c>
      <c r="E15" s="10" t="n"/>
      <c r="F15" s="15" t="inlineStr">
        <is>
          <t>bw</t>
        </is>
      </c>
      <c r="G15" s="12">
        <f>IFERROR(INDEX(Ref!$C$2:$C$43,MATCH(D15,Ref!$A$2:$A$43,0)),"")</f>
        <v/>
      </c>
      <c r="H15" s="12">
        <f>IFERROR(INDEX(Ref!$D$2:$D$43,MATCH(D15,Ref!$A$2:$A$43,0)),"")</f>
        <v/>
      </c>
      <c r="I15" s="12">
        <f>IFERROR(INDEX(Ref!$E$2:$E$43,MATCH(D15,Ref!$A$2:$A$43,0)),"")</f>
        <v/>
      </c>
      <c r="J15" s="13">
        <f>IFERROR(IF(OR(E15="",F15="",ISNUMBER(FIND("bw",LOWER(TEXT(F15,"@"))))=TRUE()),"",ROUND(F15/E15,2)),"")</f>
        <v/>
      </c>
      <c r="K15" s="14" t="n"/>
    </row>
    <row r="16" ht="15" customHeight="1" s="103">
      <c r="A16" s="6" t="n">
        <v>45554</v>
      </c>
      <c r="B16" s="7" t="n">
        <v>48.4</v>
      </c>
      <c r="C16" s="8">
        <f>IFERROR(INDEX(Ref!$B$2:$B$43,MATCH(D16,Ref!$A$2:$A$43,0)),"")</f>
        <v/>
      </c>
      <c r="D16" s="9" t="inlineStr">
        <is>
          <t>ISO Scapular Pull</t>
        </is>
      </c>
      <c r="E16" s="10" t="n"/>
      <c r="F16" s="15" t="inlineStr">
        <is>
          <t>bw</t>
        </is>
      </c>
      <c r="G16" s="12">
        <f>IFERROR(INDEX(Ref!$C$2:$C$43,MATCH(D16,Ref!$A$2:$A$43,0)),"")</f>
        <v/>
      </c>
      <c r="H16" s="12">
        <f>IFERROR(INDEX(Ref!$D$2:$D$43,MATCH(D16,Ref!$A$2:$A$43,0)),"")</f>
        <v/>
      </c>
      <c r="I16" s="12">
        <f>IFERROR(INDEX(Ref!$E$2:$E$43,MATCH(D16,Ref!$A$2:$A$43,0)),"")</f>
        <v/>
      </c>
      <c r="J16" s="13">
        <f>IFERROR(IF(OR(E16="",F16="",ISNUMBER(FIND("bw",LOWER(TEXT(F16,"@"))))=TRUE()),"",ROUND(F16/E16,2)),"")</f>
        <v/>
      </c>
      <c r="K16" s="14" t="n"/>
    </row>
    <row r="17" ht="15" customHeight="1" s="103">
      <c r="A17" s="6" t="n">
        <v>45554</v>
      </c>
      <c r="B17" s="7" t="n">
        <v>48.4</v>
      </c>
      <c r="C17" s="8">
        <f>IFERROR(INDEX(Ref!$B$2:$B$43,MATCH(D17,Ref!$A$2:$A$43,0)),"")</f>
        <v/>
      </c>
      <c r="D17" s="9" t="inlineStr">
        <is>
          <t>1-Arm Scap. Pull-up</t>
        </is>
      </c>
      <c r="E17" s="10" t="n"/>
      <c r="F17" s="15" t="inlineStr">
        <is>
          <t>bw</t>
        </is>
      </c>
      <c r="G17" s="12">
        <f>IFERROR(INDEX(Ref!$C$2:$C$43,MATCH(D17,Ref!$A$2:$A$43,0)),"")</f>
        <v/>
      </c>
      <c r="H17" s="12">
        <f>IFERROR(INDEX(Ref!$D$2:$D$43,MATCH(D17,Ref!$A$2:$A$43,0)),"")</f>
        <v/>
      </c>
      <c r="I17" s="12">
        <f>IFERROR(INDEX(Ref!$E$2:$E$43,MATCH(D17,Ref!$A$2:$A$43,0)),"")</f>
        <v/>
      </c>
      <c r="J17" s="13">
        <f>IFERROR(IF(OR(E17="",F17="",ISNUMBER(FIND("bw",LOWER(TEXT(F17,"@"))))=TRUE()),"",ROUND(F17/E17,2)),"")</f>
        <v/>
      </c>
      <c r="K17" s="14" t="n"/>
    </row>
    <row r="18" ht="15" customHeight="1" s="103">
      <c r="A18" s="6" t="n">
        <v>45554</v>
      </c>
      <c r="B18" s="7" t="n">
        <v>48.4</v>
      </c>
      <c r="C18" s="8">
        <f>IFERROR(INDEX(Ref!$B$2:$B$43,MATCH(D18,Ref!$A$2:$A$43,0)),"")</f>
        <v/>
      </c>
      <c r="D18" s="9" t="inlineStr">
        <is>
          <t>Pull-up</t>
        </is>
      </c>
      <c r="E18" s="10" t="n"/>
      <c r="F18" s="15" t="inlineStr">
        <is>
          <t>bw</t>
        </is>
      </c>
      <c r="G18" s="12">
        <f>IFERROR(INDEX(Ref!$C$2:$C$43,MATCH(D18,Ref!$A$2:$A$43,0)),"")</f>
        <v/>
      </c>
      <c r="H18" s="12">
        <f>IFERROR(INDEX(Ref!$D$2:$D$43,MATCH(D18,Ref!$A$2:$A$43,0)),"")</f>
        <v/>
      </c>
      <c r="I18" s="12">
        <f>IFERROR(INDEX(Ref!$E$2:$E$43,MATCH(D18,Ref!$A$2:$A$43,0)),"")</f>
        <v/>
      </c>
      <c r="J18" s="13">
        <f>IFERROR(IF(OR(E18="",F18="",ISNUMBER(FIND("bw",LOWER(TEXT(F18,"@"))))=TRUE()),"",ROUND(F18/E18,2)),"")</f>
        <v/>
      </c>
      <c r="K18" s="14" t="n"/>
    </row>
    <row r="19" ht="15" customHeight="1" s="103">
      <c r="A19" s="6" t="n">
        <v>45554</v>
      </c>
      <c r="B19" s="7" t="n">
        <v>48.4</v>
      </c>
      <c r="C19" s="8">
        <f>IFERROR(INDEX(Ref!$B$2:$B$43,MATCH(D19,Ref!$A$2:$A$43,0)),"")</f>
        <v/>
      </c>
      <c r="D19" s="9" t="inlineStr">
        <is>
          <t>Lat Pulldown / Pull-up Bar</t>
        </is>
      </c>
      <c r="E19" s="10" t="n">
        <v>0.86</v>
      </c>
      <c r="F19" s="11" t="n">
        <v>36</v>
      </c>
      <c r="G19" s="12">
        <f>IFERROR(INDEX(Ref!$C$2:$C$43,MATCH(D19,Ref!$A$2:$A$43,0)),"")</f>
        <v/>
      </c>
      <c r="H19" s="12">
        <f>IFERROR(INDEX(Ref!$D$2:$D$43,MATCH(D19,Ref!$A$2:$A$43,0)),"")</f>
        <v/>
      </c>
      <c r="I19" s="12">
        <f>IFERROR(INDEX(Ref!$E$2:$E$43,MATCH(D19,Ref!$A$2:$A$43,0)),"")</f>
        <v/>
      </c>
      <c r="J19" s="13">
        <f>IFERROR(IF(OR(E19="",F19="",ISNUMBER(FIND("bw",LOWER(TEXT(F19,"@"))))=TRUE()),"",ROUND(F19/E19,2)),"")</f>
        <v/>
      </c>
      <c r="K19" s="14" t="n"/>
    </row>
    <row r="20" ht="15" customHeight="1" s="103">
      <c r="A20" s="6" t="n">
        <v>45554</v>
      </c>
      <c r="B20" s="7" t="n">
        <v>48.4</v>
      </c>
      <c r="C20" s="8">
        <f>IFERROR(INDEX(Ref!$B$2:$B$43,MATCH(D20,Ref!$A$2:$A$43,0)),"")</f>
        <v/>
      </c>
      <c r="D20" s="9" t="inlineStr">
        <is>
          <t>Rear Deltoid N1</t>
        </is>
      </c>
      <c r="E20" s="10" t="n">
        <v>0.9</v>
      </c>
      <c r="F20" s="11" t="n">
        <v>25</v>
      </c>
      <c r="G20" s="12">
        <f>IFERROR(INDEX(Ref!$C$2:$C$43,MATCH(D20,Ref!$A$2:$A$43,0)),"")</f>
        <v/>
      </c>
      <c r="H20" s="12">
        <f>IFERROR(INDEX(Ref!$D$2:$D$43,MATCH(D20,Ref!$A$2:$A$43,0)),"")</f>
        <v/>
      </c>
      <c r="I20" s="12">
        <f>IFERROR(INDEX(Ref!$E$2:$E$43,MATCH(D20,Ref!$A$2:$A$43,0)),"")</f>
        <v/>
      </c>
      <c r="J20" s="13">
        <f>IFERROR(IF(OR(E20="",F20="",ISNUMBER(FIND("bw",LOWER(TEXT(F20,"@"))))=TRUE()),"",ROUND(F20/E20,2)),"")</f>
        <v/>
      </c>
      <c r="K20" s="14" t="n"/>
    </row>
    <row r="21" ht="15" customHeight="1" s="103">
      <c r="A21" s="6" t="n">
        <v>45554</v>
      </c>
      <c r="B21" s="7" t="n">
        <v>48.4</v>
      </c>
      <c r="C21" s="8">
        <f>IFERROR(INDEX(Ref!$B$2:$B$43,MATCH(D21,Ref!$A$2:$A$43,0)),"")</f>
        <v/>
      </c>
      <c r="D21" s="9" t="inlineStr">
        <is>
          <t>Fly Deltoid N2</t>
        </is>
      </c>
      <c r="E21" s="10" t="n">
        <v>0.85</v>
      </c>
      <c r="F21" s="11" t="n">
        <v>39</v>
      </c>
      <c r="G21" s="12">
        <f>IFERROR(INDEX(Ref!$C$2:$C$43,MATCH(D21,Ref!$A$2:$A$43,0)),"")</f>
        <v/>
      </c>
      <c r="H21" s="12">
        <f>IFERROR(INDEX(Ref!$D$2:$D$43,MATCH(D21,Ref!$A$2:$A$43,0)),"")</f>
        <v/>
      </c>
      <c r="I21" s="12">
        <f>IFERROR(INDEX(Ref!$E$2:$E$43,MATCH(D21,Ref!$A$2:$A$43,0)),"")</f>
        <v/>
      </c>
      <c r="J21" s="13">
        <f>IFERROR(IF(OR(E21="",F21="",ISNUMBER(FIND("bw",LOWER(TEXT(F21,"@"))))=TRUE()),"",ROUND(F21/E21,2)),"")</f>
        <v/>
      </c>
      <c r="K21" s="14" t="n"/>
    </row>
    <row r="22" ht="15" customHeight="1" s="103">
      <c r="A22" s="6" t="n">
        <v>45554</v>
      </c>
      <c r="B22" s="7" t="n">
        <v>48.4</v>
      </c>
      <c r="C22" s="8">
        <f>IFERROR(INDEX(Ref!$B$2:$B$43,MATCH(D22,Ref!$A$2:$A$43,0)),"")</f>
        <v/>
      </c>
      <c r="D22" s="9" t="inlineStr">
        <is>
          <t>Shoulder Press</t>
        </is>
      </c>
      <c r="E22" s="10" t="n">
        <v>0.9</v>
      </c>
      <c r="F22" s="11" t="n">
        <v>10.4</v>
      </c>
      <c r="G22" s="12">
        <f>IFERROR(INDEX(Ref!$C$2:$C$43,MATCH(D22,Ref!$A$2:$A$43,0)),"")</f>
        <v/>
      </c>
      <c r="H22" s="12">
        <f>IFERROR(INDEX(Ref!$D$2:$D$43,MATCH(D22,Ref!$A$2:$A$43,0)),"")</f>
        <v/>
      </c>
      <c r="I22" s="12">
        <f>IFERROR(INDEX(Ref!$E$2:$E$43,MATCH(D22,Ref!$A$2:$A$43,0)),"")</f>
        <v/>
      </c>
      <c r="J22" s="13">
        <f>IFERROR(IF(OR(E22="",F22="",ISNUMBER(FIND("bw",LOWER(TEXT(F22,"@"))))=TRUE()),"",ROUND(F22/E22,2)),"")</f>
        <v/>
      </c>
      <c r="K22" s="14" t="n"/>
    </row>
    <row r="23" ht="15" customHeight="1" s="103">
      <c r="A23" s="6" t="n">
        <v>45554</v>
      </c>
      <c r="B23" s="7" t="n">
        <v>48.4</v>
      </c>
      <c r="C23" s="8">
        <f>IFERROR(INDEX(Ref!$B$2:$B$43,MATCH(D23,Ref!$A$2:$A$43,0)),"")</f>
        <v/>
      </c>
      <c r="D23" s="9" t="inlineStr">
        <is>
          <t>Chest Press</t>
        </is>
      </c>
      <c r="E23" s="10" t="n">
        <v>0.9</v>
      </c>
      <c r="F23" s="11" t="n">
        <v>29.6</v>
      </c>
      <c r="G23" s="12">
        <f>IFERROR(INDEX(Ref!$C$2:$C$43,MATCH(D23,Ref!$A$2:$A$43,0)),"")</f>
        <v/>
      </c>
      <c r="H23" s="12">
        <f>IFERROR(INDEX(Ref!$D$2:$D$43,MATCH(D23,Ref!$A$2:$A$43,0)),"")</f>
        <v/>
      </c>
      <c r="I23" s="12">
        <f>IFERROR(INDEX(Ref!$E$2:$E$43,MATCH(D23,Ref!$A$2:$A$43,0)),"")</f>
        <v/>
      </c>
      <c r="J23" s="13">
        <f>IFERROR(IF(OR(E23="",F23="",ISNUMBER(FIND("bw",LOWER(TEXT(F23,"@"))))=TRUE()),"",ROUND(F23/E23,2)),"")</f>
        <v/>
      </c>
      <c r="K23" s="14" t="n"/>
    </row>
    <row r="24" ht="15" customHeight="1" s="103">
      <c r="A24" s="6" t="n">
        <v>45554</v>
      </c>
      <c r="B24" s="7" t="n">
        <v>48.4</v>
      </c>
      <c r="C24" s="8">
        <f>IFERROR(INDEX(Ref!$B$2:$B$43,MATCH(D24,Ref!$A$2:$A$43,0)),"")</f>
        <v/>
      </c>
      <c r="D24" s="9" t="inlineStr">
        <is>
          <t>Cable Cross Over</t>
        </is>
      </c>
      <c r="E24" s="10" t="n">
        <v>0.9</v>
      </c>
      <c r="F24" s="11" t="n">
        <v>14</v>
      </c>
      <c r="G24" s="12">
        <f>IFERROR(INDEX(Ref!$C$2:$C$43,MATCH(D24,Ref!$A$2:$A$43,0)),"")</f>
        <v/>
      </c>
      <c r="H24" s="12">
        <f>IFERROR(INDEX(Ref!$D$2:$D$43,MATCH(D24,Ref!$A$2:$A$43,0)),"")</f>
        <v/>
      </c>
      <c r="I24" s="12">
        <f>IFERROR(INDEX(Ref!$E$2:$E$43,MATCH(D24,Ref!$A$2:$A$43,0)),"")</f>
        <v/>
      </c>
      <c r="J24" s="13">
        <f>IFERROR(IF(OR(E24="",F24="",ISNUMBER(FIND("bw",LOWER(TEXT(F24,"@"))))=TRUE()),"",ROUND(F24/E24,2)),"")</f>
        <v/>
      </c>
      <c r="K24" s="14" t="n"/>
    </row>
    <row r="25" ht="15" customHeight="1" s="103">
      <c r="A25" s="6" t="n">
        <v>45554</v>
      </c>
      <c r="B25" s="7" t="n">
        <v>48.4</v>
      </c>
      <c r="C25" s="8">
        <f>IFERROR(INDEX(Ref!$B$2:$B$43,MATCH(D25,Ref!$A$2:$A$43,0)),"")</f>
        <v/>
      </c>
      <c r="D25" s="9" t="inlineStr">
        <is>
          <t>Low Row</t>
        </is>
      </c>
      <c r="E25" s="10" t="n">
        <v>0.8</v>
      </c>
      <c r="F25" s="11" t="n">
        <v>32</v>
      </c>
      <c r="G25" s="12">
        <f>IFERROR(INDEX(Ref!$C$2:$C$43,MATCH(D25,Ref!$A$2:$A$43,0)),"")</f>
        <v/>
      </c>
      <c r="H25" s="12">
        <f>IFERROR(INDEX(Ref!$D$2:$D$43,MATCH(D25,Ref!$A$2:$A$43,0)),"")</f>
        <v/>
      </c>
      <c r="I25" s="12">
        <f>IFERROR(INDEX(Ref!$E$2:$E$43,MATCH(D25,Ref!$A$2:$A$43,0)),"")</f>
        <v/>
      </c>
      <c r="J25" s="13">
        <f>IFERROR(IF(OR(E25="",F25="",ISNUMBER(FIND("bw",LOWER(TEXT(F25,"@"))))=TRUE()),"",ROUND(F25/E25,2)),"")</f>
        <v/>
      </c>
      <c r="K25" s="14" t="n"/>
    </row>
    <row r="26" ht="15" customHeight="1" s="103">
      <c r="A26" s="6" t="n">
        <v>45554</v>
      </c>
      <c r="B26" s="7" t="n">
        <v>48.4</v>
      </c>
      <c r="C26" s="8">
        <f>IFERROR(INDEX(Ref!$B$2:$B$43,MATCH(D26,Ref!$A$2:$A$43,0)),"")</f>
        <v/>
      </c>
      <c r="D26" s="9" t="inlineStr">
        <is>
          <t>Shoulder Rotation</t>
        </is>
      </c>
      <c r="E26" s="10" t="n"/>
      <c r="F26" s="11" t="n">
        <v>2</v>
      </c>
      <c r="G26" s="12">
        <f>IFERROR(INDEX(Ref!$C$2:$C$43,MATCH(D26,Ref!$A$2:$A$43,0)),"")</f>
        <v/>
      </c>
      <c r="H26" s="12">
        <f>IFERROR(INDEX(Ref!$D$2:$D$43,MATCH(D26,Ref!$A$2:$A$43,0)),"")</f>
        <v/>
      </c>
      <c r="I26" s="12">
        <f>IFERROR(INDEX(Ref!$E$2:$E$43,MATCH(D26,Ref!$A$2:$A$43,0)),"")</f>
        <v/>
      </c>
      <c r="J26" s="13">
        <f>IFERROR(IF(OR(E26="",F26="",ISNUMBER(FIND("bw",LOWER(TEXT(F26,"@"))))=TRUE()),"",ROUND(F26/E26,2)),"")</f>
        <v/>
      </c>
      <c r="K26" s="14" t="n"/>
    </row>
    <row r="27" ht="15" customHeight="1" s="103">
      <c r="A27" s="6" t="n">
        <v>45554</v>
      </c>
      <c r="B27" s="7" t="n">
        <v>48.4</v>
      </c>
      <c r="C27" s="8">
        <f>IFERROR(INDEX(Ref!$B$2:$B$43,MATCH(D27,Ref!$A$2:$A$43,0)),"")</f>
        <v/>
      </c>
      <c r="D27" s="9" t="inlineStr">
        <is>
          <t>Biceps</t>
        </is>
      </c>
      <c r="E27" s="10" t="n">
        <v>0.85</v>
      </c>
      <c r="F27" s="11" t="n">
        <v>7</v>
      </c>
      <c r="G27" s="12">
        <f>IFERROR(INDEX(Ref!$C$2:$C$43,MATCH(D27,Ref!$A$2:$A$43,0)),"")</f>
        <v/>
      </c>
      <c r="H27" s="12">
        <f>IFERROR(INDEX(Ref!$D$2:$D$43,MATCH(D27,Ref!$A$2:$A$43,0)),"")</f>
        <v/>
      </c>
      <c r="I27" s="12">
        <f>IFERROR(INDEX(Ref!$E$2:$E$43,MATCH(D27,Ref!$A$2:$A$43,0)),"")</f>
        <v/>
      </c>
      <c r="J27" s="13">
        <f>IFERROR(IF(OR(E27="",F27="",ISNUMBER(FIND("bw",LOWER(TEXT(F27,"@"))))=TRUE()),"",ROUND(F27/E27,2)),"")</f>
        <v/>
      </c>
      <c r="K27" s="14" t="n"/>
    </row>
    <row r="28" ht="15" customHeight="1" s="103">
      <c r="A28" s="6" t="n">
        <v>45554</v>
      </c>
      <c r="B28" s="7" t="n">
        <v>48.4</v>
      </c>
      <c r="C28" s="8">
        <f>IFERROR(INDEX(Ref!$B$2:$B$43,MATCH(D28,Ref!$A$2:$A$43,0)),"")</f>
        <v/>
      </c>
      <c r="D28" s="9" t="inlineStr">
        <is>
          <t>Wrist Extension</t>
        </is>
      </c>
      <c r="E28" s="10" t="n">
        <v>0.9</v>
      </c>
      <c r="F28" s="11" t="n">
        <v>4</v>
      </c>
      <c r="G28" s="12">
        <f>IFERROR(INDEX(Ref!$C$2:$C$43,MATCH(D28,Ref!$A$2:$A$43,0)),"")</f>
        <v/>
      </c>
      <c r="H28" s="12">
        <f>IFERROR(INDEX(Ref!$D$2:$D$43,MATCH(D28,Ref!$A$2:$A$43,0)),"")</f>
        <v/>
      </c>
      <c r="I28" s="12">
        <f>IFERROR(INDEX(Ref!$E$2:$E$43,MATCH(D28,Ref!$A$2:$A$43,0)),"")</f>
        <v/>
      </c>
      <c r="J28" s="13">
        <f>IFERROR(IF(OR(E28="",F28="",ISNUMBER(FIND("bw",LOWER(TEXT(F28,"@"))))=TRUE()),"",ROUND(F28/E28,2)),"")</f>
        <v/>
      </c>
      <c r="K28" s="14" t="n"/>
    </row>
    <row r="29" ht="15" customHeight="1" s="103">
      <c r="A29" s="6" t="n">
        <v>45554</v>
      </c>
      <c r="B29" s="7" t="n">
        <v>48.4</v>
      </c>
      <c r="C29" s="8">
        <f>IFERROR(INDEX(Ref!$B$2:$B$43,MATCH(D29,Ref!$A$2:$A$43,0)),"")</f>
        <v/>
      </c>
      <c r="D29" s="9" t="inlineStr">
        <is>
          <t>Wrist Internal</t>
        </is>
      </c>
      <c r="E29" s="10" t="n">
        <v>0.8</v>
      </c>
      <c r="F29" s="11" t="n">
        <v>6</v>
      </c>
      <c r="G29" s="12">
        <f>IFERROR(INDEX(Ref!$C$2:$C$43,MATCH(D29,Ref!$A$2:$A$43,0)),"")</f>
        <v/>
      </c>
      <c r="H29" s="12">
        <f>IFERROR(INDEX(Ref!$D$2:$D$43,MATCH(D29,Ref!$A$2:$A$43,0)),"")</f>
        <v/>
      </c>
      <c r="I29" s="12">
        <f>IFERROR(INDEX(Ref!$E$2:$E$43,MATCH(D29,Ref!$A$2:$A$43,0)),"")</f>
        <v/>
      </c>
      <c r="J29" s="13">
        <f>IFERROR(IF(OR(E29="",F29="",ISNUMBER(FIND("bw",LOWER(TEXT(F29,"@"))))=TRUE()),"",ROUND(F29/E29,2)),"")</f>
        <v/>
      </c>
      <c r="K29" s="14" t="n"/>
    </row>
    <row r="30" ht="15" customHeight="1" s="103">
      <c r="A30" s="6" t="n">
        <v>45554</v>
      </c>
      <c r="B30" s="7" t="n">
        <v>48.4</v>
      </c>
      <c r="C30" s="8">
        <f>IFERROR(INDEX(Ref!$B$2:$B$43,MATCH(D30,Ref!$A$2:$A$43,0)),"")</f>
        <v/>
      </c>
      <c r="D30" s="9" t="inlineStr">
        <is>
          <t>Wrist Curls Int Roll</t>
        </is>
      </c>
      <c r="E30" s="10" t="n">
        <v>1</v>
      </c>
      <c r="F30" s="11" t="n">
        <v>2.5</v>
      </c>
      <c r="G30" s="12">
        <f>IFERROR(INDEX(Ref!$C$2:$C$43,MATCH(D30,Ref!$A$2:$A$43,0)),"")</f>
        <v/>
      </c>
      <c r="H30" s="12">
        <f>IFERROR(INDEX(Ref!$D$2:$D$43,MATCH(D30,Ref!$A$2:$A$43,0)),"")</f>
        <v/>
      </c>
      <c r="I30" s="12">
        <f>IFERROR(INDEX(Ref!$E$2:$E$43,MATCH(D30,Ref!$A$2:$A$43,0)),"")</f>
        <v/>
      </c>
      <c r="J30" s="13">
        <f>IFERROR(IF(OR(E30="",F30="",ISNUMBER(FIND("bw",LOWER(TEXT(F30,"@"))))=TRUE()),"",ROUND(F30/E30,2)),"")</f>
        <v/>
      </c>
      <c r="K30" s="14" t="n"/>
    </row>
    <row r="31" ht="15" customHeight="1" s="103">
      <c r="A31" s="6" t="n">
        <v>45554</v>
      </c>
      <c r="B31" s="7" t="n">
        <v>48.4</v>
      </c>
      <c r="C31" s="8">
        <f>IFERROR(INDEX(Ref!$B$2:$B$43,MATCH(D31,Ref!$A$2:$A$43,0)),"")</f>
        <v/>
      </c>
      <c r="D31" s="9" t="inlineStr">
        <is>
          <t>Wrist Curls Ext Roll</t>
        </is>
      </c>
      <c r="E31" s="10" t="n">
        <v>1</v>
      </c>
      <c r="F31" s="11" t="n">
        <v>2.5</v>
      </c>
      <c r="G31" s="12">
        <f>IFERROR(INDEX(Ref!$C$2:$C$43,MATCH(D31,Ref!$A$2:$A$43,0)),"")</f>
        <v/>
      </c>
      <c r="H31" s="12">
        <f>IFERROR(INDEX(Ref!$D$2:$D$43,MATCH(D31,Ref!$A$2:$A$43,0)),"")</f>
        <v/>
      </c>
      <c r="I31" s="12">
        <f>IFERROR(INDEX(Ref!$E$2:$E$43,MATCH(D31,Ref!$A$2:$A$43,0)),"")</f>
        <v/>
      </c>
      <c r="J31" s="13">
        <f>IFERROR(IF(OR(E31="",F31="",ISNUMBER(FIND("bw",LOWER(TEXT(F31,"@"))))=TRUE()),"",ROUND(F31/E31,2)),"")</f>
        <v/>
      </c>
      <c r="K31" s="14" t="n"/>
    </row>
    <row r="32" ht="15" customHeight="1" s="103">
      <c r="A32" s="6" t="n">
        <v>45554</v>
      </c>
      <c r="B32" s="7" t="n">
        <v>48.4</v>
      </c>
      <c r="C32" s="8">
        <f>IFERROR(INDEX(Ref!$B$2:$B$43,MATCH(D32,Ref!$A$2:$A$43,0)),"")</f>
        <v/>
      </c>
      <c r="D32" s="9" t="inlineStr">
        <is>
          <t>Grips w/ Machine</t>
        </is>
      </c>
      <c r="E32" s="10" t="n">
        <v>1</v>
      </c>
      <c r="F32" s="11" t="n">
        <v>35</v>
      </c>
      <c r="G32" s="12">
        <f>IFERROR(INDEX(Ref!$C$2:$C$43,MATCH(D32,Ref!$A$2:$A$43,0)),"")</f>
        <v/>
      </c>
      <c r="H32" s="12">
        <f>IFERROR(INDEX(Ref!$D$2:$D$43,MATCH(D32,Ref!$A$2:$A$43,0)),"")</f>
        <v/>
      </c>
      <c r="I32" s="12">
        <f>IFERROR(INDEX(Ref!$E$2:$E$43,MATCH(D32,Ref!$A$2:$A$43,0)),"")</f>
        <v/>
      </c>
      <c r="J32" s="13">
        <f>IFERROR(IF(OR(E32="",F32="",ISNUMBER(FIND("bw",LOWER(TEXT(F32,"@"))))=TRUE()),"",ROUND(F32/E32,2)),"")</f>
        <v/>
      </c>
      <c r="K32" s="14" t="n"/>
    </row>
    <row r="34" ht="15" customHeight="1" s="103">
      <c r="A34" s="136" t="inlineStr">
        <is>
          <t>── Session 2:  24 Sep 2024  ·  Body weight: 48.4 kg  ──</t>
        </is>
      </c>
      <c r="B34" s="109" t="n"/>
      <c r="C34" s="109" t="n"/>
      <c r="D34" s="109" t="n"/>
      <c r="E34" s="109" t="n"/>
      <c r="F34" s="109" t="n"/>
      <c r="G34" s="109" t="n"/>
      <c r="H34" s="109" t="n"/>
      <c r="I34" s="109" t="n"/>
      <c r="J34" s="109" t="n"/>
      <c r="K34" s="110" t="n"/>
    </row>
    <row r="35" ht="15" customHeight="1" s="103">
      <c r="A35" s="16" t="n">
        <v>45559</v>
      </c>
      <c r="B35" s="17" t="n">
        <v>48.4</v>
      </c>
      <c r="C35" s="8">
        <f>IFERROR(INDEX(Ref!$B$2:$B$43,MATCH(D35,Ref!$A$2:$A$43,0)),"")</f>
        <v/>
      </c>
      <c r="D35" s="18" t="inlineStr">
        <is>
          <t>Hip Abductor</t>
        </is>
      </c>
      <c r="E35" s="19" t="n">
        <v>0.9</v>
      </c>
      <c r="F35" s="20" t="n">
        <v>39</v>
      </c>
      <c r="G35" s="12">
        <f>IFERROR(INDEX(Ref!$C$2:$C$43,MATCH(D35,Ref!$A$2:$A$43,0)),"")</f>
        <v/>
      </c>
      <c r="H35" s="12">
        <f>IFERROR(INDEX(Ref!$D$2:$D$43,MATCH(D35,Ref!$A$2:$A$43,0)),"")</f>
        <v/>
      </c>
      <c r="I35" s="12">
        <f>IFERROR(INDEX(Ref!$E$2:$E$43,MATCH(D35,Ref!$A$2:$A$43,0)),"")</f>
        <v/>
      </c>
      <c r="J35" s="13">
        <f>IFERROR(IF(OR(E35="",F35="",ISNUMBER(FIND("bw",LOWER(TEXT(F35,"@"))))=TRUE()),"",ROUND(F35/E35,2)),"")</f>
        <v/>
      </c>
      <c r="K35" s="21" t="n"/>
    </row>
    <row r="36" ht="15" customHeight="1" s="103">
      <c r="A36" s="16" t="n">
        <v>45559</v>
      </c>
      <c r="B36" s="17" t="n">
        <v>48.4</v>
      </c>
      <c r="C36" s="8">
        <f>IFERROR(INDEX(Ref!$B$2:$B$43,MATCH(D36,Ref!$A$2:$A$43,0)),"")</f>
        <v/>
      </c>
      <c r="D36" s="18" t="inlineStr">
        <is>
          <t>Hip Adductor</t>
        </is>
      </c>
      <c r="E36" s="19" t="n">
        <v>0.95</v>
      </c>
      <c r="F36" s="20" t="n">
        <v>32</v>
      </c>
      <c r="G36" s="12">
        <f>IFERROR(INDEX(Ref!$C$2:$C$43,MATCH(D36,Ref!$A$2:$A$43,0)),"")</f>
        <v/>
      </c>
      <c r="H36" s="12">
        <f>IFERROR(INDEX(Ref!$D$2:$D$43,MATCH(D36,Ref!$A$2:$A$43,0)),"")</f>
        <v/>
      </c>
      <c r="I36" s="12">
        <f>IFERROR(INDEX(Ref!$E$2:$E$43,MATCH(D36,Ref!$A$2:$A$43,0)),"")</f>
        <v/>
      </c>
      <c r="J36" s="13">
        <f>IFERROR(IF(OR(E36="",F36="",ISNUMBER(FIND("bw",LOWER(TEXT(F36,"@"))))=TRUE()),"",ROUND(F36/E36,2)),"")</f>
        <v/>
      </c>
      <c r="K36" s="21" t="n"/>
    </row>
    <row r="37" ht="15" customHeight="1" s="103">
      <c r="A37" s="16" t="n">
        <v>45559</v>
      </c>
      <c r="B37" s="17" t="n">
        <v>48.4</v>
      </c>
      <c r="C37" s="8">
        <f>IFERROR(INDEX(Ref!$B$2:$B$43,MATCH(D37,Ref!$A$2:$A$43,0)),"")</f>
        <v/>
      </c>
      <c r="D37" s="18" t="inlineStr">
        <is>
          <t>Ext. Quadriceps</t>
        </is>
      </c>
      <c r="E37" s="19" t="n">
        <v>0.9</v>
      </c>
      <c r="F37" s="20" t="n">
        <v>32</v>
      </c>
      <c r="G37" s="12">
        <f>IFERROR(INDEX(Ref!$C$2:$C$43,MATCH(D37,Ref!$A$2:$A$43,0)),"")</f>
        <v/>
      </c>
      <c r="H37" s="12">
        <f>IFERROR(INDEX(Ref!$D$2:$D$43,MATCH(D37,Ref!$A$2:$A$43,0)),"")</f>
        <v/>
      </c>
      <c r="I37" s="12">
        <f>IFERROR(INDEX(Ref!$E$2:$E$43,MATCH(D37,Ref!$A$2:$A$43,0)),"")</f>
        <v/>
      </c>
      <c r="J37" s="13">
        <f>IFERROR(IF(OR(E37="",F37="",ISNUMBER(FIND("bw",LOWER(TEXT(F37,"@"))))=TRUE()),"",ROUND(F37/E37,2)),"")</f>
        <v/>
      </c>
      <c r="K37" s="21" t="n"/>
    </row>
    <row r="38" ht="15" customHeight="1" s="103">
      <c r="A38" s="16" t="n">
        <v>45559</v>
      </c>
      <c r="B38" s="17" t="n">
        <v>48.4</v>
      </c>
      <c r="C38" s="8">
        <f>IFERROR(INDEX(Ref!$B$2:$B$43,MATCH(D38,Ref!$A$2:$A$43,0)),"")</f>
        <v/>
      </c>
      <c r="D38" s="18" t="inlineStr">
        <is>
          <t>Plank</t>
        </is>
      </c>
      <c r="E38" s="19" t="n">
        <v>0.5</v>
      </c>
      <c r="F38" s="22" t="inlineStr">
        <is>
          <t>bw</t>
        </is>
      </c>
      <c r="G38" s="12">
        <f>IFERROR(INDEX(Ref!$C$2:$C$43,MATCH(D38,Ref!$A$2:$A$43,0)),"")</f>
        <v/>
      </c>
      <c r="H38" s="12">
        <f>IFERROR(INDEX(Ref!$D$2:$D$43,MATCH(D38,Ref!$A$2:$A$43,0)),"")</f>
        <v/>
      </c>
      <c r="I38" s="12">
        <f>IFERROR(INDEX(Ref!$E$2:$E$43,MATCH(D38,Ref!$A$2:$A$43,0)),"")</f>
        <v/>
      </c>
      <c r="J38" s="13">
        <f>IFERROR(IF(OR(E38="",F38="",ISNUMBER(FIND("bw",LOWER(TEXT(F38,"@"))))=TRUE()),"",ROUND(F38/E38,2)),"")</f>
        <v/>
      </c>
      <c r="K38" s="21" t="n"/>
    </row>
    <row r="39" ht="15" customHeight="1" s="103">
      <c r="A39" s="16" t="n">
        <v>45559</v>
      </c>
      <c r="B39" s="17" t="n">
        <v>48.4</v>
      </c>
      <c r="C39" s="8">
        <f>IFERROR(INDEX(Ref!$B$2:$B$43,MATCH(D39,Ref!$A$2:$A$43,0)),"")</f>
        <v/>
      </c>
      <c r="D39" s="18" t="inlineStr">
        <is>
          <t>Russian Sit-ups</t>
        </is>
      </c>
      <c r="E39" s="19" t="n">
        <v>0.65</v>
      </c>
      <c r="F39" s="20" t="n">
        <v>6</v>
      </c>
      <c r="G39" s="12">
        <f>IFERROR(INDEX(Ref!$C$2:$C$43,MATCH(D39,Ref!$A$2:$A$43,0)),"")</f>
        <v/>
      </c>
      <c r="H39" s="12">
        <f>IFERROR(INDEX(Ref!$D$2:$D$43,MATCH(D39,Ref!$A$2:$A$43,0)),"")</f>
        <v/>
      </c>
      <c r="I39" s="12">
        <f>IFERROR(INDEX(Ref!$E$2:$E$43,MATCH(D39,Ref!$A$2:$A$43,0)),"")</f>
        <v/>
      </c>
      <c r="J39" s="13">
        <f>IFERROR(IF(OR(E39="",F39="",ISNUMBER(FIND("bw",LOWER(TEXT(F39,"@"))))=TRUE()),"",ROUND(F39/E39,2)),"")</f>
        <v/>
      </c>
      <c r="K39" s="21" t="n"/>
    </row>
    <row r="40" ht="15" customHeight="1" s="103">
      <c r="A40" s="16" t="n">
        <v>45559</v>
      </c>
      <c r="B40" s="17" t="n">
        <v>48.4</v>
      </c>
      <c r="C40" s="8">
        <f>IFERROR(INDEX(Ref!$B$2:$B$43,MATCH(D40,Ref!$A$2:$A$43,0)),"")</f>
        <v/>
      </c>
      <c r="D40" s="18" t="inlineStr">
        <is>
          <t>Floor ABS Rotation</t>
        </is>
      </c>
      <c r="E40" s="19" t="n">
        <v>0.8</v>
      </c>
      <c r="F40" s="22" t="inlineStr">
        <is>
          <t>2x3</t>
        </is>
      </c>
      <c r="G40" s="12">
        <f>IFERROR(INDEX(Ref!$C$2:$C$43,MATCH(D40,Ref!$A$2:$A$43,0)),"")</f>
        <v/>
      </c>
      <c r="H40" s="12">
        <f>IFERROR(INDEX(Ref!$D$2:$D$43,MATCH(D40,Ref!$A$2:$A$43,0)),"")</f>
        <v/>
      </c>
      <c r="I40" s="12">
        <f>IFERROR(INDEX(Ref!$E$2:$E$43,MATCH(D40,Ref!$A$2:$A$43,0)),"")</f>
        <v/>
      </c>
      <c r="J40" s="13">
        <f>IFERROR(IF(OR(E40="",F40="",ISNUMBER(FIND("bw",LOWER(TEXT(F40,"@"))))=TRUE()),"",ROUND(F40/E40,2)),"")</f>
        <v/>
      </c>
      <c r="K40" s="21" t="n"/>
    </row>
    <row r="41" ht="15" customHeight="1" s="103">
      <c r="A41" s="16" t="n">
        <v>45559</v>
      </c>
      <c r="B41" s="17" t="n">
        <v>48.4</v>
      </c>
      <c r="C41" s="8">
        <f>IFERROR(INDEX(Ref!$B$2:$B$43,MATCH(D41,Ref!$A$2:$A$43,0)),"")</f>
        <v/>
      </c>
      <c r="D41" s="18" t="inlineStr">
        <is>
          <t>Leg + Arms Ups</t>
        </is>
      </c>
      <c r="E41" s="19" t="n">
        <v>0.95</v>
      </c>
      <c r="F41" s="20" t="n">
        <v>12</v>
      </c>
      <c r="G41" s="12">
        <f>IFERROR(INDEX(Ref!$C$2:$C$43,MATCH(D41,Ref!$A$2:$A$43,0)),"")</f>
        <v/>
      </c>
      <c r="H41" s="12">
        <f>IFERROR(INDEX(Ref!$D$2:$D$43,MATCH(D41,Ref!$A$2:$A$43,0)),"")</f>
        <v/>
      </c>
      <c r="I41" s="12">
        <f>IFERROR(INDEX(Ref!$E$2:$E$43,MATCH(D41,Ref!$A$2:$A$43,0)),"")</f>
        <v/>
      </c>
      <c r="J41" s="13">
        <f>IFERROR(IF(OR(E41="",F41="",ISNUMBER(FIND("bw",LOWER(TEXT(F41,"@"))))=TRUE()),"",ROUND(F41/E41,2)),"")</f>
        <v/>
      </c>
      <c r="K41" s="21" t="n"/>
    </row>
    <row r="42" ht="15" customHeight="1" s="103">
      <c r="A42" s="16" t="n">
        <v>45559</v>
      </c>
      <c r="B42" s="17" t="n">
        <v>48.4</v>
      </c>
      <c r="C42" s="8">
        <f>IFERROR(INDEX(Ref!$B$2:$B$43,MATCH(D42,Ref!$A$2:$A$43,0)),"")</f>
        <v/>
      </c>
      <c r="D42" s="18" t="inlineStr">
        <is>
          <t>Matrix Abd. N4</t>
        </is>
      </c>
      <c r="E42" s="19" t="n">
        <v>0.85</v>
      </c>
      <c r="F42" s="20" t="n">
        <v>4</v>
      </c>
      <c r="G42" s="12">
        <f>IFERROR(INDEX(Ref!$C$2:$C$43,MATCH(D42,Ref!$A$2:$A$43,0)),"")</f>
        <v/>
      </c>
      <c r="H42" s="12">
        <f>IFERROR(INDEX(Ref!$D$2:$D$43,MATCH(D42,Ref!$A$2:$A$43,0)),"")</f>
        <v/>
      </c>
      <c r="I42" s="12">
        <f>IFERROR(INDEX(Ref!$E$2:$E$43,MATCH(D42,Ref!$A$2:$A$43,0)),"")</f>
        <v/>
      </c>
      <c r="J42" s="13">
        <f>IFERROR(IF(OR(E42="",F42="",ISNUMBER(FIND("bw",LOWER(TEXT(F42,"@"))))=TRUE()),"",ROUND(F42/E42,2)),"")</f>
        <v/>
      </c>
      <c r="K42" s="21" t="n"/>
    </row>
    <row r="43" ht="15" customHeight="1" s="103">
      <c r="A43" s="16" t="n">
        <v>45559</v>
      </c>
      <c r="B43" s="17" t="n">
        <v>48.4</v>
      </c>
      <c r="C43" s="8">
        <f>IFERROR(INDEX(Ref!$B$2:$B$43,MATCH(D43,Ref!$A$2:$A$43,0)),"")</f>
        <v/>
      </c>
      <c r="D43" s="18" t="inlineStr">
        <is>
          <t>Matrix Abd. Up</t>
        </is>
      </c>
      <c r="E43" s="19" t="n">
        <v>0.9</v>
      </c>
      <c r="F43" s="20" t="n">
        <v>10</v>
      </c>
      <c r="G43" s="12">
        <f>IFERROR(INDEX(Ref!$C$2:$C$43,MATCH(D43,Ref!$A$2:$A$43,0)),"")</f>
        <v/>
      </c>
      <c r="H43" s="12">
        <f>IFERROR(INDEX(Ref!$D$2:$D$43,MATCH(D43,Ref!$A$2:$A$43,0)),"")</f>
        <v/>
      </c>
      <c r="I43" s="12">
        <f>IFERROR(INDEX(Ref!$E$2:$E$43,MATCH(D43,Ref!$A$2:$A$43,0)),"")</f>
        <v/>
      </c>
      <c r="J43" s="13">
        <f>IFERROR(IF(OR(E43="",F43="",ISNUMBER(FIND("bw",LOWER(TEXT(F43,"@"))))=TRUE()),"",ROUND(F43/E43,2)),"")</f>
        <v/>
      </c>
      <c r="K43" s="21" t="n"/>
    </row>
    <row r="44" ht="15" customHeight="1" s="103">
      <c r="A44" s="16" t="n">
        <v>45559</v>
      </c>
      <c r="B44" s="17" t="n">
        <v>48.4</v>
      </c>
      <c r="C44" s="8">
        <f>IFERROR(INDEX(Ref!$B$2:$B$43,MATCH(D44,Ref!$A$2:$A$43,0)),"")</f>
        <v/>
      </c>
      <c r="D44" s="18" t="inlineStr">
        <is>
          <t>Scapular Pull-up</t>
        </is>
      </c>
      <c r="E44" s="19" t="n"/>
      <c r="F44" s="22" t="inlineStr">
        <is>
          <t>bw</t>
        </is>
      </c>
      <c r="G44" s="12">
        <f>IFERROR(INDEX(Ref!$C$2:$C$43,MATCH(D44,Ref!$A$2:$A$43,0)),"")</f>
        <v/>
      </c>
      <c r="H44" s="12">
        <f>IFERROR(INDEX(Ref!$D$2:$D$43,MATCH(D44,Ref!$A$2:$A$43,0)),"")</f>
        <v/>
      </c>
      <c r="I44" s="12">
        <f>IFERROR(INDEX(Ref!$E$2:$E$43,MATCH(D44,Ref!$A$2:$A$43,0)),"")</f>
        <v/>
      </c>
      <c r="J44" s="13">
        <f>IFERROR(IF(OR(E44="",F44="",ISNUMBER(FIND("bw",LOWER(TEXT(F44,"@"))))=TRUE()),"",ROUND(F44/E44,2)),"")</f>
        <v/>
      </c>
      <c r="K44" s="21" t="n"/>
    </row>
    <row r="45" ht="15" customHeight="1" s="103">
      <c r="A45" s="16" t="n">
        <v>45559</v>
      </c>
      <c r="B45" s="17" t="n">
        <v>48.4</v>
      </c>
      <c r="C45" s="8">
        <f>IFERROR(INDEX(Ref!$B$2:$B$43,MATCH(D45,Ref!$A$2:$A$43,0)),"")</f>
        <v/>
      </c>
      <c r="D45" s="18" t="inlineStr">
        <is>
          <t>ISO Scapular Pull</t>
        </is>
      </c>
      <c r="E45" s="19" t="n"/>
      <c r="F45" s="22" t="inlineStr">
        <is>
          <t>bw</t>
        </is>
      </c>
      <c r="G45" s="12">
        <f>IFERROR(INDEX(Ref!$C$2:$C$43,MATCH(D45,Ref!$A$2:$A$43,0)),"")</f>
        <v/>
      </c>
      <c r="H45" s="12">
        <f>IFERROR(INDEX(Ref!$D$2:$D$43,MATCH(D45,Ref!$A$2:$A$43,0)),"")</f>
        <v/>
      </c>
      <c r="I45" s="12">
        <f>IFERROR(INDEX(Ref!$E$2:$E$43,MATCH(D45,Ref!$A$2:$A$43,0)),"")</f>
        <v/>
      </c>
      <c r="J45" s="13">
        <f>IFERROR(IF(OR(E45="",F45="",ISNUMBER(FIND("bw",LOWER(TEXT(F45,"@"))))=TRUE()),"",ROUND(F45/E45,2)),"")</f>
        <v/>
      </c>
      <c r="K45" s="21" t="n"/>
    </row>
    <row r="46" ht="15" customHeight="1" s="103">
      <c r="A46" s="16" t="n">
        <v>45559</v>
      </c>
      <c r="B46" s="17" t="n">
        <v>48.4</v>
      </c>
      <c r="C46" s="8">
        <f>IFERROR(INDEX(Ref!$B$2:$B$43,MATCH(D46,Ref!$A$2:$A$43,0)),"")</f>
        <v/>
      </c>
      <c r="D46" s="18" t="inlineStr">
        <is>
          <t>1-Arm Scap. Pull-up</t>
        </is>
      </c>
      <c r="E46" s="19" t="n"/>
      <c r="F46" s="22" t="inlineStr">
        <is>
          <t>bw</t>
        </is>
      </c>
      <c r="G46" s="12">
        <f>IFERROR(INDEX(Ref!$C$2:$C$43,MATCH(D46,Ref!$A$2:$A$43,0)),"")</f>
        <v/>
      </c>
      <c r="H46" s="12">
        <f>IFERROR(INDEX(Ref!$D$2:$D$43,MATCH(D46,Ref!$A$2:$A$43,0)),"")</f>
        <v/>
      </c>
      <c r="I46" s="12">
        <f>IFERROR(INDEX(Ref!$E$2:$E$43,MATCH(D46,Ref!$A$2:$A$43,0)),"")</f>
        <v/>
      </c>
      <c r="J46" s="13">
        <f>IFERROR(IF(OR(E46="",F46="",ISNUMBER(FIND("bw",LOWER(TEXT(F46,"@"))))=TRUE()),"",ROUND(F46/E46,2)),"")</f>
        <v/>
      </c>
      <c r="K46" s="21" t="n"/>
    </row>
    <row r="47" ht="15" customHeight="1" s="103">
      <c r="A47" s="16" t="n">
        <v>45559</v>
      </c>
      <c r="B47" s="17" t="n">
        <v>48.4</v>
      </c>
      <c r="C47" s="8">
        <f>IFERROR(INDEX(Ref!$B$2:$B$43,MATCH(D47,Ref!$A$2:$A$43,0)),"")</f>
        <v/>
      </c>
      <c r="D47" s="18" t="inlineStr">
        <is>
          <t>Pull-up</t>
        </is>
      </c>
      <c r="E47" s="19" t="n"/>
      <c r="F47" s="22" t="inlineStr">
        <is>
          <t>bw</t>
        </is>
      </c>
      <c r="G47" s="12">
        <f>IFERROR(INDEX(Ref!$C$2:$C$43,MATCH(D47,Ref!$A$2:$A$43,0)),"")</f>
        <v/>
      </c>
      <c r="H47" s="12">
        <f>IFERROR(INDEX(Ref!$D$2:$D$43,MATCH(D47,Ref!$A$2:$A$43,0)),"")</f>
        <v/>
      </c>
      <c r="I47" s="12">
        <f>IFERROR(INDEX(Ref!$E$2:$E$43,MATCH(D47,Ref!$A$2:$A$43,0)),"")</f>
        <v/>
      </c>
      <c r="J47" s="13">
        <f>IFERROR(IF(OR(E47="",F47="",ISNUMBER(FIND("bw",LOWER(TEXT(F47,"@"))))=TRUE()),"",ROUND(F47/E47,2)),"")</f>
        <v/>
      </c>
      <c r="K47" s="21" t="n"/>
    </row>
    <row r="48" ht="15" customHeight="1" s="103">
      <c r="A48" s="16" t="n">
        <v>45559</v>
      </c>
      <c r="B48" s="17" t="n">
        <v>48.4</v>
      </c>
      <c r="C48" s="8">
        <f>IFERROR(INDEX(Ref!$B$2:$B$43,MATCH(D48,Ref!$A$2:$A$43,0)),"")</f>
        <v/>
      </c>
      <c r="D48" s="18" t="inlineStr">
        <is>
          <t>Lat Pulldown / Pull-up Bar</t>
        </is>
      </c>
      <c r="E48" s="19" t="n">
        <v>0.95</v>
      </c>
      <c r="F48" s="20" t="n">
        <v>41</v>
      </c>
      <c r="G48" s="12">
        <f>IFERROR(INDEX(Ref!$C$2:$C$43,MATCH(D48,Ref!$A$2:$A$43,0)),"")</f>
        <v/>
      </c>
      <c r="H48" s="12">
        <f>IFERROR(INDEX(Ref!$D$2:$D$43,MATCH(D48,Ref!$A$2:$A$43,0)),"")</f>
        <v/>
      </c>
      <c r="I48" s="12">
        <f>IFERROR(INDEX(Ref!$E$2:$E$43,MATCH(D48,Ref!$A$2:$A$43,0)),"")</f>
        <v/>
      </c>
      <c r="J48" s="13">
        <f>IFERROR(IF(OR(E48="",F48="",ISNUMBER(FIND("bw",LOWER(TEXT(F48,"@"))))=TRUE()),"",ROUND(F48/E48,2)),"")</f>
        <v/>
      </c>
      <c r="K48" s="21" t="n"/>
    </row>
    <row r="49" ht="15" customHeight="1" s="103">
      <c r="A49" s="16" t="n">
        <v>45559</v>
      </c>
      <c r="B49" s="17" t="n">
        <v>48.4</v>
      </c>
      <c r="C49" s="8">
        <f>IFERROR(INDEX(Ref!$B$2:$B$43,MATCH(D49,Ref!$A$2:$A$43,0)),"")</f>
        <v/>
      </c>
      <c r="D49" s="18" t="inlineStr">
        <is>
          <t>Rear Deltoid N1</t>
        </is>
      </c>
      <c r="E49" s="19" t="n">
        <v>0.95</v>
      </c>
      <c r="F49" s="20" t="n">
        <v>32</v>
      </c>
      <c r="G49" s="12">
        <f>IFERROR(INDEX(Ref!$C$2:$C$43,MATCH(D49,Ref!$A$2:$A$43,0)),"")</f>
        <v/>
      </c>
      <c r="H49" s="12">
        <f>IFERROR(INDEX(Ref!$D$2:$D$43,MATCH(D49,Ref!$A$2:$A$43,0)),"")</f>
        <v/>
      </c>
      <c r="I49" s="12">
        <f>IFERROR(INDEX(Ref!$E$2:$E$43,MATCH(D49,Ref!$A$2:$A$43,0)),"")</f>
        <v/>
      </c>
      <c r="J49" s="13">
        <f>IFERROR(IF(OR(E49="",F49="",ISNUMBER(FIND("bw",LOWER(TEXT(F49,"@"))))=TRUE()),"",ROUND(F49/E49,2)),"")</f>
        <v/>
      </c>
      <c r="K49" s="21" t="n"/>
    </row>
    <row r="50" ht="15" customHeight="1" s="103">
      <c r="A50" s="16" t="n">
        <v>45559</v>
      </c>
      <c r="B50" s="17" t="n">
        <v>48.4</v>
      </c>
      <c r="C50" s="8">
        <f>IFERROR(INDEX(Ref!$B$2:$B$43,MATCH(D50,Ref!$A$2:$A$43,0)),"")</f>
        <v/>
      </c>
      <c r="D50" s="18" t="inlineStr">
        <is>
          <t>Fly Deltoid N2</t>
        </is>
      </c>
      <c r="E50" s="19" t="n">
        <v>0.9</v>
      </c>
      <c r="F50" s="20" t="n">
        <v>39</v>
      </c>
      <c r="G50" s="12">
        <f>IFERROR(INDEX(Ref!$C$2:$C$43,MATCH(D50,Ref!$A$2:$A$43,0)),"")</f>
        <v/>
      </c>
      <c r="H50" s="12">
        <f>IFERROR(INDEX(Ref!$D$2:$D$43,MATCH(D50,Ref!$A$2:$A$43,0)),"")</f>
        <v/>
      </c>
      <c r="I50" s="12">
        <f>IFERROR(INDEX(Ref!$E$2:$E$43,MATCH(D50,Ref!$A$2:$A$43,0)),"")</f>
        <v/>
      </c>
      <c r="J50" s="13">
        <f>IFERROR(IF(OR(E50="",F50="",ISNUMBER(FIND("bw",LOWER(TEXT(F50,"@"))))=TRUE()),"",ROUND(F50/E50,2)),"")</f>
        <v/>
      </c>
      <c r="K50" s="21" t="n"/>
    </row>
    <row r="51" ht="15" customHeight="1" s="103">
      <c r="A51" s="16" t="n">
        <v>45559</v>
      </c>
      <c r="B51" s="17" t="n">
        <v>48.4</v>
      </c>
      <c r="C51" s="8">
        <f>IFERROR(INDEX(Ref!$B$2:$B$43,MATCH(D51,Ref!$A$2:$A$43,0)),"")</f>
        <v/>
      </c>
      <c r="D51" s="18" t="inlineStr">
        <is>
          <t>Shoulder Press</t>
        </is>
      </c>
      <c r="E51" s="19" t="n">
        <v>0.9</v>
      </c>
      <c r="F51" s="20" t="n">
        <v>10.4</v>
      </c>
      <c r="G51" s="12">
        <f>IFERROR(INDEX(Ref!$C$2:$C$43,MATCH(D51,Ref!$A$2:$A$43,0)),"")</f>
        <v/>
      </c>
      <c r="H51" s="12">
        <f>IFERROR(INDEX(Ref!$D$2:$D$43,MATCH(D51,Ref!$A$2:$A$43,0)),"")</f>
        <v/>
      </c>
      <c r="I51" s="12">
        <f>IFERROR(INDEX(Ref!$E$2:$E$43,MATCH(D51,Ref!$A$2:$A$43,0)),"")</f>
        <v/>
      </c>
      <c r="J51" s="13">
        <f>IFERROR(IF(OR(E51="",F51="",ISNUMBER(FIND("bw",LOWER(TEXT(F51,"@"))))=TRUE()),"",ROUND(F51/E51,2)),"")</f>
        <v/>
      </c>
      <c r="K51" s="21" t="n"/>
    </row>
    <row r="52" ht="15" customHeight="1" s="103">
      <c r="A52" s="16" t="n">
        <v>45559</v>
      </c>
      <c r="B52" s="17" t="n">
        <v>48.4</v>
      </c>
      <c r="C52" s="8">
        <f>IFERROR(INDEX(Ref!$B$2:$B$43,MATCH(D52,Ref!$A$2:$A$43,0)),"")</f>
        <v/>
      </c>
      <c r="D52" s="18" t="inlineStr">
        <is>
          <t>Chest Press</t>
        </is>
      </c>
      <c r="E52" s="19" t="n">
        <v>0.9</v>
      </c>
      <c r="F52" s="20" t="n">
        <v>29.6</v>
      </c>
      <c r="G52" s="12">
        <f>IFERROR(INDEX(Ref!$C$2:$C$43,MATCH(D52,Ref!$A$2:$A$43,0)),"")</f>
        <v/>
      </c>
      <c r="H52" s="12">
        <f>IFERROR(INDEX(Ref!$D$2:$D$43,MATCH(D52,Ref!$A$2:$A$43,0)),"")</f>
        <v/>
      </c>
      <c r="I52" s="12">
        <f>IFERROR(INDEX(Ref!$E$2:$E$43,MATCH(D52,Ref!$A$2:$A$43,0)),"")</f>
        <v/>
      </c>
      <c r="J52" s="13">
        <f>IFERROR(IF(OR(E52="",F52="",ISNUMBER(FIND("bw",LOWER(TEXT(F52,"@"))))=TRUE()),"",ROUND(F52/E52,2)),"")</f>
        <v/>
      </c>
      <c r="K52" s="21" t="n"/>
    </row>
    <row r="53" ht="15" customHeight="1" s="103">
      <c r="A53" s="16" t="n">
        <v>45559</v>
      </c>
      <c r="B53" s="17" t="n">
        <v>48.4</v>
      </c>
      <c r="C53" s="8">
        <f>IFERROR(INDEX(Ref!$B$2:$B$43,MATCH(D53,Ref!$A$2:$A$43,0)),"")</f>
        <v/>
      </c>
      <c r="D53" s="18" t="inlineStr">
        <is>
          <t>Cable Cross Over</t>
        </is>
      </c>
      <c r="E53" s="19" t="n">
        <v>0.9</v>
      </c>
      <c r="F53" s="20" t="n">
        <v>14</v>
      </c>
      <c r="G53" s="12">
        <f>IFERROR(INDEX(Ref!$C$2:$C$43,MATCH(D53,Ref!$A$2:$A$43,0)),"")</f>
        <v/>
      </c>
      <c r="H53" s="12">
        <f>IFERROR(INDEX(Ref!$D$2:$D$43,MATCH(D53,Ref!$A$2:$A$43,0)),"")</f>
        <v/>
      </c>
      <c r="I53" s="12">
        <f>IFERROR(INDEX(Ref!$E$2:$E$43,MATCH(D53,Ref!$A$2:$A$43,0)),"")</f>
        <v/>
      </c>
      <c r="J53" s="13">
        <f>IFERROR(IF(OR(E53="",F53="",ISNUMBER(FIND("bw",LOWER(TEXT(F53,"@"))))=TRUE()),"",ROUND(F53/E53,2)),"")</f>
        <v/>
      </c>
      <c r="K53" s="21" t="n"/>
    </row>
    <row r="54" ht="15" customHeight="1" s="103">
      <c r="A54" s="16" t="n">
        <v>45559</v>
      </c>
      <c r="B54" s="17" t="n">
        <v>48.4</v>
      </c>
      <c r="C54" s="8">
        <f>IFERROR(INDEX(Ref!$B$2:$B$43,MATCH(D54,Ref!$A$2:$A$43,0)),"")</f>
        <v/>
      </c>
      <c r="D54" s="18" t="inlineStr">
        <is>
          <t>Low Row</t>
        </is>
      </c>
      <c r="E54" s="19" t="n">
        <v>0.8</v>
      </c>
      <c r="F54" s="20" t="n">
        <v>32</v>
      </c>
      <c r="G54" s="12">
        <f>IFERROR(INDEX(Ref!$C$2:$C$43,MATCH(D54,Ref!$A$2:$A$43,0)),"")</f>
        <v/>
      </c>
      <c r="H54" s="12">
        <f>IFERROR(INDEX(Ref!$D$2:$D$43,MATCH(D54,Ref!$A$2:$A$43,0)),"")</f>
        <v/>
      </c>
      <c r="I54" s="12">
        <f>IFERROR(INDEX(Ref!$E$2:$E$43,MATCH(D54,Ref!$A$2:$A$43,0)),"")</f>
        <v/>
      </c>
      <c r="J54" s="13">
        <f>IFERROR(IF(OR(E54="",F54="",ISNUMBER(FIND("bw",LOWER(TEXT(F54,"@"))))=TRUE()),"",ROUND(F54/E54,2)),"")</f>
        <v/>
      </c>
      <c r="K54" s="21" t="n"/>
    </row>
    <row r="55" ht="15" customHeight="1" s="103">
      <c r="A55" s="16" t="n">
        <v>45559</v>
      </c>
      <c r="B55" s="17" t="n">
        <v>48.4</v>
      </c>
      <c r="C55" s="8">
        <f>IFERROR(INDEX(Ref!$B$2:$B$43,MATCH(D55,Ref!$A$2:$A$43,0)),"")</f>
        <v/>
      </c>
      <c r="D55" s="18" t="inlineStr">
        <is>
          <t>Shoulder Rotation</t>
        </is>
      </c>
      <c r="E55" s="19" t="n"/>
      <c r="F55" s="20" t="n">
        <v>2</v>
      </c>
      <c r="G55" s="12">
        <f>IFERROR(INDEX(Ref!$C$2:$C$43,MATCH(D55,Ref!$A$2:$A$43,0)),"")</f>
        <v/>
      </c>
      <c r="H55" s="12">
        <f>IFERROR(INDEX(Ref!$D$2:$D$43,MATCH(D55,Ref!$A$2:$A$43,0)),"")</f>
        <v/>
      </c>
      <c r="I55" s="12">
        <f>IFERROR(INDEX(Ref!$E$2:$E$43,MATCH(D55,Ref!$A$2:$A$43,0)),"")</f>
        <v/>
      </c>
      <c r="J55" s="13">
        <f>IFERROR(IF(OR(E55="",F55="",ISNUMBER(FIND("bw",LOWER(TEXT(F55,"@"))))=TRUE()),"",ROUND(F55/E55,2)),"")</f>
        <v/>
      </c>
      <c r="K55" s="21" t="n"/>
    </row>
    <row r="56" ht="15" customHeight="1" s="103">
      <c r="A56" s="16" t="n">
        <v>45559</v>
      </c>
      <c r="B56" s="17" t="n">
        <v>48.4</v>
      </c>
      <c r="C56" s="8">
        <f>IFERROR(INDEX(Ref!$B$2:$B$43,MATCH(D56,Ref!$A$2:$A$43,0)),"")</f>
        <v/>
      </c>
      <c r="D56" s="18" t="inlineStr">
        <is>
          <t>Biceps</t>
        </is>
      </c>
      <c r="E56" s="19" t="n">
        <v>0.85</v>
      </c>
      <c r="F56" s="20" t="n">
        <v>7</v>
      </c>
      <c r="G56" s="12">
        <f>IFERROR(INDEX(Ref!$C$2:$C$43,MATCH(D56,Ref!$A$2:$A$43,0)),"")</f>
        <v/>
      </c>
      <c r="H56" s="12">
        <f>IFERROR(INDEX(Ref!$D$2:$D$43,MATCH(D56,Ref!$A$2:$A$43,0)),"")</f>
        <v/>
      </c>
      <c r="I56" s="12">
        <f>IFERROR(INDEX(Ref!$E$2:$E$43,MATCH(D56,Ref!$A$2:$A$43,0)),"")</f>
        <v/>
      </c>
      <c r="J56" s="13">
        <f>IFERROR(IF(OR(E56="",F56="",ISNUMBER(FIND("bw",LOWER(TEXT(F56,"@"))))=TRUE()),"",ROUND(F56/E56,2)),"")</f>
        <v/>
      </c>
      <c r="K56" s="21" t="n"/>
    </row>
    <row r="57" ht="15" customHeight="1" s="103">
      <c r="A57" s="16" t="n">
        <v>45559</v>
      </c>
      <c r="B57" s="17" t="n">
        <v>48.4</v>
      </c>
      <c r="C57" s="8">
        <f>IFERROR(INDEX(Ref!$B$2:$B$43,MATCH(D57,Ref!$A$2:$A$43,0)),"")</f>
        <v/>
      </c>
      <c r="D57" s="18" t="inlineStr">
        <is>
          <t>Seated Row – Matrix</t>
        </is>
      </c>
      <c r="E57" s="19" t="n">
        <v>0.8</v>
      </c>
      <c r="F57" s="20" t="n">
        <v>26.3</v>
      </c>
      <c r="G57" s="12">
        <f>IFERROR(INDEX(Ref!$C$2:$C$43,MATCH(D57,Ref!$A$2:$A$43,0)),"")</f>
        <v/>
      </c>
      <c r="H57" s="12">
        <f>IFERROR(INDEX(Ref!$D$2:$D$43,MATCH(D57,Ref!$A$2:$A$43,0)),"")</f>
        <v/>
      </c>
      <c r="I57" s="12">
        <f>IFERROR(INDEX(Ref!$E$2:$E$43,MATCH(D57,Ref!$A$2:$A$43,0)),"")</f>
        <v/>
      </c>
      <c r="J57" s="13">
        <f>IFERROR(IF(OR(E57="",F57="",ISNUMBER(FIND("bw",LOWER(TEXT(F57,"@"))))=TRUE()),"",ROUND(F57/E57,2)),"")</f>
        <v/>
      </c>
      <c r="K57" s="21" t="n"/>
    </row>
    <row r="58" ht="15" customHeight="1" s="103">
      <c r="A58" s="16" t="n">
        <v>45559</v>
      </c>
      <c r="B58" s="17" t="n">
        <v>48.4</v>
      </c>
      <c r="C58" s="8">
        <f>IFERROR(INDEX(Ref!$B$2:$B$43,MATCH(D58,Ref!$A$2:$A$43,0)),"")</f>
        <v/>
      </c>
      <c r="D58" s="18" t="inlineStr">
        <is>
          <t>Wrist Extension</t>
        </is>
      </c>
      <c r="E58" s="19" t="n">
        <v>0.9</v>
      </c>
      <c r="F58" s="20" t="n">
        <v>4</v>
      </c>
      <c r="G58" s="12">
        <f>IFERROR(INDEX(Ref!$C$2:$C$43,MATCH(D58,Ref!$A$2:$A$43,0)),"")</f>
        <v/>
      </c>
      <c r="H58" s="12">
        <f>IFERROR(INDEX(Ref!$D$2:$D$43,MATCH(D58,Ref!$A$2:$A$43,0)),"")</f>
        <v/>
      </c>
      <c r="I58" s="12">
        <f>IFERROR(INDEX(Ref!$E$2:$E$43,MATCH(D58,Ref!$A$2:$A$43,0)),"")</f>
        <v/>
      </c>
      <c r="J58" s="13">
        <f>IFERROR(IF(OR(E58="",F58="",ISNUMBER(FIND("bw",LOWER(TEXT(F58,"@"))))=TRUE()),"",ROUND(F58/E58,2)),"")</f>
        <v/>
      </c>
      <c r="K58" s="21" t="n"/>
    </row>
    <row r="59" ht="15" customHeight="1" s="103">
      <c r="A59" s="16" t="n">
        <v>45559</v>
      </c>
      <c r="B59" s="17" t="n">
        <v>48.4</v>
      </c>
      <c r="C59" s="8">
        <f>IFERROR(INDEX(Ref!$B$2:$B$43,MATCH(D59,Ref!$A$2:$A$43,0)),"")</f>
        <v/>
      </c>
      <c r="D59" s="18" t="inlineStr">
        <is>
          <t>Wrist Internal</t>
        </is>
      </c>
      <c r="E59" s="19" t="n">
        <v>0.8</v>
      </c>
      <c r="F59" s="20" t="n">
        <v>6</v>
      </c>
      <c r="G59" s="12">
        <f>IFERROR(INDEX(Ref!$C$2:$C$43,MATCH(D59,Ref!$A$2:$A$43,0)),"")</f>
        <v/>
      </c>
      <c r="H59" s="12">
        <f>IFERROR(INDEX(Ref!$D$2:$D$43,MATCH(D59,Ref!$A$2:$A$43,0)),"")</f>
        <v/>
      </c>
      <c r="I59" s="12">
        <f>IFERROR(INDEX(Ref!$E$2:$E$43,MATCH(D59,Ref!$A$2:$A$43,0)),"")</f>
        <v/>
      </c>
      <c r="J59" s="13">
        <f>IFERROR(IF(OR(E59="",F59="",ISNUMBER(FIND("bw",LOWER(TEXT(F59,"@"))))=TRUE()),"",ROUND(F59/E59,2)),"")</f>
        <v/>
      </c>
      <c r="K59" s="21" t="n"/>
    </row>
    <row r="60" ht="15" customHeight="1" s="103">
      <c r="A60" s="16" t="n">
        <v>45559</v>
      </c>
      <c r="B60" s="17" t="n">
        <v>48.4</v>
      </c>
      <c r="C60" s="8">
        <f>IFERROR(INDEX(Ref!$B$2:$B$43,MATCH(D60,Ref!$A$2:$A$43,0)),"")</f>
        <v/>
      </c>
      <c r="D60" s="18" t="inlineStr">
        <is>
          <t>Wrist Curls Int Roll</t>
        </is>
      </c>
      <c r="E60" s="19" t="n">
        <v>1</v>
      </c>
      <c r="F60" s="20" t="n">
        <v>2.5</v>
      </c>
      <c r="G60" s="12">
        <f>IFERROR(INDEX(Ref!$C$2:$C$43,MATCH(D60,Ref!$A$2:$A$43,0)),"")</f>
        <v/>
      </c>
      <c r="H60" s="12">
        <f>IFERROR(INDEX(Ref!$D$2:$D$43,MATCH(D60,Ref!$A$2:$A$43,0)),"")</f>
        <v/>
      </c>
      <c r="I60" s="12">
        <f>IFERROR(INDEX(Ref!$E$2:$E$43,MATCH(D60,Ref!$A$2:$A$43,0)),"")</f>
        <v/>
      </c>
      <c r="J60" s="13">
        <f>IFERROR(IF(OR(E60="",F60="",ISNUMBER(FIND("bw",LOWER(TEXT(F60,"@"))))=TRUE()),"",ROUND(F60/E60,2)),"")</f>
        <v/>
      </c>
      <c r="K60" s="21" t="n"/>
    </row>
    <row r="61" ht="15" customHeight="1" s="103">
      <c r="A61" s="16" t="n">
        <v>45559</v>
      </c>
      <c r="B61" s="17" t="n">
        <v>48.4</v>
      </c>
      <c r="C61" s="8">
        <f>IFERROR(INDEX(Ref!$B$2:$B$43,MATCH(D61,Ref!$A$2:$A$43,0)),"")</f>
        <v/>
      </c>
      <c r="D61" s="18" t="inlineStr">
        <is>
          <t>Wrist Curls Ext Roll</t>
        </is>
      </c>
      <c r="E61" s="19" t="n">
        <v>1</v>
      </c>
      <c r="F61" s="20" t="n">
        <v>2.5</v>
      </c>
      <c r="G61" s="12">
        <f>IFERROR(INDEX(Ref!$C$2:$C$43,MATCH(D61,Ref!$A$2:$A$43,0)),"")</f>
        <v/>
      </c>
      <c r="H61" s="12">
        <f>IFERROR(INDEX(Ref!$D$2:$D$43,MATCH(D61,Ref!$A$2:$A$43,0)),"")</f>
        <v/>
      </c>
      <c r="I61" s="12">
        <f>IFERROR(INDEX(Ref!$E$2:$E$43,MATCH(D61,Ref!$A$2:$A$43,0)),"")</f>
        <v/>
      </c>
      <c r="J61" s="13">
        <f>IFERROR(IF(OR(E61="",F61="",ISNUMBER(FIND("bw",LOWER(TEXT(F61,"@"))))=TRUE()),"",ROUND(F61/E61,2)),"")</f>
        <v/>
      </c>
      <c r="K61" s="21" t="n"/>
    </row>
    <row r="63" ht="15" customHeight="1" s="103">
      <c r="A63" s="135" t="inlineStr">
        <is>
          <t>── Session 3:  12 Jan 2025  ·  Body weight: 48.5 kg  ──</t>
        </is>
      </c>
      <c r="B63" s="109" t="n"/>
      <c r="C63" s="109" t="n"/>
      <c r="D63" s="109" t="n"/>
      <c r="E63" s="109" t="n"/>
      <c r="F63" s="109" t="n"/>
      <c r="G63" s="109" t="n"/>
      <c r="H63" s="109" t="n"/>
      <c r="I63" s="109" t="n"/>
      <c r="J63" s="109" t="n"/>
      <c r="K63" s="110" t="n"/>
    </row>
    <row r="64" ht="15" customHeight="1" s="103">
      <c r="A64" s="6" t="n">
        <v>45669</v>
      </c>
      <c r="B64" s="7" t="n">
        <v>48.5</v>
      </c>
      <c r="C64" s="8">
        <f>IFERROR(INDEX(Ref!$B$2:$B$43,MATCH(D64,Ref!$A$2:$A$43,0)),"")</f>
        <v/>
      </c>
      <c r="D64" s="9" t="inlineStr">
        <is>
          <t>Hip Abductor</t>
        </is>
      </c>
      <c r="E64" s="10" t="n">
        <v>0.9</v>
      </c>
      <c r="F64" s="11" t="n">
        <v>35.1</v>
      </c>
      <c r="G64" s="12">
        <f>IFERROR(INDEX(Ref!$C$2:$C$43,MATCH(D64,Ref!$A$2:$A$43,0)),"")</f>
        <v/>
      </c>
      <c r="H64" s="12">
        <f>IFERROR(INDEX(Ref!$D$2:$D$43,MATCH(D64,Ref!$A$2:$A$43,0)),"")</f>
        <v/>
      </c>
      <c r="I64" s="12">
        <f>IFERROR(INDEX(Ref!$E$2:$E$43,MATCH(D64,Ref!$A$2:$A$43,0)),"")</f>
        <v/>
      </c>
      <c r="J64" s="13">
        <f>IFERROR(IF(OR(E64="",F64="",ISNUMBER(FIND("bw",LOWER(TEXT(F64,"@"))))=TRUE()),"",ROUND(F64/E64,2)),"")</f>
        <v/>
      </c>
      <c r="K64" s="14" t="n"/>
    </row>
    <row r="65" ht="15" customHeight="1" s="103">
      <c r="A65" s="6" t="n">
        <v>45669</v>
      </c>
      <c r="B65" s="7" t="n">
        <v>48.5</v>
      </c>
      <c r="C65" s="8">
        <f>IFERROR(INDEX(Ref!$B$2:$B$43,MATCH(D65,Ref!$A$2:$A$43,0)),"")</f>
        <v/>
      </c>
      <c r="D65" s="9" t="inlineStr">
        <is>
          <t>Hip Adductor</t>
        </is>
      </c>
      <c r="E65" s="10" t="n">
        <v>0.95</v>
      </c>
      <c r="F65" s="11" t="n">
        <v>30.4</v>
      </c>
      <c r="G65" s="12">
        <f>IFERROR(INDEX(Ref!$C$2:$C$43,MATCH(D65,Ref!$A$2:$A$43,0)),"")</f>
        <v/>
      </c>
      <c r="H65" s="12">
        <f>IFERROR(INDEX(Ref!$D$2:$D$43,MATCH(D65,Ref!$A$2:$A$43,0)),"")</f>
        <v/>
      </c>
      <c r="I65" s="12">
        <f>IFERROR(INDEX(Ref!$E$2:$E$43,MATCH(D65,Ref!$A$2:$A$43,0)),"")</f>
        <v/>
      </c>
      <c r="J65" s="13">
        <f>IFERROR(IF(OR(E65="",F65="",ISNUMBER(FIND("bw",LOWER(TEXT(F65,"@"))))=TRUE()),"",ROUND(F65/E65,2)),"")</f>
        <v/>
      </c>
      <c r="K65" s="14" t="n"/>
    </row>
    <row r="66" ht="15" customHeight="1" s="103">
      <c r="A66" s="6" t="n">
        <v>45669</v>
      </c>
      <c r="B66" s="7" t="n">
        <v>48.5</v>
      </c>
      <c r="C66" s="8">
        <f>IFERROR(INDEX(Ref!$B$2:$B$43,MATCH(D66,Ref!$A$2:$A$43,0)),"")</f>
        <v/>
      </c>
      <c r="D66" s="9" t="inlineStr">
        <is>
          <t>Ext. Quadriceps</t>
        </is>
      </c>
      <c r="E66" s="10" t="n">
        <v>0.9</v>
      </c>
      <c r="F66" s="11" t="n">
        <v>24.57</v>
      </c>
      <c r="G66" s="12">
        <f>IFERROR(INDEX(Ref!$C$2:$C$43,MATCH(D66,Ref!$A$2:$A$43,0)),"")</f>
        <v/>
      </c>
      <c r="H66" s="12">
        <f>IFERROR(INDEX(Ref!$D$2:$D$43,MATCH(D66,Ref!$A$2:$A$43,0)),"")</f>
        <v/>
      </c>
      <c r="I66" s="12">
        <f>IFERROR(INDEX(Ref!$E$2:$E$43,MATCH(D66,Ref!$A$2:$A$43,0)),"")</f>
        <v/>
      </c>
      <c r="J66" s="13">
        <f>IFERROR(IF(OR(E66="",F66="",ISNUMBER(FIND("bw",LOWER(TEXT(F66,"@"))))=TRUE()),"",ROUND(F66/E66,2)),"")</f>
        <v/>
      </c>
      <c r="K66" s="14" t="n"/>
    </row>
    <row r="67" ht="15" customHeight="1" s="103">
      <c r="A67" s="6" t="n">
        <v>45669</v>
      </c>
      <c r="B67" s="7" t="n">
        <v>48.5</v>
      </c>
      <c r="C67" s="8">
        <f>IFERROR(INDEX(Ref!$B$2:$B$43,MATCH(D67,Ref!$A$2:$A$43,0)),"")</f>
        <v/>
      </c>
      <c r="D67" s="9" t="inlineStr">
        <is>
          <t>Prone Leg Curl</t>
        </is>
      </c>
      <c r="E67" s="10" t="n">
        <v>0.9</v>
      </c>
      <c r="F67" s="11" t="n">
        <v>12.6</v>
      </c>
      <c r="G67" s="12">
        <f>IFERROR(INDEX(Ref!$C$2:$C$43,MATCH(D67,Ref!$A$2:$A$43,0)),"")</f>
        <v/>
      </c>
      <c r="H67" s="12">
        <f>IFERROR(INDEX(Ref!$D$2:$D$43,MATCH(D67,Ref!$A$2:$A$43,0)),"")</f>
        <v/>
      </c>
      <c r="I67" s="12">
        <f>IFERROR(INDEX(Ref!$E$2:$E$43,MATCH(D67,Ref!$A$2:$A$43,0)),"")</f>
        <v/>
      </c>
      <c r="J67" s="13">
        <f>IFERROR(IF(OR(E67="",F67="",ISNUMBER(FIND("bw",LOWER(TEXT(F67,"@"))))=TRUE()),"",ROUND(F67/E67,2)),"")</f>
        <v/>
      </c>
      <c r="K67" s="14" t="n"/>
    </row>
    <row r="68" ht="15" customHeight="1" s="103">
      <c r="A68" s="6" t="n">
        <v>45669</v>
      </c>
      <c r="B68" s="7" t="n">
        <v>48.5</v>
      </c>
      <c r="C68" s="8">
        <f>IFERROR(INDEX(Ref!$B$2:$B$43,MATCH(D68,Ref!$A$2:$A$43,0)),"")</f>
        <v/>
      </c>
      <c r="D68" s="9" t="inlineStr">
        <is>
          <t>Plank</t>
        </is>
      </c>
      <c r="E68" s="10" t="n">
        <v>0.5</v>
      </c>
      <c r="F68" s="15" t="inlineStr">
        <is>
          <t>bw</t>
        </is>
      </c>
      <c r="G68" s="12">
        <f>IFERROR(INDEX(Ref!$C$2:$C$43,MATCH(D68,Ref!$A$2:$A$43,0)),"")</f>
        <v/>
      </c>
      <c r="H68" s="12">
        <f>IFERROR(INDEX(Ref!$D$2:$D$43,MATCH(D68,Ref!$A$2:$A$43,0)),"")</f>
        <v/>
      </c>
      <c r="I68" s="12">
        <f>IFERROR(INDEX(Ref!$E$2:$E$43,MATCH(D68,Ref!$A$2:$A$43,0)),"")</f>
        <v/>
      </c>
      <c r="J68" s="13">
        <f>IFERROR(IF(OR(E68="",F68="",ISNUMBER(FIND("bw",LOWER(TEXT(F68,"@"))))=TRUE()),"",ROUND(F68/E68,2)),"")</f>
        <v/>
      </c>
      <c r="K68" s="14" t="n"/>
    </row>
    <row r="69" ht="15" customHeight="1" s="103">
      <c r="A69" s="6" t="n">
        <v>45669</v>
      </c>
      <c r="B69" s="7" t="n">
        <v>48.5</v>
      </c>
      <c r="C69" s="8">
        <f>IFERROR(INDEX(Ref!$B$2:$B$43,MATCH(D69,Ref!$A$2:$A$43,0)),"")</f>
        <v/>
      </c>
      <c r="D69" s="9" t="inlineStr">
        <is>
          <t>Russian Sit-ups</t>
        </is>
      </c>
      <c r="E69" s="10" t="n">
        <v>0.65</v>
      </c>
      <c r="F69" s="11" t="n">
        <v>6</v>
      </c>
      <c r="G69" s="12">
        <f>IFERROR(INDEX(Ref!$C$2:$C$43,MATCH(D69,Ref!$A$2:$A$43,0)),"")</f>
        <v/>
      </c>
      <c r="H69" s="12">
        <f>IFERROR(INDEX(Ref!$D$2:$D$43,MATCH(D69,Ref!$A$2:$A$43,0)),"")</f>
        <v/>
      </c>
      <c r="I69" s="12">
        <f>IFERROR(INDEX(Ref!$E$2:$E$43,MATCH(D69,Ref!$A$2:$A$43,0)),"")</f>
        <v/>
      </c>
      <c r="J69" s="13">
        <f>IFERROR(IF(OR(E69="",F69="",ISNUMBER(FIND("bw",LOWER(TEXT(F69,"@"))))=TRUE()),"",ROUND(F69/E69,2)),"")</f>
        <v/>
      </c>
      <c r="K69" s="14" t="n"/>
    </row>
    <row r="70" ht="15" customHeight="1" s="103">
      <c r="A70" s="6" t="n">
        <v>45669</v>
      </c>
      <c r="B70" s="7" t="n">
        <v>48.5</v>
      </c>
      <c r="C70" s="8">
        <f>IFERROR(INDEX(Ref!$B$2:$B$43,MATCH(D70,Ref!$A$2:$A$43,0)),"")</f>
        <v/>
      </c>
      <c r="D70" s="9" t="inlineStr">
        <is>
          <t>Floor ABS Rotation</t>
        </is>
      </c>
      <c r="E70" s="10" t="n">
        <v>0.8</v>
      </c>
      <c r="F70" s="15" t="inlineStr">
        <is>
          <t>2x3</t>
        </is>
      </c>
      <c r="G70" s="12">
        <f>IFERROR(INDEX(Ref!$C$2:$C$43,MATCH(D70,Ref!$A$2:$A$43,0)),"")</f>
        <v/>
      </c>
      <c r="H70" s="12">
        <f>IFERROR(INDEX(Ref!$D$2:$D$43,MATCH(D70,Ref!$A$2:$A$43,0)),"")</f>
        <v/>
      </c>
      <c r="I70" s="12">
        <f>IFERROR(INDEX(Ref!$E$2:$E$43,MATCH(D70,Ref!$A$2:$A$43,0)),"")</f>
        <v/>
      </c>
      <c r="J70" s="13">
        <f>IFERROR(IF(OR(E70="",F70="",ISNUMBER(FIND("bw",LOWER(TEXT(F70,"@"))))=TRUE()),"",ROUND(F70/E70,2)),"")</f>
        <v/>
      </c>
      <c r="K70" s="14" t="n"/>
    </row>
    <row r="71" ht="15" customHeight="1" s="103">
      <c r="A71" s="6" t="n">
        <v>45669</v>
      </c>
      <c r="B71" s="7" t="n">
        <v>48.5</v>
      </c>
      <c r="C71" s="8">
        <f>IFERROR(INDEX(Ref!$B$2:$B$43,MATCH(D71,Ref!$A$2:$A$43,0)),"")</f>
        <v/>
      </c>
      <c r="D71" s="9" t="inlineStr">
        <is>
          <t>Leg + Arms Ups</t>
        </is>
      </c>
      <c r="E71" s="10" t="n">
        <v>0.95</v>
      </c>
      <c r="F71" s="11" t="n">
        <v>12</v>
      </c>
      <c r="G71" s="12">
        <f>IFERROR(INDEX(Ref!$C$2:$C$43,MATCH(D71,Ref!$A$2:$A$43,0)),"")</f>
        <v/>
      </c>
      <c r="H71" s="12">
        <f>IFERROR(INDEX(Ref!$D$2:$D$43,MATCH(D71,Ref!$A$2:$A$43,0)),"")</f>
        <v/>
      </c>
      <c r="I71" s="12">
        <f>IFERROR(INDEX(Ref!$E$2:$E$43,MATCH(D71,Ref!$A$2:$A$43,0)),"")</f>
        <v/>
      </c>
      <c r="J71" s="13">
        <f>IFERROR(IF(OR(E71="",F71="",ISNUMBER(FIND("bw",LOWER(TEXT(F71,"@"))))=TRUE()),"",ROUND(F71/E71,2)),"")</f>
        <v/>
      </c>
      <c r="K71" s="14" t="n"/>
    </row>
    <row r="72" ht="15" customHeight="1" s="103">
      <c r="A72" s="6" t="n">
        <v>45669</v>
      </c>
      <c r="B72" s="7" t="n">
        <v>48.5</v>
      </c>
      <c r="C72" s="8">
        <f>IFERROR(INDEX(Ref!$B$2:$B$43,MATCH(D72,Ref!$A$2:$A$43,0)),"")</f>
        <v/>
      </c>
      <c r="D72" s="9" t="inlineStr">
        <is>
          <t>Matrix Abd. N4</t>
        </is>
      </c>
      <c r="E72" s="10" t="n">
        <v>0.85</v>
      </c>
      <c r="F72" s="11" t="n">
        <v>4</v>
      </c>
      <c r="G72" s="12">
        <f>IFERROR(INDEX(Ref!$C$2:$C$43,MATCH(D72,Ref!$A$2:$A$43,0)),"")</f>
        <v/>
      </c>
      <c r="H72" s="12">
        <f>IFERROR(INDEX(Ref!$D$2:$D$43,MATCH(D72,Ref!$A$2:$A$43,0)),"")</f>
        <v/>
      </c>
      <c r="I72" s="12">
        <f>IFERROR(INDEX(Ref!$E$2:$E$43,MATCH(D72,Ref!$A$2:$A$43,0)),"")</f>
        <v/>
      </c>
      <c r="J72" s="13">
        <f>IFERROR(IF(OR(E72="",F72="",ISNUMBER(FIND("bw",LOWER(TEXT(F72,"@"))))=TRUE()),"",ROUND(F72/E72,2)),"")</f>
        <v/>
      </c>
      <c r="K72" s="14" t="n"/>
    </row>
    <row r="73" ht="15" customHeight="1" s="103">
      <c r="A73" s="6" t="n">
        <v>45669</v>
      </c>
      <c r="B73" s="7" t="n">
        <v>48.5</v>
      </c>
      <c r="C73" s="8">
        <f>IFERROR(INDEX(Ref!$B$2:$B$43,MATCH(D73,Ref!$A$2:$A$43,0)),"")</f>
        <v/>
      </c>
      <c r="D73" s="9" t="inlineStr">
        <is>
          <t>Matrix Abd. Up</t>
        </is>
      </c>
      <c r="E73" s="10" t="n">
        <v>0.9</v>
      </c>
      <c r="F73" s="11" t="n">
        <v>10</v>
      </c>
      <c r="G73" s="12">
        <f>IFERROR(INDEX(Ref!$C$2:$C$43,MATCH(D73,Ref!$A$2:$A$43,0)),"")</f>
        <v/>
      </c>
      <c r="H73" s="12">
        <f>IFERROR(INDEX(Ref!$D$2:$D$43,MATCH(D73,Ref!$A$2:$A$43,0)),"")</f>
        <v/>
      </c>
      <c r="I73" s="12">
        <f>IFERROR(INDEX(Ref!$E$2:$E$43,MATCH(D73,Ref!$A$2:$A$43,0)),"")</f>
        <v/>
      </c>
      <c r="J73" s="13">
        <f>IFERROR(IF(OR(E73="",F73="",ISNUMBER(FIND("bw",LOWER(TEXT(F73,"@"))))=TRUE()),"",ROUND(F73/E73,2)),"")</f>
        <v/>
      </c>
      <c r="K73" s="14" t="n"/>
    </row>
    <row r="74" ht="15" customHeight="1" s="103">
      <c r="A74" s="6" t="n">
        <v>45669</v>
      </c>
      <c r="B74" s="7" t="n">
        <v>48.5</v>
      </c>
      <c r="C74" s="8">
        <f>IFERROR(INDEX(Ref!$B$2:$B$43,MATCH(D74,Ref!$A$2:$A$43,0)),"")</f>
        <v/>
      </c>
      <c r="D74" s="9" t="inlineStr">
        <is>
          <t>Scapular Pull-up</t>
        </is>
      </c>
      <c r="E74" s="10" t="n"/>
      <c r="F74" s="15" t="inlineStr">
        <is>
          <t>bw</t>
        </is>
      </c>
      <c r="G74" s="12">
        <f>IFERROR(INDEX(Ref!$C$2:$C$43,MATCH(D74,Ref!$A$2:$A$43,0)),"")</f>
        <v/>
      </c>
      <c r="H74" s="12">
        <f>IFERROR(INDEX(Ref!$D$2:$D$43,MATCH(D74,Ref!$A$2:$A$43,0)),"")</f>
        <v/>
      </c>
      <c r="I74" s="12">
        <f>IFERROR(INDEX(Ref!$E$2:$E$43,MATCH(D74,Ref!$A$2:$A$43,0)),"")</f>
        <v/>
      </c>
      <c r="J74" s="13">
        <f>IFERROR(IF(OR(E74="",F74="",ISNUMBER(FIND("bw",LOWER(TEXT(F74,"@"))))=TRUE()),"",ROUND(F74/E74,2)),"")</f>
        <v/>
      </c>
      <c r="K74" s="14" t="n"/>
    </row>
    <row r="75" ht="15" customHeight="1" s="103">
      <c r="A75" s="6" t="n">
        <v>45669</v>
      </c>
      <c r="B75" s="7" t="n">
        <v>48.5</v>
      </c>
      <c r="C75" s="8">
        <f>IFERROR(INDEX(Ref!$B$2:$B$43,MATCH(D75,Ref!$A$2:$A$43,0)),"")</f>
        <v/>
      </c>
      <c r="D75" s="9" t="inlineStr">
        <is>
          <t>ISO Scapular Pull</t>
        </is>
      </c>
      <c r="E75" s="10" t="n"/>
      <c r="F75" s="15" t="inlineStr">
        <is>
          <t>bw</t>
        </is>
      </c>
      <c r="G75" s="12">
        <f>IFERROR(INDEX(Ref!$C$2:$C$43,MATCH(D75,Ref!$A$2:$A$43,0)),"")</f>
        <v/>
      </c>
      <c r="H75" s="12">
        <f>IFERROR(INDEX(Ref!$D$2:$D$43,MATCH(D75,Ref!$A$2:$A$43,0)),"")</f>
        <v/>
      </c>
      <c r="I75" s="12">
        <f>IFERROR(INDEX(Ref!$E$2:$E$43,MATCH(D75,Ref!$A$2:$A$43,0)),"")</f>
        <v/>
      </c>
      <c r="J75" s="13">
        <f>IFERROR(IF(OR(E75="",F75="",ISNUMBER(FIND("bw",LOWER(TEXT(F75,"@"))))=TRUE()),"",ROUND(F75/E75,2)),"")</f>
        <v/>
      </c>
      <c r="K75" s="14" t="n"/>
    </row>
    <row r="76" ht="15" customHeight="1" s="103">
      <c r="A76" s="6" t="n">
        <v>45669</v>
      </c>
      <c r="B76" s="7" t="n">
        <v>48.5</v>
      </c>
      <c r="C76" s="8">
        <f>IFERROR(INDEX(Ref!$B$2:$B$43,MATCH(D76,Ref!$A$2:$A$43,0)),"")</f>
        <v/>
      </c>
      <c r="D76" s="9" t="inlineStr">
        <is>
          <t>1-Arm Scap. Pull-up</t>
        </is>
      </c>
      <c r="E76" s="10" t="n"/>
      <c r="F76" s="15" t="inlineStr">
        <is>
          <t>bw</t>
        </is>
      </c>
      <c r="G76" s="12">
        <f>IFERROR(INDEX(Ref!$C$2:$C$43,MATCH(D76,Ref!$A$2:$A$43,0)),"")</f>
        <v/>
      </c>
      <c r="H76" s="12">
        <f>IFERROR(INDEX(Ref!$D$2:$D$43,MATCH(D76,Ref!$A$2:$A$43,0)),"")</f>
        <v/>
      </c>
      <c r="I76" s="12">
        <f>IFERROR(INDEX(Ref!$E$2:$E$43,MATCH(D76,Ref!$A$2:$A$43,0)),"")</f>
        <v/>
      </c>
      <c r="J76" s="13">
        <f>IFERROR(IF(OR(E76="",F76="",ISNUMBER(FIND("bw",LOWER(TEXT(F76,"@"))))=TRUE()),"",ROUND(F76/E76,2)),"")</f>
        <v/>
      </c>
      <c r="K76" s="14" t="n"/>
    </row>
    <row r="77" ht="15" customHeight="1" s="103">
      <c r="A77" s="6" t="n">
        <v>45669</v>
      </c>
      <c r="B77" s="7" t="n">
        <v>48.5</v>
      </c>
      <c r="C77" s="8">
        <f>IFERROR(INDEX(Ref!$B$2:$B$43,MATCH(D77,Ref!$A$2:$A$43,0)),"")</f>
        <v/>
      </c>
      <c r="D77" s="9" t="inlineStr">
        <is>
          <t>Pull-up</t>
        </is>
      </c>
      <c r="E77" s="10" t="n"/>
      <c r="F77" s="15" t="inlineStr">
        <is>
          <t>bw</t>
        </is>
      </c>
      <c r="G77" s="12">
        <f>IFERROR(INDEX(Ref!$C$2:$C$43,MATCH(D77,Ref!$A$2:$A$43,0)),"")</f>
        <v/>
      </c>
      <c r="H77" s="12">
        <f>IFERROR(INDEX(Ref!$D$2:$D$43,MATCH(D77,Ref!$A$2:$A$43,0)),"")</f>
        <v/>
      </c>
      <c r="I77" s="12">
        <f>IFERROR(INDEX(Ref!$E$2:$E$43,MATCH(D77,Ref!$A$2:$A$43,0)),"")</f>
        <v/>
      </c>
      <c r="J77" s="13">
        <f>IFERROR(IF(OR(E77="",F77="",ISNUMBER(FIND("bw",LOWER(TEXT(F77,"@"))))=TRUE()),"",ROUND(F77/E77,2)),"")</f>
        <v/>
      </c>
      <c r="K77" s="14" t="n"/>
    </row>
    <row r="78" ht="15" customHeight="1" s="103">
      <c r="A78" s="6" t="n">
        <v>45669</v>
      </c>
      <c r="B78" s="7" t="n">
        <v>48.5</v>
      </c>
      <c r="C78" s="8">
        <f>IFERROR(INDEX(Ref!$B$2:$B$43,MATCH(D78,Ref!$A$2:$A$43,0)),"")</f>
        <v/>
      </c>
      <c r="D78" s="9" t="inlineStr">
        <is>
          <t>Lat Pulldown / Pull-up Bar</t>
        </is>
      </c>
      <c r="E78" s="10" t="n">
        <v>0.95</v>
      </c>
      <c r="F78" s="11" t="n">
        <v>41</v>
      </c>
      <c r="G78" s="12">
        <f>IFERROR(INDEX(Ref!$C$2:$C$43,MATCH(D78,Ref!$A$2:$A$43,0)),"")</f>
        <v/>
      </c>
      <c r="H78" s="12">
        <f>IFERROR(INDEX(Ref!$D$2:$D$43,MATCH(D78,Ref!$A$2:$A$43,0)),"")</f>
        <v/>
      </c>
      <c r="I78" s="12">
        <f>IFERROR(INDEX(Ref!$E$2:$E$43,MATCH(D78,Ref!$A$2:$A$43,0)),"")</f>
        <v/>
      </c>
      <c r="J78" s="13">
        <f>IFERROR(IF(OR(E78="",F78="",ISNUMBER(FIND("bw",LOWER(TEXT(F78,"@"))))=TRUE()),"",ROUND(F78/E78,2)),"")</f>
        <v/>
      </c>
      <c r="K78" s="14" t="n"/>
    </row>
    <row r="79" ht="15" customHeight="1" s="103">
      <c r="A79" s="6" t="n">
        <v>45669</v>
      </c>
      <c r="B79" s="7" t="n">
        <v>48.5</v>
      </c>
      <c r="C79" s="8">
        <f>IFERROR(INDEX(Ref!$B$2:$B$43,MATCH(D79,Ref!$A$2:$A$43,0)),"")</f>
        <v/>
      </c>
      <c r="D79" s="9" t="inlineStr">
        <is>
          <t>Rear Deltoid N1</t>
        </is>
      </c>
      <c r="E79" s="10" t="n">
        <v>0.95</v>
      </c>
      <c r="F79" s="11" t="n">
        <v>32</v>
      </c>
      <c r="G79" s="12">
        <f>IFERROR(INDEX(Ref!$C$2:$C$43,MATCH(D79,Ref!$A$2:$A$43,0)),"")</f>
        <v/>
      </c>
      <c r="H79" s="12">
        <f>IFERROR(INDEX(Ref!$D$2:$D$43,MATCH(D79,Ref!$A$2:$A$43,0)),"")</f>
        <v/>
      </c>
      <c r="I79" s="12">
        <f>IFERROR(INDEX(Ref!$E$2:$E$43,MATCH(D79,Ref!$A$2:$A$43,0)),"")</f>
        <v/>
      </c>
      <c r="J79" s="13">
        <f>IFERROR(IF(OR(E79="",F79="",ISNUMBER(FIND("bw",LOWER(TEXT(F79,"@"))))=TRUE()),"",ROUND(F79/E79,2)),"")</f>
        <v/>
      </c>
      <c r="K79" s="14" t="n"/>
    </row>
    <row r="80" ht="15" customHeight="1" s="103">
      <c r="A80" s="6" t="n">
        <v>45669</v>
      </c>
      <c r="B80" s="7" t="n">
        <v>48.5</v>
      </c>
      <c r="C80" s="8">
        <f>IFERROR(INDEX(Ref!$B$2:$B$43,MATCH(D80,Ref!$A$2:$A$43,0)),"")</f>
        <v/>
      </c>
      <c r="D80" s="9" t="inlineStr">
        <is>
          <t>Fly Deltoid N2</t>
        </is>
      </c>
      <c r="E80" s="10" t="n">
        <v>0.9</v>
      </c>
      <c r="F80" s="11" t="n">
        <v>39</v>
      </c>
      <c r="G80" s="12">
        <f>IFERROR(INDEX(Ref!$C$2:$C$43,MATCH(D80,Ref!$A$2:$A$43,0)),"")</f>
        <v/>
      </c>
      <c r="H80" s="12">
        <f>IFERROR(INDEX(Ref!$D$2:$D$43,MATCH(D80,Ref!$A$2:$A$43,0)),"")</f>
        <v/>
      </c>
      <c r="I80" s="12">
        <f>IFERROR(INDEX(Ref!$E$2:$E$43,MATCH(D80,Ref!$A$2:$A$43,0)),"")</f>
        <v/>
      </c>
      <c r="J80" s="13">
        <f>IFERROR(IF(OR(E80="",F80="",ISNUMBER(FIND("bw",LOWER(TEXT(F80,"@"))))=TRUE()),"",ROUND(F80/E80,2)),"")</f>
        <v/>
      </c>
      <c r="K80" s="14" t="n"/>
    </row>
    <row r="81" ht="15" customHeight="1" s="103">
      <c r="A81" s="6" t="n">
        <v>45669</v>
      </c>
      <c r="B81" s="7" t="n">
        <v>48.5</v>
      </c>
      <c r="C81" s="8">
        <f>IFERROR(INDEX(Ref!$B$2:$B$43,MATCH(D81,Ref!$A$2:$A$43,0)),"")</f>
        <v/>
      </c>
      <c r="D81" s="9" t="inlineStr">
        <is>
          <t>Shoulder Press</t>
        </is>
      </c>
      <c r="E81" s="10" t="n">
        <v>0.9</v>
      </c>
      <c r="F81" s="11" t="n">
        <v>10.4</v>
      </c>
      <c r="G81" s="12">
        <f>IFERROR(INDEX(Ref!$C$2:$C$43,MATCH(D81,Ref!$A$2:$A$43,0)),"")</f>
        <v/>
      </c>
      <c r="H81" s="12">
        <f>IFERROR(INDEX(Ref!$D$2:$D$43,MATCH(D81,Ref!$A$2:$A$43,0)),"")</f>
        <v/>
      </c>
      <c r="I81" s="12">
        <f>IFERROR(INDEX(Ref!$E$2:$E$43,MATCH(D81,Ref!$A$2:$A$43,0)),"")</f>
        <v/>
      </c>
      <c r="J81" s="13">
        <f>IFERROR(IF(OR(E81="",F81="",ISNUMBER(FIND("bw",LOWER(TEXT(F81,"@"))))=TRUE()),"",ROUND(F81/E81,2)),"")</f>
        <v/>
      </c>
      <c r="K81" s="14" t="n"/>
    </row>
    <row r="82" ht="15" customHeight="1" s="103">
      <c r="A82" s="6" t="n">
        <v>45669</v>
      </c>
      <c r="B82" s="7" t="n">
        <v>48.5</v>
      </c>
      <c r="C82" s="8">
        <f>IFERROR(INDEX(Ref!$B$2:$B$43,MATCH(D82,Ref!$A$2:$A$43,0)),"")</f>
        <v/>
      </c>
      <c r="D82" s="9" t="inlineStr">
        <is>
          <t>Chest Press</t>
        </is>
      </c>
      <c r="E82" s="10" t="n">
        <v>0.9</v>
      </c>
      <c r="F82" s="11" t="n">
        <v>29.6</v>
      </c>
      <c r="G82" s="12">
        <f>IFERROR(INDEX(Ref!$C$2:$C$43,MATCH(D82,Ref!$A$2:$A$43,0)),"")</f>
        <v/>
      </c>
      <c r="H82" s="12">
        <f>IFERROR(INDEX(Ref!$D$2:$D$43,MATCH(D82,Ref!$A$2:$A$43,0)),"")</f>
        <v/>
      </c>
      <c r="I82" s="12">
        <f>IFERROR(INDEX(Ref!$E$2:$E$43,MATCH(D82,Ref!$A$2:$A$43,0)),"")</f>
        <v/>
      </c>
      <c r="J82" s="13">
        <f>IFERROR(IF(OR(E82="",F82="",ISNUMBER(FIND("bw",LOWER(TEXT(F82,"@"))))=TRUE()),"",ROUND(F82/E82,2)),"")</f>
        <v/>
      </c>
      <c r="K82" s="14" t="n"/>
    </row>
    <row r="83" ht="15" customHeight="1" s="103">
      <c r="A83" s="6" t="n">
        <v>45669</v>
      </c>
      <c r="B83" s="7" t="n">
        <v>48.5</v>
      </c>
      <c r="C83" s="8">
        <f>IFERROR(INDEX(Ref!$B$2:$B$43,MATCH(D83,Ref!$A$2:$A$43,0)),"")</f>
        <v/>
      </c>
      <c r="D83" s="9" t="inlineStr">
        <is>
          <t>Cable Cross Over</t>
        </is>
      </c>
      <c r="E83" s="10" t="n">
        <v>0.9</v>
      </c>
      <c r="F83" s="11" t="n">
        <v>14</v>
      </c>
      <c r="G83" s="12">
        <f>IFERROR(INDEX(Ref!$C$2:$C$43,MATCH(D83,Ref!$A$2:$A$43,0)),"")</f>
        <v/>
      </c>
      <c r="H83" s="12">
        <f>IFERROR(INDEX(Ref!$D$2:$D$43,MATCH(D83,Ref!$A$2:$A$43,0)),"")</f>
        <v/>
      </c>
      <c r="I83" s="12">
        <f>IFERROR(INDEX(Ref!$E$2:$E$43,MATCH(D83,Ref!$A$2:$A$43,0)),"")</f>
        <v/>
      </c>
      <c r="J83" s="13">
        <f>IFERROR(IF(OR(E83="",F83="",ISNUMBER(FIND("bw",LOWER(TEXT(F83,"@"))))=TRUE()),"",ROUND(F83/E83,2)),"")</f>
        <v/>
      </c>
      <c r="K83" s="14" t="n"/>
    </row>
    <row r="84" ht="15" customHeight="1" s="103">
      <c r="A84" s="6" t="n">
        <v>45669</v>
      </c>
      <c r="B84" s="7" t="n">
        <v>48.5</v>
      </c>
      <c r="C84" s="8">
        <f>IFERROR(INDEX(Ref!$B$2:$B$43,MATCH(D84,Ref!$A$2:$A$43,0)),"")</f>
        <v/>
      </c>
      <c r="D84" s="9" t="inlineStr">
        <is>
          <t>Low Row</t>
        </is>
      </c>
      <c r="E84" s="10" t="n">
        <v>0.8</v>
      </c>
      <c r="F84" s="11" t="n">
        <v>32</v>
      </c>
      <c r="G84" s="12">
        <f>IFERROR(INDEX(Ref!$C$2:$C$43,MATCH(D84,Ref!$A$2:$A$43,0)),"")</f>
        <v/>
      </c>
      <c r="H84" s="12">
        <f>IFERROR(INDEX(Ref!$D$2:$D$43,MATCH(D84,Ref!$A$2:$A$43,0)),"")</f>
        <v/>
      </c>
      <c r="I84" s="12">
        <f>IFERROR(INDEX(Ref!$E$2:$E$43,MATCH(D84,Ref!$A$2:$A$43,0)),"")</f>
        <v/>
      </c>
      <c r="J84" s="13">
        <f>IFERROR(IF(OR(E84="",F84="",ISNUMBER(FIND("bw",LOWER(TEXT(F84,"@"))))=TRUE()),"",ROUND(F84/E84,2)),"")</f>
        <v/>
      </c>
      <c r="K84" s="14" t="n"/>
    </row>
    <row r="85" ht="15" customHeight="1" s="103">
      <c r="A85" s="6" t="n">
        <v>45669</v>
      </c>
      <c r="B85" s="7" t="n">
        <v>48.5</v>
      </c>
      <c r="C85" s="8">
        <f>IFERROR(INDEX(Ref!$B$2:$B$43,MATCH(D85,Ref!$A$2:$A$43,0)),"")</f>
        <v/>
      </c>
      <c r="D85" s="9" t="inlineStr">
        <is>
          <t>Shoulder Rotation</t>
        </is>
      </c>
      <c r="E85" s="10" t="n"/>
      <c r="F85" s="11" t="n">
        <v>2</v>
      </c>
      <c r="G85" s="12">
        <f>IFERROR(INDEX(Ref!$C$2:$C$43,MATCH(D85,Ref!$A$2:$A$43,0)),"")</f>
        <v/>
      </c>
      <c r="H85" s="12">
        <f>IFERROR(INDEX(Ref!$D$2:$D$43,MATCH(D85,Ref!$A$2:$A$43,0)),"")</f>
        <v/>
      </c>
      <c r="I85" s="12">
        <f>IFERROR(INDEX(Ref!$E$2:$E$43,MATCH(D85,Ref!$A$2:$A$43,0)),"")</f>
        <v/>
      </c>
      <c r="J85" s="13">
        <f>IFERROR(IF(OR(E85="",F85="",ISNUMBER(FIND("bw",LOWER(TEXT(F85,"@"))))=TRUE()),"",ROUND(F85/E85,2)),"")</f>
        <v/>
      </c>
      <c r="K85" s="14" t="n"/>
    </row>
    <row r="86" ht="15" customHeight="1" s="103">
      <c r="A86" s="6" t="n">
        <v>45669</v>
      </c>
      <c r="B86" s="7" t="n">
        <v>48.5</v>
      </c>
      <c r="C86" s="8">
        <f>IFERROR(INDEX(Ref!$B$2:$B$43,MATCH(D86,Ref!$A$2:$A$43,0)),"")</f>
        <v/>
      </c>
      <c r="D86" s="9" t="inlineStr">
        <is>
          <t>Biceps</t>
        </is>
      </c>
      <c r="E86" s="10" t="n">
        <v>0.85</v>
      </c>
      <c r="F86" s="11" t="n">
        <v>7</v>
      </c>
      <c r="G86" s="12">
        <f>IFERROR(INDEX(Ref!$C$2:$C$43,MATCH(D86,Ref!$A$2:$A$43,0)),"")</f>
        <v/>
      </c>
      <c r="H86" s="12">
        <f>IFERROR(INDEX(Ref!$D$2:$D$43,MATCH(D86,Ref!$A$2:$A$43,0)),"")</f>
        <v/>
      </c>
      <c r="I86" s="12">
        <f>IFERROR(INDEX(Ref!$E$2:$E$43,MATCH(D86,Ref!$A$2:$A$43,0)),"")</f>
        <v/>
      </c>
      <c r="J86" s="13">
        <f>IFERROR(IF(OR(E86="",F86="",ISNUMBER(FIND("bw",LOWER(TEXT(F86,"@"))))=TRUE()),"",ROUND(F86/E86,2)),"")</f>
        <v/>
      </c>
      <c r="K86" s="14" t="n"/>
    </row>
    <row r="87" ht="15" customHeight="1" s="103">
      <c r="A87" s="6" t="n">
        <v>45669</v>
      </c>
      <c r="B87" s="7" t="n">
        <v>48.5</v>
      </c>
      <c r="C87" s="8">
        <f>IFERROR(INDEX(Ref!$B$2:$B$43,MATCH(D87,Ref!$A$2:$A$43,0)),"")</f>
        <v/>
      </c>
      <c r="D87" s="9" t="inlineStr">
        <is>
          <t>Seated Triceps Press</t>
        </is>
      </c>
      <c r="E87" s="10" t="n">
        <v>0.8</v>
      </c>
      <c r="F87" s="11" t="n">
        <v>26.3</v>
      </c>
      <c r="G87" s="12">
        <f>IFERROR(INDEX(Ref!$C$2:$C$43,MATCH(D87,Ref!$A$2:$A$43,0)),"")</f>
        <v/>
      </c>
      <c r="H87" s="12">
        <f>IFERROR(INDEX(Ref!$D$2:$D$43,MATCH(D87,Ref!$A$2:$A$43,0)),"")</f>
        <v/>
      </c>
      <c r="I87" s="12">
        <f>IFERROR(INDEX(Ref!$E$2:$E$43,MATCH(D87,Ref!$A$2:$A$43,0)),"")</f>
        <v/>
      </c>
      <c r="J87" s="13">
        <f>IFERROR(IF(OR(E87="",F87="",ISNUMBER(FIND("bw",LOWER(TEXT(F87,"@"))))=TRUE()),"",ROUND(F87/E87,2)),"")</f>
        <v/>
      </c>
      <c r="K87" s="14" t="n"/>
    </row>
    <row r="88" ht="15" customHeight="1" s="103">
      <c r="A88" s="6" t="n">
        <v>45669</v>
      </c>
      <c r="B88" s="7" t="n">
        <v>48.5</v>
      </c>
      <c r="C88" s="8">
        <f>IFERROR(INDEX(Ref!$B$2:$B$43,MATCH(D88,Ref!$A$2:$A$43,0)),"")</f>
        <v/>
      </c>
      <c r="D88" s="9" t="inlineStr">
        <is>
          <t>Wrist Extension</t>
        </is>
      </c>
      <c r="E88" s="10" t="n">
        <v>0.9</v>
      </c>
      <c r="F88" s="11" t="n">
        <v>4</v>
      </c>
      <c r="G88" s="12">
        <f>IFERROR(INDEX(Ref!$C$2:$C$43,MATCH(D88,Ref!$A$2:$A$43,0)),"")</f>
        <v/>
      </c>
      <c r="H88" s="12">
        <f>IFERROR(INDEX(Ref!$D$2:$D$43,MATCH(D88,Ref!$A$2:$A$43,0)),"")</f>
        <v/>
      </c>
      <c r="I88" s="12">
        <f>IFERROR(INDEX(Ref!$E$2:$E$43,MATCH(D88,Ref!$A$2:$A$43,0)),"")</f>
        <v/>
      </c>
      <c r="J88" s="13">
        <f>IFERROR(IF(OR(E88="",F88="",ISNUMBER(FIND("bw",LOWER(TEXT(F88,"@"))))=TRUE()),"",ROUND(F88/E88,2)),"")</f>
        <v/>
      </c>
      <c r="K88" s="14" t="n"/>
    </row>
    <row r="89" ht="15" customHeight="1" s="103">
      <c r="A89" s="6" t="n">
        <v>45669</v>
      </c>
      <c r="B89" s="7" t="n">
        <v>48.5</v>
      </c>
      <c r="C89" s="8">
        <f>IFERROR(INDEX(Ref!$B$2:$B$43,MATCH(D89,Ref!$A$2:$A$43,0)),"")</f>
        <v/>
      </c>
      <c r="D89" s="9" t="inlineStr">
        <is>
          <t>Wrist Internal</t>
        </is>
      </c>
      <c r="E89" s="10" t="n">
        <v>0.8</v>
      </c>
      <c r="F89" s="11" t="n">
        <v>6</v>
      </c>
      <c r="G89" s="12">
        <f>IFERROR(INDEX(Ref!$C$2:$C$43,MATCH(D89,Ref!$A$2:$A$43,0)),"")</f>
        <v/>
      </c>
      <c r="H89" s="12">
        <f>IFERROR(INDEX(Ref!$D$2:$D$43,MATCH(D89,Ref!$A$2:$A$43,0)),"")</f>
        <v/>
      </c>
      <c r="I89" s="12">
        <f>IFERROR(INDEX(Ref!$E$2:$E$43,MATCH(D89,Ref!$A$2:$A$43,0)),"")</f>
        <v/>
      </c>
      <c r="J89" s="13">
        <f>IFERROR(IF(OR(E89="",F89="",ISNUMBER(FIND("bw",LOWER(TEXT(F89,"@"))))=TRUE()),"",ROUND(F89/E89,2)),"")</f>
        <v/>
      </c>
      <c r="K89" s="14" t="n"/>
    </row>
    <row r="90" ht="15" customHeight="1" s="103">
      <c r="A90" s="6" t="n">
        <v>45669</v>
      </c>
      <c r="B90" s="7" t="n">
        <v>48.5</v>
      </c>
      <c r="C90" s="8">
        <f>IFERROR(INDEX(Ref!$B$2:$B$43,MATCH(D90,Ref!$A$2:$A$43,0)),"")</f>
        <v/>
      </c>
      <c r="D90" s="9" t="inlineStr">
        <is>
          <t>Wrist Curls Int Roll</t>
        </is>
      </c>
      <c r="E90" s="10" t="n">
        <v>1</v>
      </c>
      <c r="F90" s="11" t="n">
        <v>2.5</v>
      </c>
      <c r="G90" s="12">
        <f>IFERROR(INDEX(Ref!$C$2:$C$43,MATCH(D90,Ref!$A$2:$A$43,0)),"")</f>
        <v/>
      </c>
      <c r="H90" s="12">
        <f>IFERROR(INDEX(Ref!$D$2:$D$43,MATCH(D90,Ref!$A$2:$A$43,0)),"")</f>
        <v/>
      </c>
      <c r="I90" s="12">
        <f>IFERROR(INDEX(Ref!$E$2:$E$43,MATCH(D90,Ref!$A$2:$A$43,0)),"")</f>
        <v/>
      </c>
      <c r="J90" s="13">
        <f>IFERROR(IF(OR(E90="",F90="",ISNUMBER(FIND("bw",LOWER(TEXT(F90,"@"))))=TRUE()),"",ROUND(F90/E90,2)),"")</f>
        <v/>
      </c>
      <c r="K90" s="14" t="n"/>
    </row>
    <row r="91" ht="15" customHeight="1" s="103">
      <c r="A91" s="6" t="n">
        <v>45669</v>
      </c>
      <c r="B91" s="7" t="n">
        <v>48.5</v>
      </c>
      <c r="C91" s="8">
        <f>IFERROR(INDEX(Ref!$B$2:$B$43,MATCH(D91,Ref!$A$2:$A$43,0)),"")</f>
        <v/>
      </c>
      <c r="D91" s="9" t="inlineStr">
        <is>
          <t>Wrist Curls Ext Roll</t>
        </is>
      </c>
      <c r="E91" s="10" t="n">
        <v>1</v>
      </c>
      <c r="F91" s="11" t="n">
        <v>2.5</v>
      </c>
      <c r="G91" s="12">
        <f>IFERROR(INDEX(Ref!$C$2:$C$43,MATCH(D91,Ref!$A$2:$A$43,0)),"")</f>
        <v/>
      </c>
      <c r="H91" s="12">
        <f>IFERROR(INDEX(Ref!$D$2:$D$43,MATCH(D91,Ref!$A$2:$A$43,0)),"")</f>
        <v/>
      </c>
      <c r="I91" s="12">
        <f>IFERROR(INDEX(Ref!$E$2:$E$43,MATCH(D91,Ref!$A$2:$A$43,0)),"")</f>
        <v/>
      </c>
      <c r="J91" s="13">
        <f>IFERROR(IF(OR(E91="",F91="",ISNUMBER(FIND("bw",LOWER(TEXT(F91,"@"))))=TRUE()),"",ROUND(F91/E91,2)),"")</f>
        <v/>
      </c>
      <c r="K91" s="14" t="n"/>
    </row>
    <row r="93" ht="15" customHeight="1" s="103">
      <c r="A93" s="136" t="inlineStr">
        <is>
          <t>── Session 4:  07 Mar 2025  ·  Body weight: 48.5 kg  ──</t>
        </is>
      </c>
      <c r="B93" s="109" t="n"/>
      <c r="C93" s="109" t="n"/>
      <c r="D93" s="109" t="n"/>
      <c r="E93" s="109" t="n"/>
      <c r="F93" s="109" t="n"/>
      <c r="G93" s="109" t="n"/>
      <c r="H93" s="109" t="n"/>
      <c r="I93" s="109" t="n"/>
      <c r="J93" s="109" t="n"/>
      <c r="K93" s="110" t="n"/>
    </row>
    <row r="94" ht="15" customHeight="1" s="103">
      <c r="A94" s="16" t="n">
        <v>45723</v>
      </c>
      <c r="B94" s="17" t="n">
        <v>48.5</v>
      </c>
      <c r="C94" s="8">
        <f>IFERROR(INDEX(Ref!$B$2:$B$43,MATCH(D94,Ref!$A$2:$A$43,0)),"")</f>
        <v/>
      </c>
      <c r="D94" s="18" t="inlineStr">
        <is>
          <t>Hip Abductor</t>
        </is>
      </c>
      <c r="E94" s="19" t="n">
        <v>0.9</v>
      </c>
      <c r="F94" s="20" t="n">
        <v>35.1</v>
      </c>
      <c r="G94" s="12">
        <f>IFERROR(INDEX(Ref!$C$2:$C$43,MATCH(D94,Ref!$A$2:$A$43,0)),"")</f>
        <v/>
      </c>
      <c r="H94" s="12">
        <f>IFERROR(INDEX(Ref!$D$2:$D$43,MATCH(D94,Ref!$A$2:$A$43,0)),"")</f>
        <v/>
      </c>
      <c r="I94" s="12">
        <f>IFERROR(INDEX(Ref!$E$2:$E$43,MATCH(D94,Ref!$A$2:$A$43,0)),"")</f>
        <v/>
      </c>
      <c r="J94" s="13">
        <f>IFERROR(IF(OR(E94="",F94="",ISNUMBER(FIND("bw",LOWER(TEXT(F94,"@"))))=TRUE()),"",ROUND(F94/E94,2)),"")</f>
        <v/>
      </c>
      <c r="K94" s="21" t="n"/>
    </row>
    <row r="95" ht="15" customHeight="1" s="103">
      <c r="A95" s="16" t="n">
        <v>45723</v>
      </c>
      <c r="B95" s="17" t="n">
        <v>48.5</v>
      </c>
      <c r="C95" s="8">
        <f>IFERROR(INDEX(Ref!$B$2:$B$43,MATCH(D95,Ref!$A$2:$A$43,0)),"")</f>
        <v/>
      </c>
      <c r="D95" s="18" t="inlineStr">
        <is>
          <t>Hip Adductor</t>
        </is>
      </c>
      <c r="E95" s="19" t="n">
        <v>0.95</v>
      </c>
      <c r="F95" s="20" t="n">
        <v>30.4</v>
      </c>
      <c r="G95" s="12">
        <f>IFERROR(INDEX(Ref!$C$2:$C$43,MATCH(D95,Ref!$A$2:$A$43,0)),"")</f>
        <v/>
      </c>
      <c r="H95" s="12">
        <f>IFERROR(INDEX(Ref!$D$2:$D$43,MATCH(D95,Ref!$A$2:$A$43,0)),"")</f>
        <v/>
      </c>
      <c r="I95" s="12">
        <f>IFERROR(INDEX(Ref!$E$2:$E$43,MATCH(D95,Ref!$A$2:$A$43,0)),"")</f>
        <v/>
      </c>
      <c r="J95" s="13">
        <f>IFERROR(IF(OR(E95="",F95="",ISNUMBER(FIND("bw",LOWER(TEXT(F95,"@"))))=TRUE()),"",ROUND(F95/E95,2)),"")</f>
        <v/>
      </c>
      <c r="K95" s="21" t="n"/>
    </row>
    <row r="96" ht="15" customHeight="1" s="103">
      <c r="A96" s="16" t="n">
        <v>45723</v>
      </c>
      <c r="B96" s="17" t="n">
        <v>48.5</v>
      </c>
      <c r="C96" s="8">
        <f>IFERROR(INDEX(Ref!$B$2:$B$43,MATCH(D96,Ref!$A$2:$A$43,0)),"")</f>
        <v/>
      </c>
      <c r="D96" s="18" t="inlineStr">
        <is>
          <t>Ext. Quadriceps</t>
        </is>
      </c>
      <c r="E96" s="19" t="n">
        <v>0.9</v>
      </c>
      <c r="F96" s="20" t="n">
        <v>24.57</v>
      </c>
      <c r="G96" s="12">
        <f>IFERROR(INDEX(Ref!$C$2:$C$43,MATCH(D96,Ref!$A$2:$A$43,0)),"")</f>
        <v/>
      </c>
      <c r="H96" s="12">
        <f>IFERROR(INDEX(Ref!$D$2:$D$43,MATCH(D96,Ref!$A$2:$A$43,0)),"")</f>
        <v/>
      </c>
      <c r="I96" s="12">
        <f>IFERROR(INDEX(Ref!$E$2:$E$43,MATCH(D96,Ref!$A$2:$A$43,0)),"")</f>
        <v/>
      </c>
      <c r="J96" s="13">
        <f>IFERROR(IF(OR(E96="",F96="",ISNUMBER(FIND("bw",LOWER(TEXT(F96,"@"))))=TRUE()),"",ROUND(F96/E96,2)),"")</f>
        <v/>
      </c>
      <c r="K96" s="21" t="n"/>
    </row>
    <row r="97" ht="15" customHeight="1" s="103">
      <c r="A97" s="16" t="n">
        <v>45723</v>
      </c>
      <c r="B97" s="17" t="n">
        <v>48.5</v>
      </c>
      <c r="C97" s="8">
        <f>IFERROR(INDEX(Ref!$B$2:$B$43,MATCH(D97,Ref!$A$2:$A$43,0)),"")</f>
        <v/>
      </c>
      <c r="D97" s="18" t="inlineStr">
        <is>
          <t>Prone Leg Curl</t>
        </is>
      </c>
      <c r="E97" s="19" t="n">
        <v>0.9</v>
      </c>
      <c r="F97" s="20" t="n">
        <v>12.6</v>
      </c>
      <c r="G97" s="12">
        <f>IFERROR(INDEX(Ref!$C$2:$C$43,MATCH(D97,Ref!$A$2:$A$43,0)),"")</f>
        <v/>
      </c>
      <c r="H97" s="12">
        <f>IFERROR(INDEX(Ref!$D$2:$D$43,MATCH(D97,Ref!$A$2:$A$43,0)),"")</f>
        <v/>
      </c>
      <c r="I97" s="12">
        <f>IFERROR(INDEX(Ref!$E$2:$E$43,MATCH(D97,Ref!$A$2:$A$43,0)),"")</f>
        <v/>
      </c>
      <c r="J97" s="13">
        <f>IFERROR(IF(OR(E97="",F97="",ISNUMBER(FIND("bw",LOWER(TEXT(F97,"@"))))=TRUE()),"",ROUND(F97/E97,2)),"")</f>
        <v/>
      </c>
      <c r="K97" s="21" t="n"/>
    </row>
    <row r="98" ht="15" customHeight="1" s="103">
      <c r="A98" s="16" t="n">
        <v>45723</v>
      </c>
      <c r="B98" s="17" t="n">
        <v>48.5</v>
      </c>
      <c r="C98" s="8">
        <f>IFERROR(INDEX(Ref!$B$2:$B$43,MATCH(D98,Ref!$A$2:$A$43,0)),"")</f>
        <v/>
      </c>
      <c r="D98" s="18" t="inlineStr">
        <is>
          <t>Plank</t>
        </is>
      </c>
      <c r="E98" s="19" t="n">
        <v>0.5</v>
      </c>
      <c r="F98" s="22" t="inlineStr">
        <is>
          <t>bw</t>
        </is>
      </c>
      <c r="G98" s="12">
        <f>IFERROR(INDEX(Ref!$C$2:$C$43,MATCH(D98,Ref!$A$2:$A$43,0)),"")</f>
        <v/>
      </c>
      <c r="H98" s="12">
        <f>IFERROR(INDEX(Ref!$D$2:$D$43,MATCH(D98,Ref!$A$2:$A$43,0)),"")</f>
        <v/>
      </c>
      <c r="I98" s="12">
        <f>IFERROR(INDEX(Ref!$E$2:$E$43,MATCH(D98,Ref!$A$2:$A$43,0)),"")</f>
        <v/>
      </c>
      <c r="J98" s="13">
        <f>IFERROR(IF(OR(E98="",F98="",ISNUMBER(FIND("bw",LOWER(TEXT(F98,"@"))))=TRUE()),"",ROUND(F98/E98,2)),"")</f>
        <v/>
      </c>
      <c r="K98" s="21" t="n"/>
    </row>
    <row r="99" ht="15" customHeight="1" s="103">
      <c r="A99" s="16" t="n">
        <v>45723</v>
      </c>
      <c r="B99" s="17" t="n">
        <v>48.5</v>
      </c>
      <c r="C99" s="8">
        <f>IFERROR(INDEX(Ref!$B$2:$B$43,MATCH(D99,Ref!$A$2:$A$43,0)),"")</f>
        <v/>
      </c>
      <c r="D99" s="18" t="inlineStr">
        <is>
          <t>Russian Sit-ups</t>
        </is>
      </c>
      <c r="E99" s="19" t="n">
        <v>0.65</v>
      </c>
      <c r="F99" s="20" t="n">
        <v>6</v>
      </c>
      <c r="G99" s="12">
        <f>IFERROR(INDEX(Ref!$C$2:$C$43,MATCH(D99,Ref!$A$2:$A$43,0)),"")</f>
        <v/>
      </c>
      <c r="H99" s="12">
        <f>IFERROR(INDEX(Ref!$D$2:$D$43,MATCH(D99,Ref!$A$2:$A$43,0)),"")</f>
        <v/>
      </c>
      <c r="I99" s="12">
        <f>IFERROR(INDEX(Ref!$E$2:$E$43,MATCH(D99,Ref!$A$2:$A$43,0)),"")</f>
        <v/>
      </c>
      <c r="J99" s="13">
        <f>IFERROR(IF(OR(E99="",F99="",ISNUMBER(FIND("bw",LOWER(TEXT(F99,"@"))))=TRUE()),"",ROUND(F99/E99,2)),"")</f>
        <v/>
      </c>
      <c r="K99" s="21" t="n"/>
    </row>
    <row r="100" ht="15" customHeight="1" s="103">
      <c r="A100" s="16" t="n">
        <v>45723</v>
      </c>
      <c r="B100" s="17" t="n">
        <v>48.5</v>
      </c>
      <c r="C100" s="8">
        <f>IFERROR(INDEX(Ref!$B$2:$B$43,MATCH(D100,Ref!$A$2:$A$43,0)),"")</f>
        <v/>
      </c>
      <c r="D100" s="18" t="inlineStr">
        <is>
          <t>Floor ABS Rotation</t>
        </is>
      </c>
      <c r="E100" s="19" t="n">
        <v>0.8</v>
      </c>
      <c r="F100" s="22" t="inlineStr">
        <is>
          <t>2x3</t>
        </is>
      </c>
      <c r="G100" s="12">
        <f>IFERROR(INDEX(Ref!$C$2:$C$43,MATCH(D100,Ref!$A$2:$A$43,0)),"")</f>
        <v/>
      </c>
      <c r="H100" s="12">
        <f>IFERROR(INDEX(Ref!$D$2:$D$43,MATCH(D100,Ref!$A$2:$A$43,0)),"")</f>
        <v/>
      </c>
      <c r="I100" s="12">
        <f>IFERROR(INDEX(Ref!$E$2:$E$43,MATCH(D100,Ref!$A$2:$A$43,0)),"")</f>
        <v/>
      </c>
      <c r="J100" s="13">
        <f>IFERROR(IF(OR(E100="",F100="",ISNUMBER(FIND("bw",LOWER(TEXT(F100,"@"))))=TRUE()),"",ROUND(F100/E100,2)),"")</f>
        <v/>
      </c>
      <c r="K100" s="21" t="n"/>
    </row>
    <row r="101" ht="15" customHeight="1" s="103">
      <c r="A101" s="16" t="n">
        <v>45723</v>
      </c>
      <c r="B101" s="17" t="n">
        <v>48.5</v>
      </c>
      <c r="C101" s="8">
        <f>IFERROR(INDEX(Ref!$B$2:$B$43,MATCH(D101,Ref!$A$2:$A$43,0)),"")</f>
        <v/>
      </c>
      <c r="D101" s="18" t="inlineStr">
        <is>
          <t>Leg + Arms Ups</t>
        </is>
      </c>
      <c r="E101" s="19" t="n">
        <v>0.95</v>
      </c>
      <c r="F101" s="20" t="n">
        <v>12</v>
      </c>
      <c r="G101" s="12">
        <f>IFERROR(INDEX(Ref!$C$2:$C$43,MATCH(D101,Ref!$A$2:$A$43,0)),"")</f>
        <v/>
      </c>
      <c r="H101" s="12">
        <f>IFERROR(INDEX(Ref!$D$2:$D$43,MATCH(D101,Ref!$A$2:$A$43,0)),"")</f>
        <v/>
      </c>
      <c r="I101" s="12">
        <f>IFERROR(INDEX(Ref!$E$2:$E$43,MATCH(D101,Ref!$A$2:$A$43,0)),"")</f>
        <v/>
      </c>
      <c r="J101" s="13">
        <f>IFERROR(IF(OR(E101="",F101="",ISNUMBER(FIND("bw",LOWER(TEXT(F101,"@"))))=TRUE()),"",ROUND(F101/E101,2)),"")</f>
        <v/>
      </c>
      <c r="K101" s="21" t="n"/>
    </row>
    <row r="102" ht="15" customHeight="1" s="103">
      <c r="A102" s="16" t="n">
        <v>45723</v>
      </c>
      <c r="B102" s="17" t="n">
        <v>48.5</v>
      </c>
      <c r="C102" s="8">
        <f>IFERROR(INDEX(Ref!$B$2:$B$43,MATCH(D102,Ref!$A$2:$A$43,0)),"")</f>
        <v/>
      </c>
      <c r="D102" s="18" t="inlineStr">
        <is>
          <t>Matrix Abd. N4</t>
        </is>
      </c>
      <c r="E102" s="19" t="n">
        <v>0.85</v>
      </c>
      <c r="F102" s="20" t="n">
        <v>4</v>
      </c>
      <c r="G102" s="12">
        <f>IFERROR(INDEX(Ref!$C$2:$C$43,MATCH(D102,Ref!$A$2:$A$43,0)),"")</f>
        <v/>
      </c>
      <c r="H102" s="12">
        <f>IFERROR(INDEX(Ref!$D$2:$D$43,MATCH(D102,Ref!$A$2:$A$43,0)),"")</f>
        <v/>
      </c>
      <c r="I102" s="12">
        <f>IFERROR(INDEX(Ref!$E$2:$E$43,MATCH(D102,Ref!$A$2:$A$43,0)),"")</f>
        <v/>
      </c>
      <c r="J102" s="13">
        <f>IFERROR(IF(OR(E102="",F102="",ISNUMBER(FIND("bw",LOWER(TEXT(F102,"@"))))=TRUE()),"",ROUND(F102/E102,2)),"")</f>
        <v/>
      </c>
      <c r="K102" s="21" t="n"/>
    </row>
    <row r="103" ht="15" customHeight="1" s="103">
      <c r="A103" s="16" t="n">
        <v>45723</v>
      </c>
      <c r="B103" s="17" t="n">
        <v>48.5</v>
      </c>
      <c r="C103" s="8">
        <f>IFERROR(INDEX(Ref!$B$2:$B$43,MATCH(D103,Ref!$A$2:$A$43,0)),"")</f>
        <v/>
      </c>
      <c r="D103" s="18" t="inlineStr">
        <is>
          <t>Matrix Abd. Up</t>
        </is>
      </c>
      <c r="E103" s="19" t="n">
        <v>0.9</v>
      </c>
      <c r="F103" s="20" t="n">
        <v>10</v>
      </c>
      <c r="G103" s="12">
        <f>IFERROR(INDEX(Ref!$C$2:$C$43,MATCH(D103,Ref!$A$2:$A$43,0)),"")</f>
        <v/>
      </c>
      <c r="H103" s="12">
        <f>IFERROR(INDEX(Ref!$D$2:$D$43,MATCH(D103,Ref!$A$2:$A$43,0)),"")</f>
        <v/>
      </c>
      <c r="I103" s="12">
        <f>IFERROR(INDEX(Ref!$E$2:$E$43,MATCH(D103,Ref!$A$2:$A$43,0)),"")</f>
        <v/>
      </c>
      <c r="J103" s="13">
        <f>IFERROR(IF(OR(E103="",F103="",ISNUMBER(FIND("bw",LOWER(TEXT(F103,"@"))))=TRUE()),"",ROUND(F103/E103,2)),"")</f>
        <v/>
      </c>
      <c r="K103" s="21" t="n"/>
    </row>
    <row r="104" ht="15" customHeight="1" s="103">
      <c r="A104" s="16" t="n">
        <v>45723</v>
      </c>
      <c r="B104" s="17" t="n">
        <v>48.5</v>
      </c>
      <c r="C104" s="8">
        <f>IFERROR(INDEX(Ref!$B$2:$B$43,MATCH(D104,Ref!$A$2:$A$43,0)),"")</f>
        <v/>
      </c>
      <c r="D104" s="18" t="inlineStr">
        <is>
          <t>Scapular Pull-up</t>
        </is>
      </c>
      <c r="E104" s="19" t="n"/>
      <c r="F104" s="22" t="inlineStr">
        <is>
          <t>bw</t>
        </is>
      </c>
      <c r="G104" s="12">
        <f>IFERROR(INDEX(Ref!$C$2:$C$43,MATCH(D104,Ref!$A$2:$A$43,0)),"")</f>
        <v/>
      </c>
      <c r="H104" s="12">
        <f>IFERROR(INDEX(Ref!$D$2:$D$43,MATCH(D104,Ref!$A$2:$A$43,0)),"")</f>
        <v/>
      </c>
      <c r="I104" s="12">
        <f>IFERROR(INDEX(Ref!$E$2:$E$43,MATCH(D104,Ref!$A$2:$A$43,0)),"")</f>
        <v/>
      </c>
      <c r="J104" s="13">
        <f>IFERROR(IF(OR(E104="",F104="",ISNUMBER(FIND("bw",LOWER(TEXT(F104,"@"))))=TRUE()),"",ROUND(F104/E104,2)),"")</f>
        <v/>
      </c>
      <c r="K104" s="21" t="n"/>
    </row>
    <row r="105" ht="15" customHeight="1" s="103">
      <c r="A105" s="16" t="n">
        <v>45723</v>
      </c>
      <c r="B105" s="17" t="n">
        <v>48.5</v>
      </c>
      <c r="C105" s="8">
        <f>IFERROR(INDEX(Ref!$B$2:$B$43,MATCH(D105,Ref!$A$2:$A$43,0)),"")</f>
        <v/>
      </c>
      <c r="D105" s="18" t="inlineStr">
        <is>
          <t>ISO Scapular Pull</t>
        </is>
      </c>
      <c r="E105" s="19" t="n"/>
      <c r="F105" s="22" t="inlineStr">
        <is>
          <t>bw</t>
        </is>
      </c>
      <c r="G105" s="12">
        <f>IFERROR(INDEX(Ref!$C$2:$C$43,MATCH(D105,Ref!$A$2:$A$43,0)),"")</f>
        <v/>
      </c>
      <c r="H105" s="12">
        <f>IFERROR(INDEX(Ref!$D$2:$D$43,MATCH(D105,Ref!$A$2:$A$43,0)),"")</f>
        <v/>
      </c>
      <c r="I105" s="12">
        <f>IFERROR(INDEX(Ref!$E$2:$E$43,MATCH(D105,Ref!$A$2:$A$43,0)),"")</f>
        <v/>
      </c>
      <c r="J105" s="13">
        <f>IFERROR(IF(OR(E105="",F105="",ISNUMBER(FIND("bw",LOWER(TEXT(F105,"@"))))=TRUE()),"",ROUND(F105/E105,2)),"")</f>
        <v/>
      </c>
      <c r="K105" s="21" t="n"/>
    </row>
    <row r="106" ht="15" customHeight="1" s="103">
      <c r="A106" s="16" t="n">
        <v>45723</v>
      </c>
      <c r="B106" s="17" t="n">
        <v>48.5</v>
      </c>
      <c r="C106" s="8">
        <f>IFERROR(INDEX(Ref!$B$2:$B$43,MATCH(D106,Ref!$A$2:$A$43,0)),"")</f>
        <v/>
      </c>
      <c r="D106" s="18" t="inlineStr">
        <is>
          <t>1-Arm Scap. Pull-up</t>
        </is>
      </c>
      <c r="E106" s="19" t="n"/>
      <c r="F106" s="22" t="inlineStr">
        <is>
          <t>bw</t>
        </is>
      </c>
      <c r="G106" s="12">
        <f>IFERROR(INDEX(Ref!$C$2:$C$43,MATCH(D106,Ref!$A$2:$A$43,0)),"")</f>
        <v/>
      </c>
      <c r="H106" s="12">
        <f>IFERROR(INDEX(Ref!$D$2:$D$43,MATCH(D106,Ref!$A$2:$A$43,0)),"")</f>
        <v/>
      </c>
      <c r="I106" s="12">
        <f>IFERROR(INDEX(Ref!$E$2:$E$43,MATCH(D106,Ref!$A$2:$A$43,0)),"")</f>
        <v/>
      </c>
      <c r="J106" s="13">
        <f>IFERROR(IF(OR(E106="",F106="",ISNUMBER(FIND("bw",LOWER(TEXT(F106,"@"))))=TRUE()),"",ROUND(F106/E106,2)),"")</f>
        <v/>
      </c>
      <c r="K106" s="21" t="n"/>
    </row>
    <row r="107" ht="15" customHeight="1" s="103">
      <c r="A107" s="16" t="n">
        <v>45723</v>
      </c>
      <c r="B107" s="17" t="n">
        <v>48.5</v>
      </c>
      <c r="C107" s="8">
        <f>IFERROR(INDEX(Ref!$B$2:$B$43,MATCH(D107,Ref!$A$2:$A$43,0)),"")</f>
        <v/>
      </c>
      <c r="D107" s="18" t="inlineStr">
        <is>
          <t>Pull-up</t>
        </is>
      </c>
      <c r="E107" s="19" t="n"/>
      <c r="F107" s="22" t="inlineStr">
        <is>
          <t>bw</t>
        </is>
      </c>
      <c r="G107" s="12">
        <f>IFERROR(INDEX(Ref!$C$2:$C$43,MATCH(D107,Ref!$A$2:$A$43,0)),"")</f>
        <v/>
      </c>
      <c r="H107" s="12">
        <f>IFERROR(INDEX(Ref!$D$2:$D$43,MATCH(D107,Ref!$A$2:$A$43,0)),"")</f>
        <v/>
      </c>
      <c r="I107" s="12">
        <f>IFERROR(INDEX(Ref!$E$2:$E$43,MATCH(D107,Ref!$A$2:$A$43,0)),"")</f>
        <v/>
      </c>
      <c r="J107" s="13">
        <f>IFERROR(IF(OR(E107="",F107="",ISNUMBER(FIND("bw",LOWER(TEXT(F107,"@"))))=TRUE()),"",ROUND(F107/E107,2)),"")</f>
        <v/>
      </c>
      <c r="K107" s="21" t="n"/>
    </row>
    <row r="108" ht="15" customHeight="1" s="103">
      <c r="A108" s="16" t="n">
        <v>45723</v>
      </c>
      <c r="B108" s="17" t="n">
        <v>48.5</v>
      </c>
      <c r="C108" s="8">
        <f>IFERROR(INDEX(Ref!$B$2:$B$43,MATCH(D108,Ref!$A$2:$A$43,0)),"")</f>
        <v/>
      </c>
      <c r="D108" s="18" t="inlineStr">
        <is>
          <t>Lat Pulldown / Pull-up Bar</t>
        </is>
      </c>
      <c r="E108" s="19" t="n">
        <v>0.95</v>
      </c>
      <c r="F108" s="20" t="n">
        <v>41</v>
      </c>
      <c r="G108" s="12">
        <f>IFERROR(INDEX(Ref!$C$2:$C$43,MATCH(D108,Ref!$A$2:$A$43,0)),"")</f>
        <v/>
      </c>
      <c r="H108" s="12">
        <f>IFERROR(INDEX(Ref!$D$2:$D$43,MATCH(D108,Ref!$A$2:$A$43,0)),"")</f>
        <v/>
      </c>
      <c r="I108" s="12">
        <f>IFERROR(INDEX(Ref!$E$2:$E$43,MATCH(D108,Ref!$A$2:$A$43,0)),"")</f>
        <v/>
      </c>
      <c r="J108" s="13">
        <f>IFERROR(IF(OR(E108="",F108="",ISNUMBER(FIND("bw",LOWER(TEXT(F108,"@"))))=TRUE()),"",ROUND(F108/E108,2)),"")</f>
        <v/>
      </c>
      <c r="K108" s="21" t="n"/>
    </row>
    <row r="109" ht="15" customHeight="1" s="103">
      <c r="A109" s="16" t="n">
        <v>45723</v>
      </c>
      <c r="B109" s="17" t="n">
        <v>48.5</v>
      </c>
      <c r="C109" s="8">
        <f>IFERROR(INDEX(Ref!$B$2:$B$43,MATCH(D109,Ref!$A$2:$A$43,0)),"")</f>
        <v/>
      </c>
      <c r="D109" s="18" t="inlineStr">
        <is>
          <t>Rear Deltoid N1</t>
        </is>
      </c>
      <c r="E109" s="19" t="n">
        <v>0.95</v>
      </c>
      <c r="F109" s="20" t="n">
        <v>32</v>
      </c>
      <c r="G109" s="12">
        <f>IFERROR(INDEX(Ref!$C$2:$C$43,MATCH(D109,Ref!$A$2:$A$43,0)),"")</f>
        <v/>
      </c>
      <c r="H109" s="12">
        <f>IFERROR(INDEX(Ref!$D$2:$D$43,MATCH(D109,Ref!$A$2:$A$43,0)),"")</f>
        <v/>
      </c>
      <c r="I109" s="12">
        <f>IFERROR(INDEX(Ref!$E$2:$E$43,MATCH(D109,Ref!$A$2:$A$43,0)),"")</f>
        <v/>
      </c>
      <c r="J109" s="13">
        <f>IFERROR(IF(OR(E109="",F109="",ISNUMBER(FIND("bw",LOWER(TEXT(F109,"@"))))=TRUE()),"",ROUND(F109/E109,2)),"")</f>
        <v/>
      </c>
      <c r="K109" s="21" t="n"/>
    </row>
    <row r="110" ht="15" customHeight="1" s="103">
      <c r="A110" s="16" t="n">
        <v>45723</v>
      </c>
      <c r="B110" s="17" t="n">
        <v>48.5</v>
      </c>
      <c r="C110" s="8">
        <f>IFERROR(INDEX(Ref!$B$2:$B$43,MATCH(D110,Ref!$A$2:$A$43,0)),"")</f>
        <v/>
      </c>
      <c r="D110" s="18" t="inlineStr">
        <is>
          <t>Fly Deltoid N2</t>
        </is>
      </c>
      <c r="E110" s="19" t="n">
        <v>0.9</v>
      </c>
      <c r="F110" s="20" t="n">
        <v>39</v>
      </c>
      <c r="G110" s="12">
        <f>IFERROR(INDEX(Ref!$C$2:$C$43,MATCH(D110,Ref!$A$2:$A$43,0)),"")</f>
        <v/>
      </c>
      <c r="H110" s="12">
        <f>IFERROR(INDEX(Ref!$D$2:$D$43,MATCH(D110,Ref!$A$2:$A$43,0)),"")</f>
        <v/>
      </c>
      <c r="I110" s="12">
        <f>IFERROR(INDEX(Ref!$E$2:$E$43,MATCH(D110,Ref!$A$2:$A$43,0)),"")</f>
        <v/>
      </c>
      <c r="J110" s="13">
        <f>IFERROR(IF(OR(E110="",F110="",ISNUMBER(FIND("bw",LOWER(TEXT(F110,"@"))))=TRUE()),"",ROUND(F110/E110,2)),"")</f>
        <v/>
      </c>
      <c r="K110" s="21" t="n"/>
    </row>
    <row r="111" ht="15" customHeight="1" s="103">
      <c r="A111" s="16" t="n">
        <v>45723</v>
      </c>
      <c r="B111" s="17" t="n">
        <v>48.5</v>
      </c>
      <c r="C111" s="8">
        <f>IFERROR(INDEX(Ref!$B$2:$B$43,MATCH(D111,Ref!$A$2:$A$43,0)),"")</f>
        <v/>
      </c>
      <c r="D111" s="18" t="inlineStr">
        <is>
          <t>Shoulder Press</t>
        </is>
      </c>
      <c r="E111" s="19" t="n">
        <v>0.9</v>
      </c>
      <c r="F111" s="20" t="n">
        <v>10.4</v>
      </c>
      <c r="G111" s="12">
        <f>IFERROR(INDEX(Ref!$C$2:$C$43,MATCH(D111,Ref!$A$2:$A$43,0)),"")</f>
        <v/>
      </c>
      <c r="H111" s="12">
        <f>IFERROR(INDEX(Ref!$D$2:$D$43,MATCH(D111,Ref!$A$2:$A$43,0)),"")</f>
        <v/>
      </c>
      <c r="I111" s="12">
        <f>IFERROR(INDEX(Ref!$E$2:$E$43,MATCH(D111,Ref!$A$2:$A$43,0)),"")</f>
        <v/>
      </c>
      <c r="J111" s="13">
        <f>IFERROR(IF(OR(E111="",F111="",ISNUMBER(FIND("bw",LOWER(TEXT(F111,"@"))))=TRUE()),"",ROUND(F111/E111,2)),"")</f>
        <v/>
      </c>
      <c r="K111" s="21" t="n"/>
    </row>
    <row r="112" ht="15" customHeight="1" s="103">
      <c r="A112" s="16" t="n">
        <v>45723</v>
      </c>
      <c r="B112" s="17" t="n">
        <v>48.5</v>
      </c>
      <c r="C112" s="8">
        <f>IFERROR(INDEX(Ref!$B$2:$B$43,MATCH(D112,Ref!$A$2:$A$43,0)),"")</f>
        <v/>
      </c>
      <c r="D112" s="18" t="inlineStr">
        <is>
          <t>Chest Press</t>
        </is>
      </c>
      <c r="E112" s="19" t="n">
        <v>0.9</v>
      </c>
      <c r="F112" s="20" t="n">
        <v>29.6</v>
      </c>
      <c r="G112" s="12">
        <f>IFERROR(INDEX(Ref!$C$2:$C$43,MATCH(D112,Ref!$A$2:$A$43,0)),"")</f>
        <v/>
      </c>
      <c r="H112" s="12">
        <f>IFERROR(INDEX(Ref!$D$2:$D$43,MATCH(D112,Ref!$A$2:$A$43,0)),"")</f>
        <v/>
      </c>
      <c r="I112" s="12">
        <f>IFERROR(INDEX(Ref!$E$2:$E$43,MATCH(D112,Ref!$A$2:$A$43,0)),"")</f>
        <v/>
      </c>
      <c r="J112" s="13">
        <f>IFERROR(IF(OR(E112="",F112="",ISNUMBER(FIND("bw",LOWER(TEXT(F112,"@"))))=TRUE()),"",ROUND(F112/E112,2)),"")</f>
        <v/>
      </c>
      <c r="K112" s="21" t="n"/>
    </row>
    <row r="113" ht="15" customHeight="1" s="103">
      <c r="A113" s="16" t="n">
        <v>45723</v>
      </c>
      <c r="B113" s="17" t="n">
        <v>48.5</v>
      </c>
      <c r="C113" s="8">
        <f>IFERROR(INDEX(Ref!$B$2:$B$43,MATCH(D113,Ref!$A$2:$A$43,0)),"")</f>
        <v/>
      </c>
      <c r="D113" s="18" t="inlineStr">
        <is>
          <t>Cable Cross Over</t>
        </is>
      </c>
      <c r="E113" s="19" t="n">
        <v>0.9</v>
      </c>
      <c r="F113" s="20" t="n">
        <v>14</v>
      </c>
      <c r="G113" s="12">
        <f>IFERROR(INDEX(Ref!$C$2:$C$43,MATCH(D113,Ref!$A$2:$A$43,0)),"")</f>
        <v/>
      </c>
      <c r="H113" s="12">
        <f>IFERROR(INDEX(Ref!$D$2:$D$43,MATCH(D113,Ref!$A$2:$A$43,0)),"")</f>
        <v/>
      </c>
      <c r="I113" s="12">
        <f>IFERROR(INDEX(Ref!$E$2:$E$43,MATCH(D113,Ref!$A$2:$A$43,0)),"")</f>
        <v/>
      </c>
      <c r="J113" s="13">
        <f>IFERROR(IF(OR(E113="",F113="",ISNUMBER(FIND("bw",LOWER(TEXT(F113,"@"))))=TRUE()),"",ROUND(F113/E113,2)),"")</f>
        <v/>
      </c>
      <c r="K113" s="21" t="n"/>
    </row>
    <row r="114" ht="15" customHeight="1" s="103">
      <c r="A114" s="16" t="n">
        <v>45723</v>
      </c>
      <c r="B114" s="17" t="n">
        <v>48.5</v>
      </c>
      <c r="C114" s="8">
        <f>IFERROR(INDEX(Ref!$B$2:$B$43,MATCH(D114,Ref!$A$2:$A$43,0)),"")</f>
        <v/>
      </c>
      <c r="D114" s="18" t="inlineStr">
        <is>
          <t>Low Row</t>
        </is>
      </c>
      <c r="E114" s="19" t="n">
        <v>0.8</v>
      </c>
      <c r="F114" s="20" t="n">
        <v>32</v>
      </c>
      <c r="G114" s="12">
        <f>IFERROR(INDEX(Ref!$C$2:$C$43,MATCH(D114,Ref!$A$2:$A$43,0)),"")</f>
        <v/>
      </c>
      <c r="H114" s="12">
        <f>IFERROR(INDEX(Ref!$D$2:$D$43,MATCH(D114,Ref!$A$2:$A$43,0)),"")</f>
        <v/>
      </c>
      <c r="I114" s="12">
        <f>IFERROR(INDEX(Ref!$E$2:$E$43,MATCH(D114,Ref!$A$2:$A$43,0)),"")</f>
        <v/>
      </c>
      <c r="J114" s="13">
        <f>IFERROR(IF(OR(E114="",F114="",ISNUMBER(FIND("bw",LOWER(TEXT(F114,"@"))))=TRUE()),"",ROUND(F114/E114,2)),"")</f>
        <v/>
      </c>
      <c r="K114" s="21" t="n"/>
    </row>
    <row r="115" ht="15" customHeight="1" s="103">
      <c r="A115" s="16" t="n">
        <v>45723</v>
      </c>
      <c r="B115" s="17" t="n">
        <v>48.5</v>
      </c>
      <c r="C115" s="8">
        <f>IFERROR(INDEX(Ref!$B$2:$B$43,MATCH(D115,Ref!$A$2:$A$43,0)),"")</f>
        <v/>
      </c>
      <c r="D115" s="18" t="inlineStr">
        <is>
          <t>Shoulder Rotation</t>
        </is>
      </c>
      <c r="E115" s="19" t="n"/>
      <c r="F115" s="20" t="n">
        <v>2</v>
      </c>
      <c r="G115" s="12">
        <f>IFERROR(INDEX(Ref!$C$2:$C$43,MATCH(D115,Ref!$A$2:$A$43,0)),"")</f>
        <v/>
      </c>
      <c r="H115" s="12">
        <f>IFERROR(INDEX(Ref!$D$2:$D$43,MATCH(D115,Ref!$A$2:$A$43,0)),"")</f>
        <v/>
      </c>
      <c r="I115" s="12">
        <f>IFERROR(INDEX(Ref!$E$2:$E$43,MATCH(D115,Ref!$A$2:$A$43,0)),"")</f>
        <v/>
      </c>
      <c r="J115" s="13">
        <f>IFERROR(IF(OR(E115="",F115="",ISNUMBER(FIND("bw",LOWER(TEXT(F115,"@"))))=TRUE()),"",ROUND(F115/E115,2)),"")</f>
        <v/>
      </c>
      <c r="K115" s="21" t="n"/>
    </row>
    <row r="116" ht="15" customHeight="1" s="103">
      <c r="A116" s="16" t="n">
        <v>45723</v>
      </c>
      <c r="B116" s="17" t="n">
        <v>48.5</v>
      </c>
      <c r="C116" s="8">
        <f>IFERROR(INDEX(Ref!$B$2:$B$43,MATCH(D116,Ref!$A$2:$A$43,0)),"")</f>
        <v/>
      </c>
      <c r="D116" s="18" t="inlineStr">
        <is>
          <t>Biceps</t>
        </is>
      </c>
      <c r="E116" s="19" t="n">
        <v>0.85</v>
      </c>
      <c r="F116" s="20" t="n">
        <v>7</v>
      </c>
      <c r="G116" s="12">
        <f>IFERROR(INDEX(Ref!$C$2:$C$43,MATCH(D116,Ref!$A$2:$A$43,0)),"")</f>
        <v/>
      </c>
      <c r="H116" s="12">
        <f>IFERROR(INDEX(Ref!$D$2:$D$43,MATCH(D116,Ref!$A$2:$A$43,0)),"")</f>
        <v/>
      </c>
      <c r="I116" s="12">
        <f>IFERROR(INDEX(Ref!$E$2:$E$43,MATCH(D116,Ref!$A$2:$A$43,0)),"")</f>
        <v/>
      </c>
      <c r="J116" s="13">
        <f>IFERROR(IF(OR(E116="",F116="",ISNUMBER(FIND("bw",LOWER(TEXT(F116,"@"))))=TRUE()),"",ROUND(F116/E116,2)),"")</f>
        <v/>
      </c>
      <c r="K116" s="21" t="n"/>
    </row>
    <row r="117" ht="15" customHeight="1" s="103">
      <c r="A117" s="16" t="n">
        <v>45723</v>
      </c>
      <c r="B117" s="17" t="n">
        <v>48.5</v>
      </c>
      <c r="C117" s="8">
        <f>IFERROR(INDEX(Ref!$B$2:$B$43,MATCH(D117,Ref!$A$2:$A$43,0)),"")</f>
        <v/>
      </c>
      <c r="D117" s="18" t="inlineStr">
        <is>
          <t>Seated Triceps Press</t>
        </is>
      </c>
      <c r="E117" s="19" t="n">
        <v>0.8</v>
      </c>
      <c r="F117" s="20" t="n">
        <v>26.3</v>
      </c>
      <c r="G117" s="12">
        <f>IFERROR(INDEX(Ref!$C$2:$C$43,MATCH(D117,Ref!$A$2:$A$43,0)),"")</f>
        <v/>
      </c>
      <c r="H117" s="12">
        <f>IFERROR(INDEX(Ref!$D$2:$D$43,MATCH(D117,Ref!$A$2:$A$43,0)),"")</f>
        <v/>
      </c>
      <c r="I117" s="12">
        <f>IFERROR(INDEX(Ref!$E$2:$E$43,MATCH(D117,Ref!$A$2:$A$43,0)),"")</f>
        <v/>
      </c>
      <c r="J117" s="13">
        <f>IFERROR(IF(OR(E117="",F117="",ISNUMBER(FIND("bw",LOWER(TEXT(F117,"@"))))=TRUE()),"",ROUND(F117/E117,2)),"")</f>
        <v/>
      </c>
      <c r="K117" s="21" t="n"/>
    </row>
    <row r="118" ht="15" customHeight="1" s="103">
      <c r="A118" s="16" t="n">
        <v>45723</v>
      </c>
      <c r="B118" s="17" t="n">
        <v>48.5</v>
      </c>
      <c r="C118" s="8">
        <f>IFERROR(INDEX(Ref!$B$2:$B$43,MATCH(D118,Ref!$A$2:$A$43,0)),"")</f>
        <v/>
      </c>
      <c r="D118" s="18" t="inlineStr">
        <is>
          <t>Wrist Extension</t>
        </is>
      </c>
      <c r="E118" s="19" t="n">
        <v>0.9</v>
      </c>
      <c r="F118" s="20" t="n">
        <v>4</v>
      </c>
      <c r="G118" s="12">
        <f>IFERROR(INDEX(Ref!$C$2:$C$43,MATCH(D118,Ref!$A$2:$A$43,0)),"")</f>
        <v/>
      </c>
      <c r="H118" s="12">
        <f>IFERROR(INDEX(Ref!$D$2:$D$43,MATCH(D118,Ref!$A$2:$A$43,0)),"")</f>
        <v/>
      </c>
      <c r="I118" s="12">
        <f>IFERROR(INDEX(Ref!$E$2:$E$43,MATCH(D118,Ref!$A$2:$A$43,0)),"")</f>
        <v/>
      </c>
      <c r="J118" s="13">
        <f>IFERROR(IF(OR(E118="",F118="",ISNUMBER(FIND("bw",LOWER(TEXT(F118,"@"))))=TRUE()),"",ROUND(F118/E118,2)),"")</f>
        <v/>
      </c>
      <c r="K118" s="21" t="n"/>
    </row>
    <row r="119" ht="15" customHeight="1" s="103">
      <c r="A119" s="16" t="n">
        <v>45723</v>
      </c>
      <c r="B119" s="17" t="n">
        <v>48.5</v>
      </c>
      <c r="C119" s="8">
        <f>IFERROR(INDEX(Ref!$B$2:$B$43,MATCH(D119,Ref!$A$2:$A$43,0)),"")</f>
        <v/>
      </c>
      <c r="D119" s="18" t="inlineStr">
        <is>
          <t>Wrist Internal</t>
        </is>
      </c>
      <c r="E119" s="19" t="n">
        <v>0.8</v>
      </c>
      <c r="F119" s="20" t="n">
        <v>6</v>
      </c>
      <c r="G119" s="12">
        <f>IFERROR(INDEX(Ref!$C$2:$C$43,MATCH(D119,Ref!$A$2:$A$43,0)),"")</f>
        <v/>
      </c>
      <c r="H119" s="12">
        <f>IFERROR(INDEX(Ref!$D$2:$D$43,MATCH(D119,Ref!$A$2:$A$43,0)),"")</f>
        <v/>
      </c>
      <c r="I119" s="12">
        <f>IFERROR(INDEX(Ref!$E$2:$E$43,MATCH(D119,Ref!$A$2:$A$43,0)),"")</f>
        <v/>
      </c>
      <c r="J119" s="13">
        <f>IFERROR(IF(OR(E119="",F119="",ISNUMBER(FIND("bw",LOWER(TEXT(F119,"@"))))=TRUE()),"",ROUND(F119/E119,2)),"")</f>
        <v/>
      </c>
      <c r="K119" s="21" t="n"/>
    </row>
    <row r="120" ht="15" customHeight="1" s="103">
      <c r="A120" s="16" t="n">
        <v>45723</v>
      </c>
      <c r="B120" s="17" t="n">
        <v>48.5</v>
      </c>
      <c r="C120" s="8">
        <f>IFERROR(INDEX(Ref!$B$2:$B$43,MATCH(D120,Ref!$A$2:$A$43,0)),"")</f>
        <v/>
      </c>
      <c r="D120" s="18" t="inlineStr">
        <is>
          <t>Wrist Curls Int Roll</t>
        </is>
      </c>
      <c r="E120" s="19" t="n">
        <v>1</v>
      </c>
      <c r="F120" s="20" t="n">
        <v>2.5</v>
      </c>
      <c r="G120" s="12">
        <f>IFERROR(INDEX(Ref!$C$2:$C$43,MATCH(D120,Ref!$A$2:$A$43,0)),"")</f>
        <v/>
      </c>
      <c r="H120" s="12">
        <f>IFERROR(INDEX(Ref!$D$2:$D$43,MATCH(D120,Ref!$A$2:$A$43,0)),"")</f>
        <v/>
      </c>
      <c r="I120" s="12">
        <f>IFERROR(INDEX(Ref!$E$2:$E$43,MATCH(D120,Ref!$A$2:$A$43,0)),"")</f>
        <v/>
      </c>
      <c r="J120" s="13">
        <f>IFERROR(IF(OR(E120="",F120="",ISNUMBER(FIND("bw",LOWER(TEXT(F120,"@"))))=TRUE()),"",ROUND(F120/E120,2)),"")</f>
        <v/>
      </c>
      <c r="K120" s="21" t="n"/>
    </row>
    <row r="121" ht="15" customHeight="1" s="103">
      <c r="A121" s="16" t="n">
        <v>45723</v>
      </c>
      <c r="B121" s="17" t="n">
        <v>48.5</v>
      </c>
      <c r="C121" s="8">
        <f>IFERROR(INDEX(Ref!$B$2:$B$43,MATCH(D121,Ref!$A$2:$A$43,0)),"")</f>
        <v/>
      </c>
      <c r="D121" s="18" t="inlineStr">
        <is>
          <t>Wrist Curls Ext Roll</t>
        </is>
      </c>
      <c r="E121" s="19" t="n">
        <v>1</v>
      </c>
      <c r="F121" s="20" t="n">
        <v>2.5</v>
      </c>
      <c r="G121" s="12">
        <f>IFERROR(INDEX(Ref!$C$2:$C$43,MATCH(D121,Ref!$A$2:$A$43,0)),"")</f>
        <v/>
      </c>
      <c r="H121" s="12">
        <f>IFERROR(INDEX(Ref!$D$2:$D$43,MATCH(D121,Ref!$A$2:$A$43,0)),"")</f>
        <v/>
      </c>
      <c r="I121" s="12">
        <f>IFERROR(INDEX(Ref!$E$2:$E$43,MATCH(D121,Ref!$A$2:$A$43,0)),"")</f>
        <v/>
      </c>
      <c r="J121" s="13">
        <f>IFERROR(IF(OR(E121="",F121="",ISNUMBER(FIND("bw",LOWER(TEXT(F121,"@"))))=TRUE()),"",ROUND(F121/E121,2)),"")</f>
        <v/>
      </c>
      <c r="K121" s="21" t="n"/>
    </row>
    <row r="123" ht="15" customHeight="1" s="103">
      <c r="A123" s="135" t="inlineStr">
        <is>
          <t>── Session 5:  20 Aug 2025  ·  Body weight: 48.8 kg  ──</t>
        </is>
      </c>
      <c r="B123" s="109" t="n"/>
      <c r="C123" s="109" t="n"/>
      <c r="D123" s="109" t="n"/>
      <c r="E123" s="109" t="n"/>
      <c r="F123" s="109" t="n"/>
      <c r="G123" s="109" t="n"/>
      <c r="H123" s="109" t="n"/>
      <c r="I123" s="109" t="n"/>
      <c r="J123" s="109" t="n"/>
      <c r="K123" s="110" t="n"/>
    </row>
    <row r="124" ht="15" customHeight="1" s="103">
      <c r="A124" s="6" t="n">
        <v>45889</v>
      </c>
      <c r="B124" s="7" t="n">
        <v>48.8</v>
      </c>
      <c r="C124" s="8">
        <f>IFERROR(INDEX(Ref!$B$2:$B$43,MATCH(D124,Ref!$A$2:$A$43,0)),"")</f>
        <v/>
      </c>
      <c r="D124" s="9" t="inlineStr">
        <is>
          <t>Hip Abductor</t>
        </is>
      </c>
      <c r="E124" s="10" t="n">
        <v>0.85</v>
      </c>
      <c r="F124" s="11" t="n">
        <v>36.55</v>
      </c>
      <c r="G124" s="12">
        <f>IFERROR(INDEX(Ref!$C$2:$C$43,MATCH(D124,Ref!$A$2:$A$43,0)),"")</f>
        <v/>
      </c>
      <c r="H124" s="12">
        <f>IFERROR(INDEX(Ref!$D$2:$D$43,MATCH(D124,Ref!$A$2:$A$43,0)),"")</f>
        <v/>
      </c>
      <c r="I124" s="12">
        <f>IFERROR(INDEX(Ref!$E$2:$E$43,MATCH(D124,Ref!$A$2:$A$43,0)),"")</f>
        <v/>
      </c>
      <c r="J124" s="13">
        <f>IFERROR(IF(OR(E124="",F124="",ISNUMBER(FIND("bw",LOWER(TEXT(F124,"@"))))=TRUE()),"",ROUND(F124/E124,2)),"")</f>
        <v/>
      </c>
      <c r="K124" s="14" t="n"/>
    </row>
    <row r="125" ht="15" customHeight="1" s="103">
      <c r="A125" s="6" t="n">
        <v>45889</v>
      </c>
      <c r="B125" s="7" t="n">
        <v>48.8</v>
      </c>
      <c r="C125" s="8">
        <f>IFERROR(INDEX(Ref!$B$2:$B$43,MATCH(D125,Ref!$A$2:$A$43,0)),"")</f>
        <v/>
      </c>
      <c r="D125" s="9" t="inlineStr">
        <is>
          <t>Hip Adductor</t>
        </is>
      </c>
      <c r="E125" s="10" t="n">
        <v>0.85</v>
      </c>
      <c r="F125" s="11" t="n">
        <v>31.96</v>
      </c>
      <c r="G125" s="12">
        <f>IFERROR(INDEX(Ref!$C$2:$C$43,MATCH(D125,Ref!$A$2:$A$43,0)),"")</f>
        <v/>
      </c>
      <c r="H125" s="12">
        <f>IFERROR(INDEX(Ref!$D$2:$D$43,MATCH(D125,Ref!$A$2:$A$43,0)),"")</f>
        <v/>
      </c>
      <c r="I125" s="12">
        <f>IFERROR(INDEX(Ref!$E$2:$E$43,MATCH(D125,Ref!$A$2:$A$43,0)),"")</f>
        <v/>
      </c>
      <c r="J125" s="13">
        <f>IFERROR(IF(OR(E125="",F125="",ISNUMBER(FIND("bw",LOWER(TEXT(F125,"@"))))=TRUE()),"",ROUND(F125/E125,2)),"")</f>
        <v/>
      </c>
      <c r="K125" s="14" t="n"/>
    </row>
    <row r="126" ht="15" customHeight="1" s="103">
      <c r="A126" s="6" t="n">
        <v>45889</v>
      </c>
      <c r="B126" s="7" t="n">
        <v>48.8</v>
      </c>
      <c r="C126" s="8">
        <f>IFERROR(INDEX(Ref!$B$2:$B$43,MATCH(D126,Ref!$A$2:$A$43,0)),"")</f>
        <v/>
      </c>
      <c r="D126" s="9" t="inlineStr">
        <is>
          <t>Ext. Quadriceps</t>
        </is>
      </c>
      <c r="E126" s="10" t="n">
        <v>0.85</v>
      </c>
      <c r="F126" s="11" t="n">
        <v>27.29</v>
      </c>
      <c r="G126" s="12">
        <f>IFERROR(INDEX(Ref!$C$2:$C$43,MATCH(D126,Ref!$A$2:$A$43,0)),"")</f>
        <v/>
      </c>
      <c r="H126" s="12">
        <f>IFERROR(INDEX(Ref!$D$2:$D$43,MATCH(D126,Ref!$A$2:$A$43,0)),"")</f>
        <v/>
      </c>
      <c r="I126" s="12">
        <f>IFERROR(INDEX(Ref!$E$2:$E$43,MATCH(D126,Ref!$A$2:$A$43,0)),"")</f>
        <v/>
      </c>
      <c r="J126" s="13">
        <f>IFERROR(IF(OR(E126="",F126="",ISNUMBER(FIND("bw",LOWER(TEXT(F126,"@"))))=TRUE()),"",ROUND(F126/E126,2)),"")</f>
        <v/>
      </c>
      <c r="K126" s="14" t="n"/>
    </row>
    <row r="127" ht="15" customHeight="1" s="103">
      <c r="A127" s="6" t="n">
        <v>45889</v>
      </c>
      <c r="B127" s="7" t="n">
        <v>48.8</v>
      </c>
      <c r="C127" s="8">
        <f>IFERROR(INDEX(Ref!$B$2:$B$43,MATCH(D127,Ref!$A$2:$A$43,0)),"")</f>
        <v/>
      </c>
      <c r="D127" s="9" t="inlineStr">
        <is>
          <t>Prone Leg Curl</t>
        </is>
      </c>
      <c r="E127" s="10" t="n">
        <v>0.85</v>
      </c>
      <c r="F127" s="11" t="n">
        <v>18.02</v>
      </c>
      <c r="G127" s="12">
        <f>IFERROR(INDEX(Ref!$C$2:$C$43,MATCH(D127,Ref!$A$2:$A$43,0)),"")</f>
        <v/>
      </c>
      <c r="H127" s="12">
        <f>IFERROR(INDEX(Ref!$D$2:$D$43,MATCH(D127,Ref!$A$2:$A$43,0)),"")</f>
        <v/>
      </c>
      <c r="I127" s="12">
        <f>IFERROR(INDEX(Ref!$E$2:$E$43,MATCH(D127,Ref!$A$2:$A$43,0)),"")</f>
        <v/>
      </c>
      <c r="J127" s="13">
        <f>IFERROR(IF(OR(E127="",F127="",ISNUMBER(FIND("bw",LOWER(TEXT(F127,"@"))))=TRUE()),"",ROUND(F127/E127,2)),"")</f>
        <v/>
      </c>
      <c r="K127" s="14" t="n"/>
    </row>
    <row r="128" ht="15" customHeight="1" s="103">
      <c r="A128" s="6" t="n">
        <v>45889</v>
      </c>
      <c r="B128" s="7" t="n">
        <v>48.8</v>
      </c>
      <c r="C128" s="8">
        <f>IFERROR(INDEX(Ref!$B$2:$B$43,MATCH(D128,Ref!$A$2:$A$43,0)),"")</f>
        <v/>
      </c>
      <c r="D128" s="9" t="inlineStr">
        <is>
          <t>Leg Press</t>
        </is>
      </c>
      <c r="E128" s="10" t="n">
        <v>0.85</v>
      </c>
      <c r="F128" s="11" t="n">
        <v>33.15</v>
      </c>
      <c r="G128" s="12">
        <f>IFERROR(INDEX(Ref!$C$2:$C$43,MATCH(D128,Ref!$A$2:$A$43,0)),"")</f>
        <v/>
      </c>
      <c r="H128" s="12">
        <f>IFERROR(INDEX(Ref!$D$2:$D$43,MATCH(D128,Ref!$A$2:$A$43,0)),"")</f>
        <v/>
      </c>
      <c r="I128" s="12">
        <f>IFERROR(INDEX(Ref!$E$2:$E$43,MATCH(D128,Ref!$A$2:$A$43,0)),"")</f>
        <v/>
      </c>
      <c r="J128" s="13">
        <f>IFERROR(IF(OR(E128="",F128="",ISNUMBER(FIND("bw",LOWER(TEXT(F128,"@"))))=TRUE()),"",ROUND(F128/E128,2)),"")</f>
        <v/>
      </c>
      <c r="K128" s="14" t="n"/>
    </row>
    <row r="129" ht="15" customHeight="1" s="103">
      <c r="A129" s="6" t="n">
        <v>45889</v>
      </c>
      <c r="B129" s="7" t="n">
        <v>48.8</v>
      </c>
      <c r="C129" s="8">
        <f>IFERROR(INDEX(Ref!$B$2:$B$43,MATCH(D129,Ref!$A$2:$A$43,0)),"")</f>
        <v/>
      </c>
      <c r="D129" s="9" t="inlineStr">
        <is>
          <t>Plank</t>
        </is>
      </c>
      <c r="E129" s="10" t="n">
        <v>0.5</v>
      </c>
      <c r="F129" s="15" t="inlineStr">
        <is>
          <t>bw</t>
        </is>
      </c>
      <c r="G129" s="12">
        <f>IFERROR(INDEX(Ref!$C$2:$C$43,MATCH(D129,Ref!$A$2:$A$43,0)),"")</f>
        <v/>
      </c>
      <c r="H129" s="12">
        <f>IFERROR(INDEX(Ref!$D$2:$D$43,MATCH(D129,Ref!$A$2:$A$43,0)),"")</f>
        <v/>
      </c>
      <c r="I129" s="12">
        <f>IFERROR(INDEX(Ref!$E$2:$E$43,MATCH(D129,Ref!$A$2:$A$43,0)),"")</f>
        <v/>
      </c>
      <c r="J129" s="13">
        <f>IFERROR(IF(OR(E129="",F129="",ISNUMBER(FIND("bw",LOWER(TEXT(F129,"@"))))=TRUE()),"",ROUND(F129/E129,2)),"")</f>
        <v/>
      </c>
      <c r="K129" s="14" t="n"/>
    </row>
    <row r="130" ht="15" customHeight="1" s="103">
      <c r="A130" s="6" t="n">
        <v>45889</v>
      </c>
      <c r="B130" s="7" t="n">
        <v>48.8</v>
      </c>
      <c r="C130" s="8">
        <f>IFERROR(INDEX(Ref!$B$2:$B$43,MATCH(D130,Ref!$A$2:$A$43,0)),"")</f>
        <v/>
      </c>
      <c r="D130" s="9" t="inlineStr">
        <is>
          <t>Russian Sit-ups</t>
        </is>
      </c>
      <c r="E130" s="10" t="n">
        <v>0.65</v>
      </c>
      <c r="F130" s="11" t="n">
        <v>6</v>
      </c>
      <c r="G130" s="12">
        <f>IFERROR(INDEX(Ref!$C$2:$C$43,MATCH(D130,Ref!$A$2:$A$43,0)),"")</f>
        <v/>
      </c>
      <c r="H130" s="12">
        <f>IFERROR(INDEX(Ref!$D$2:$D$43,MATCH(D130,Ref!$A$2:$A$43,0)),"")</f>
        <v/>
      </c>
      <c r="I130" s="12">
        <f>IFERROR(INDEX(Ref!$E$2:$E$43,MATCH(D130,Ref!$A$2:$A$43,0)),"")</f>
        <v/>
      </c>
      <c r="J130" s="13">
        <f>IFERROR(IF(OR(E130="",F130="",ISNUMBER(FIND("bw",LOWER(TEXT(F130,"@"))))=TRUE()),"",ROUND(F130/E130,2)),"")</f>
        <v/>
      </c>
      <c r="K130" s="14" t="n"/>
    </row>
    <row r="131" ht="15" customHeight="1" s="103">
      <c r="A131" s="6" t="n">
        <v>45889</v>
      </c>
      <c r="B131" s="7" t="n">
        <v>48.8</v>
      </c>
      <c r="C131" s="8">
        <f>IFERROR(INDEX(Ref!$B$2:$B$43,MATCH(D131,Ref!$A$2:$A$43,0)),"")</f>
        <v/>
      </c>
      <c r="D131" s="9" t="inlineStr">
        <is>
          <t>Floor ABS Rotation</t>
        </is>
      </c>
      <c r="E131" s="10" t="n">
        <v>0.8</v>
      </c>
      <c r="F131" s="15" t="inlineStr">
        <is>
          <t>2x3</t>
        </is>
      </c>
      <c r="G131" s="12">
        <f>IFERROR(INDEX(Ref!$C$2:$C$43,MATCH(D131,Ref!$A$2:$A$43,0)),"")</f>
        <v/>
      </c>
      <c r="H131" s="12">
        <f>IFERROR(INDEX(Ref!$D$2:$D$43,MATCH(D131,Ref!$A$2:$A$43,0)),"")</f>
        <v/>
      </c>
      <c r="I131" s="12">
        <f>IFERROR(INDEX(Ref!$E$2:$E$43,MATCH(D131,Ref!$A$2:$A$43,0)),"")</f>
        <v/>
      </c>
      <c r="J131" s="13">
        <f>IFERROR(IF(OR(E131="",F131="",ISNUMBER(FIND("bw",LOWER(TEXT(F131,"@"))))=TRUE()),"",ROUND(F131/E131,2)),"")</f>
        <v/>
      </c>
      <c r="K131" s="14" t="n"/>
    </row>
    <row r="132" ht="15" customHeight="1" s="103">
      <c r="A132" s="6" t="n">
        <v>45889</v>
      </c>
      <c r="B132" s="7" t="n">
        <v>48.8</v>
      </c>
      <c r="C132" s="8">
        <f>IFERROR(INDEX(Ref!$B$2:$B$43,MATCH(D132,Ref!$A$2:$A$43,0)),"")</f>
        <v/>
      </c>
      <c r="D132" s="9" t="inlineStr">
        <is>
          <t>Leg + Arms Ups</t>
        </is>
      </c>
      <c r="E132" s="10" t="n">
        <v>0.95</v>
      </c>
      <c r="F132" s="11" t="n">
        <v>12</v>
      </c>
      <c r="G132" s="12">
        <f>IFERROR(INDEX(Ref!$C$2:$C$43,MATCH(D132,Ref!$A$2:$A$43,0)),"")</f>
        <v/>
      </c>
      <c r="H132" s="12">
        <f>IFERROR(INDEX(Ref!$D$2:$D$43,MATCH(D132,Ref!$A$2:$A$43,0)),"")</f>
        <v/>
      </c>
      <c r="I132" s="12">
        <f>IFERROR(INDEX(Ref!$E$2:$E$43,MATCH(D132,Ref!$A$2:$A$43,0)),"")</f>
        <v/>
      </c>
      <c r="J132" s="13">
        <f>IFERROR(IF(OR(E132="",F132="",ISNUMBER(FIND("bw",LOWER(TEXT(F132,"@"))))=TRUE()),"",ROUND(F132/E132,2)),"")</f>
        <v/>
      </c>
      <c r="K132" s="14" t="n"/>
    </row>
    <row r="133" ht="15" customHeight="1" s="103">
      <c r="A133" s="6" t="n">
        <v>45889</v>
      </c>
      <c r="B133" s="7" t="n">
        <v>48.8</v>
      </c>
      <c r="C133" s="8">
        <f>IFERROR(INDEX(Ref!$B$2:$B$43,MATCH(D133,Ref!$A$2:$A$43,0)),"")</f>
        <v/>
      </c>
      <c r="D133" s="9" t="inlineStr">
        <is>
          <t>Matrix Abd. N4</t>
        </is>
      </c>
      <c r="E133" s="10" t="n">
        <v>0.85</v>
      </c>
      <c r="F133" s="11" t="n">
        <v>4</v>
      </c>
      <c r="G133" s="12">
        <f>IFERROR(INDEX(Ref!$C$2:$C$43,MATCH(D133,Ref!$A$2:$A$43,0)),"")</f>
        <v/>
      </c>
      <c r="H133" s="12">
        <f>IFERROR(INDEX(Ref!$D$2:$D$43,MATCH(D133,Ref!$A$2:$A$43,0)),"")</f>
        <v/>
      </c>
      <c r="I133" s="12">
        <f>IFERROR(INDEX(Ref!$E$2:$E$43,MATCH(D133,Ref!$A$2:$A$43,0)),"")</f>
        <v/>
      </c>
      <c r="J133" s="13">
        <f>IFERROR(IF(OR(E133="",F133="",ISNUMBER(FIND("bw",LOWER(TEXT(F133,"@"))))=TRUE()),"",ROUND(F133/E133,2)),"")</f>
        <v/>
      </c>
      <c r="K133" s="14" t="n"/>
    </row>
    <row r="134" ht="15" customHeight="1" s="103">
      <c r="A134" s="6" t="n">
        <v>45889</v>
      </c>
      <c r="B134" s="7" t="n">
        <v>48.8</v>
      </c>
      <c r="C134" s="8">
        <f>IFERROR(INDEX(Ref!$B$2:$B$43,MATCH(D134,Ref!$A$2:$A$43,0)),"")</f>
        <v/>
      </c>
      <c r="D134" s="9" t="inlineStr">
        <is>
          <t>Matrix Abd. Up</t>
        </is>
      </c>
      <c r="E134" s="10" t="n">
        <v>0.9</v>
      </c>
      <c r="F134" s="11" t="n">
        <v>10</v>
      </c>
      <c r="G134" s="12">
        <f>IFERROR(INDEX(Ref!$C$2:$C$43,MATCH(D134,Ref!$A$2:$A$43,0)),"")</f>
        <v/>
      </c>
      <c r="H134" s="12">
        <f>IFERROR(INDEX(Ref!$D$2:$D$43,MATCH(D134,Ref!$A$2:$A$43,0)),"")</f>
        <v/>
      </c>
      <c r="I134" s="12">
        <f>IFERROR(INDEX(Ref!$E$2:$E$43,MATCH(D134,Ref!$A$2:$A$43,0)),"")</f>
        <v/>
      </c>
      <c r="J134" s="13">
        <f>IFERROR(IF(OR(E134="",F134="",ISNUMBER(FIND("bw",LOWER(TEXT(F134,"@"))))=TRUE()),"",ROUND(F134/E134,2)),"")</f>
        <v/>
      </c>
      <c r="K134" s="14" t="n"/>
    </row>
    <row r="135" ht="15" customHeight="1" s="103">
      <c r="A135" s="6" t="n">
        <v>45889</v>
      </c>
      <c r="B135" s="7" t="n">
        <v>48.8</v>
      </c>
      <c r="C135" s="8">
        <f>IFERROR(INDEX(Ref!$B$2:$B$43,MATCH(D135,Ref!$A$2:$A$43,0)),"")</f>
        <v/>
      </c>
      <c r="D135" s="9" t="inlineStr">
        <is>
          <t>Rotary Torso</t>
        </is>
      </c>
      <c r="E135" s="10" t="n">
        <v>0.85</v>
      </c>
      <c r="F135" s="11" t="n">
        <v>23.04</v>
      </c>
      <c r="G135" s="12">
        <f>IFERROR(INDEX(Ref!$C$2:$C$43,MATCH(D135,Ref!$A$2:$A$43,0)),"")</f>
        <v/>
      </c>
      <c r="H135" s="12">
        <f>IFERROR(INDEX(Ref!$D$2:$D$43,MATCH(D135,Ref!$A$2:$A$43,0)),"")</f>
        <v/>
      </c>
      <c r="I135" s="12">
        <f>IFERROR(INDEX(Ref!$E$2:$E$43,MATCH(D135,Ref!$A$2:$A$43,0)),"")</f>
        <v/>
      </c>
      <c r="J135" s="13">
        <f>IFERROR(IF(OR(E135="",F135="",ISNUMBER(FIND("bw",LOWER(TEXT(F135,"@"))))=TRUE()),"",ROUND(F135/E135,2)),"")</f>
        <v/>
      </c>
      <c r="K135" s="14" t="n"/>
    </row>
    <row r="136" ht="15" customHeight="1" s="103">
      <c r="A136" s="6" t="n">
        <v>45889</v>
      </c>
      <c r="B136" s="7" t="n">
        <v>48.8</v>
      </c>
      <c r="C136" s="8">
        <f>IFERROR(INDEX(Ref!$B$2:$B$43,MATCH(D136,Ref!$A$2:$A$43,0)),"")</f>
        <v/>
      </c>
      <c r="D136" s="9" t="inlineStr">
        <is>
          <t>Scapular Pull-up</t>
        </is>
      </c>
      <c r="E136" s="10" t="n"/>
      <c r="F136" s="15" t="inlineStr">
        <is>
          <t>bw</t>
        </is>
      </c>
      <c r="G136" s="12">
        <f>IFERROR(INDEX(Ref!$C$2:$C$43,MATCH(D136,Ref!$A$2:$A$43,0)),"")</f>
        <v/>
      </c>
      <c r="H136" s="12">
        <f>IFERROR(INDEX(Ref!$D$2:$D$43,MATCH(D136,Ref!$A$2:$A$43,0)),"")</f>
        <v/>
      </c>
      <c r="I136" s="12">
        <f>IFERROR(INDEX(Ref!$E$2:$E$43,MATCH(D136,Ref!$A$2:$A$43,0)),"")</f>
        <v/>
      </c>
      <c r="J136" s="13">
        <f>IFERROR(IF(OR(E136="",F136="",ISNUMBER(FIND("bw",LOWER(TEXT(F136,"@"))))=TRUE()),"",ROUND(F136/E136,2)),"")</f>
        <v/>
      </c>
      <c r="K136" s="14" t="n"/>
    </row>
    <row r="137" ht="15" customHeight="1" s="103">
      <c r="A137" s="6" t="n">
        <v>45889</v>
      </c>
      <c r="B137" s="7" t="n">
        <v>48.8</v>
      </c>
      <c r="C137" s="8">
        <f>IFERROR(INDEX(Ref!$B$2:$B$43,MATCH(D137,Ref!$A$2:$A$43,0)),"")</f>
        <v/>
      </c>
      <c r="D137" s="9" t="inlineStr">
        <is>
          <t>ISO Scapular Pull</t>
        </is>
      </c>
      <c r="E137" s="10" t="n"/>
      <c r="F137" s="15" t="inlineStr">
        <is>
          <t>bw</t>
        </is>
      </c>
      <c r="G137" s="12">
        <f>IFERROR(INDEX(Ref!$C$2:$C$43,MATCH(D137,Ref!$A$2:$A$43,0)),"")</f>
        <v/>
      </c>
      <c r="H137" s="12">
        <f>IFERROR(INDEX(Ref!$D$2:$D$43,MATCH(D137,Ref!$A$2:$A$43,0)),"")</f>
        <v/>
      </c>
      <c r="I137" s="12">
        <f>IFERROR(INDEX(Ref!$E$2:$E$43,MATCH(D137,Ref!$A$2:$A$43,0)),"")</f>
        <v/>
      </c>
      <c r="J137" s="13">
        <f>IFERROR(IF(OR(E137="",F137="",ISNUMBER(FIND("bw",LOWER(TEXT(F137,"@"))))=TRUE()),"",ROUND(F137/E137,2)),"")</f>
        <v/>
      </c>
      <c r="K137" s="14" t="n"/>
    </row>
    <row r="138" ht="15" customHeight="1" s="103">
      <c r="A138" s="6" t="n">
        <v>45889</v>
      </c>
      <c r="B138" s="7" t="n">
        <v>48.8</v>
      </c>
      <c r="C138" s="8">
        <f>IFERROR(INDEX(Ref!$B$2:$B$43,MATCH(D138,Ref!$A$2:$A$43,0)),"")</f>
        <v/>
      </c>
      <c r="D138" s="9" t="inlineStr">
        <is>
          <t>1-Arm Scap. Pull-up</t>
        </is>
      </c>
      <c r="E138" s="10" t="n"/>
      <c r="F138" s="15" t="inlineStr">
        <is>
          <t>bw</t>
        </is>
      </c>
      <c r="G138" s="12">
        <f>IFERROR(INDEX(Ref!$C$2:$C$43,MATCH(D138,Ref!$A$2:$A$43,0)),"")</f>
        <v/>
      </c>
      <c r="H138" s="12">
        <f>IFERROR(INDEX(Ref!$D$2:$D$43,MATCH(D138,Ref!$A$2:$A$43,0)),"")</f>
        <v/>
      </c>
      <c r="I138" s="12">
        <f>IFERROR(INDEX(Ref!$E$2:$E$43,MATCH(D138,Ref!$A$2:$A$43,0)),"")</f>
        <v/>
      </c>
      <c r="J138" s="13">
        <f>IFERROR(IF(OR(E138="",F138="",ISNUMBER(FIND("bw",LOWER(TEXT(F138,"@"))))=TRUE()),"",ROUND(F138/E138,2)),"")</f>
        <v/>
      </c>
      <c r="K138" s="14" t="n"/>
    </row>
    <row r="139" ht="15" customHeight="1" s="103">
      <c r="A139" s="6" t="n">
        <v>45889</v>
      </c>
      <c r="B139" s="7" t="n">
        <v>48.8</v>
      </c>
      <c r="C139" s="8">
        <f>IFERROR(INDEX(Ref!$B$2:$B$43,MATCH(D139,Ref!$A$2:$A$43,0)),"")</f>
        <v/>
      </c>
      <c r="D139" s="9" t="inlineStr">
        <is>
          <t>Pull-up</t>
        </is>
      </c>
      <c r="E139" s="10" t="n"/>
      <c r="F139" s="15" t="inlineStr">
        <is>
          <t>bw</t>
        </is>
      </c>
      <c r="G139" s="12">
        <f>IFERROR(INDEX(Ref!$C$2:$C$43,MATCH(D139,Ref!$A$2:$A$43,0)),"")</f>
        <v/>
      </c>
      <c r="H139" s="12">
        <f>IFERROR(INDEX(Ref!$D$2:$D$43,MATCH(D139,Ref!$A$2:$A$43,0)),"")</f>
        <v/>
      </c>
      <c r="I139" s="12">
        <f>IFERROR(INDEX(Ref!$E$2:$E$43,MATCH(D139,Ref!$A$2:$A$43,0)),"")</f>
        <v/>
      </c>
      <c r="J139" s="13">
        <f>IFERROR(IF(OR(E139="",F139="",ISNUMBER(FIND("bw",LOWER(TEXT(F139,"@"))))=TRUE()),"",ROUND(F139/E139,2)),"")</f>
        <v/>
      </c>
      <c r="K139" s="14" t="n"/>
    </row>
    <row r="140" ht="15" customHeight="1" s="103">
      <c r="A140" s="6" t="n">
        <v>45889</v>
      </c>
      <c r="B140" s="7" t="n">
        <v>48.8</v>
      </c>
      <c r="C140" s="8">
        <f>IFERROR(INDEX(Ref!$B$2:$B$43,MATCH(D140,Ref!$A$2:$A$43,0)),"")</f>
        <v/>
      </c>
      <c r="D140" s="9" t="inlineStr">
        <is>
          <t>Pull-up + Weight</t>
        </is>
      </c>
      <c r="E140" s="10" t="n">
        <v>1</v>
      </c>
      <c r="F140" s="15" t="inlineStr">
        <is>
          <t>+5kg</t>
        </is>
      </c>
      <c r="G140" s="12">
        <f>IFERROR(INDEX(Ref!$C$2:$C$43,MATCH(D140,Ref!$A$2:$A$43,0)),"")</f>
        <v/>
      </c>
      <c r="H140" s="12">
        <f>IFERROR(INDEX(Ref!$D$2:$D$43,MATCH(D140,Ref!$A$2:$A$43,0)),"")</f>
        <v/>
      </c>
      <c r="I140" s="12">
        <f>IFERROR(INDEX(Ref!$E$2:$E$43,MATCH(D140,Ref!$A$2:$A$43,0)),"")</f>
        <v/>
      </c>
      <c r="J140" s="13">
        <f>IFERROR(IF(OR(E140="",F140="",ISNUMBER(FIND("bw",LOWER(TEXT(F140,"@"))))=TRUE()),"",ROUND(F140/E140,2)),"")</f>
        <v/>
      </c>
      <c r="K140" s="14" t="n"/>
    </row>
    <row r="141" ht="15" customHeight="1" s="103">
      <c r="A141" s="6" t="n">
        <v>45889</v>
      </c>
      <c r="B141" s="7" t="n">
        <v>48.8</v>
      </c>
      <c r="C141" s="8">
        <f>IFERROR(INDEX(Ref!$B$2:$B$43,MATCH(D141,Ref!$A$2:$A$43,0)),"")</f>
        <v/>
      </c>
      <c r="D141" s="9" t="inlineStr">
        <is>
          <t>Lat Pulldown / Pull-up Bar</t>
        </is>
      </c>
      <c r="E141" s="10" t="n">
        <v>0.85</v>
      </c>
      <c r="F141" s="11" t="n">
        <v>39.02</v>
      </c>
      <c r="G141" s="12">
        <f>IFERROR(INDEX(Ref!$C$2:$C$43,MATCH(D141,Ref!$A$2:$A$43,0)),"")</f>
        <v/>
      </c>
      <c r="H141" s="12">
        <f>IFERROR(INDEX(Ref!$D$2:$D$43,MATCH(D141,Ref!$A$2:$A$43,0)),"")</f>
        <v/>
      </c>
      <c r="I141" s="12">
        <f>IFERROR(INDEX(Ref!$E$2:$E$43,MATCH(D141,Ref!$A$2:$A$43,0)),"")</f>
        <v/>
      </c>
      <c r="J141" s="13">
        <f>IFERROR(IF(OR(E141="",F141="",ISNUMBER(FIND("bw",LOWER(TEXT(F141,"@"))))=TRUE()),"",ROUND(F141/E141,2)),"")</f>
        <v/>
      </c>
      <c r="K141" s="14" t="n"/>
    </row>
    <row r="142" ht="15" customHeight="1" s="103">
      <c r="A142" s="6" t="n">
        <v>45889</v>
      </c>
      <c r="B142" s="7" t="n">
        <v>48.8</v>
      </c>
      <c r="C142" s="8">
        <f>IFERROR(INDEX(Ref!$B$2:$B$43,MATCH(D142,Ref!$A$2:$A$43,0)),"")</f>
        <v/>
      </c>
      <c r="D142" s="9" t="inlineStr">
        <is>
          <t>Rear Deltoid N1</t>
        </is>
      </c>
      <c r="E142" s="10" t="n">
        <v>0.85</v>
      </c>
      <c r="F142" s="11" t="n">
        <v>24.99</v>
      </c>
      <c r="G142" s="12">
        <f>IFERROR(INDEX(Ref!$C$2:$C$43,MATCH(D142,Ref!$A$2:$A$43,0)),"")</f>
        <v/>
      </c>
      <c r="H142" s="12">
        <f>IFERROR(INDEX(Ref!$D$2:$D$43,MATCH(D142,Ref!$A$2:$A$43,0)),"")</f>
        <v/>
      </c>
      <c r="I142" s="12">
        <f>IFERROR(INDEX(Ref!$E$2:$E$43,MATCH(D142,Ref!$A$2:$A$43,0)),"")</f>
        <v/>
      </c>
      <c r="J142" s="13">
        <f>IFERROR(IF(OR(E142="",F142="",ISNUMBER(FIND("bw",LOWER(TEXT(F142,"@"))))=TRUE()),"",ROUND(F142/E142,2)),"")</f>
        <v/>
      </c>
      <c r="K142" s="14" t="n"/>
    </row>
    <row r="143" ht="15" customHeight="1" s="103">
      <c r="A143" s="6" t="n">
        <v>45889</v>
      </c>
      <c r="B143" s="7" t="n">
        <v>48.8</v>
      </c>
      <c r="C143" s="8">
        <f>IFERROR(INDEX(Ref!$B$2:$B$43,MATCH(D143,Ref!$A$2:$A$43,0)),"")</f>
        <v/>
      </c>
      <c r="D143" s="9" t="inlineStr">
        <is>
          <t>Fly Deltoid N2</t>
        </is>
      </c>
      <c r="E143" s="10" t="n">
        <v>0.85</v>
      </c>
      <c r="F143" s="11" t="n">
        <v>32.05</v>
      </c>
      <c r="G143" s="12">
        <f>IFERROR(INDEX(Ref!$C$2:$C$43,MATCH(D143,Ref!$A$2:$A$43,0)),"")</f>
        <v/>
      </c>
      <c r="H143" s="12">
        <f>IFERROR(INDEX(Ref!$D$2:$D$43,MATCH(D143,Ref!$A$2:$A$43,0)),"")</f>
        <v/>
      </c>
      <c r="I143" s="12">
        <f>IFERROR(INDEX(Ref!$E$2:$E$43,MATCH(D143,Ref!$A$2:$A$43,0)),"")</f>
        <v/>
      </c>
      <c r="J143" s="13">
        <f>IFERROR(IF(OR(E143="",F143="",ISNUMBER(FIND("bw",LOWER(TEXT(F143,"@"))))=TRUE()),"",ROUND(F143/E143,2)),"")</f>
        <v/>
      </c>
      <c r="K143" s="14" t="n"/>
    </row>
    <row r="144" ht="15" customHeight="1" s="103">
      <c r="A144" s="6" t="n">
        <v>45889</v>
      </c>
      <c r="B144" s="7" t="n">
        <v>48.8</v>
      </c>
      <c r="C144" s="8">
        <f>IFERROR(INDEX(Ref!$B$2:$B$43,MATCH(D144,Ref!$A$2:$A$43,0)),"")</f>
        <v/>
      </c>
      <c r="D144" s="9" t="inlineStr">
        <is>
          <t>Shoulder Press</t>
        </is>
      </c>
      <c r="E144" s="10" t="n">
        <v>0.85</v>
      </c>
      <c r="F144" s="11" t="n">
        <v>18.02</v>
      </c>
      <c r="G144" s="12">
        <f>IFERROR(INDEX(Ref!$C$2:$C$43,MATCH(D144,Ref!$A$2:$A$43,0)),"")</f>
        <v/>
      </c>
      <c r="H144" s="12">
        <f>IFERROR(INDEX(Ref!$D$2:$D$43,MATCH(D144,Ref!$A$2:$A$43,0)),"")</f>
        <v/>
      </c>
      <c r="I144" s="12">
        <f>IFERROR(INDEX(Ref!$E$2:$E$43,MATCH(D144,Ref!$A$2:$A$43,0)),"")</f>
        <v/>
      </c>
      <c r="J144" s="13">
        <f>IFERROR(IF(OR(E144="",F144="",ISNUMBER(FIND("bw",LOWER(TEXT(F144,"@"))))=TRUE()),"",ROUND(F144/E144,2)),"")</f>
        <v/>
      </c>
      <c r="K144" s="14" t="n"/>
    </row>
    <row r="145" ht="15" customHeight="1" s="103">
      <c r="A145" s="6" t="n">
        <v>45889</v>
      </c>
      <c r="B145" s="7" t="n">
        <v>48.8</v>
      </c>
      <c r="C145" s="8">
        <f>IFERROR(INDEX(Ref!$B$2:$B$43,MATCH(D145,Ref!$A$2:$A$43,0)),"")</f>
        <v/>
      </c>
      <c r="D145" s="9" t="inlineStr">
        <is>
          <t>Chest Press</t>
        </is>
      </c>
      <c r="E145" s="10" t="n">
        <v>0.85</v>
      </c>
      <c r="F145" s="11" t="n">
        <v>25.08</v>
      </c>
      <c r="G145" s="12">
        <f>IFERROR(INDEX(Ref!$C$2:$C$43,MATCH(D145,Ref!$A$2:$A$43,0)),"")</f>
        <v/>
      </c>
      <c r="H145" s="12">
        <f>IFERROR(INDEX(Ref!$D$2:$D$43,MATCH(D145,Ref!$A$2:$A$43,0)),"")</f>
        <v/>
      </c>
      <c r="I145" s="12">
        <f>IFERROR(INDEX(Ref!$E$2:$E$43,MATCH(D145,Ref!$A$2:$A$43,0)),"")</f>
        <v/>
      </c>
      <c r="J145" s="13">
        <f>IFERROR(IF(OR(E145="",F145="",ISNUMBER(FIND("bw",LOWER(TEXT(F145,"@"))))=TRUE()),"",ROUND(F145/E145,2)),"")</f>
        <v/>
      </c>
      <c r="K145" s="14" t="n"/>
    </row>
    <row r="146" ht="15" customHeight="1" s="103">
      <c r="A146" s="6" t="n">
        <v>45889</v>
      </c>
      <c r="B146" s="7" t="n">
        <v>48.8</v>
      </c>
      <c r="C146" s="8">
        <f>IFERROR(INDEX(Ref!$B$2:$B$43,MATCH(D146,Ref!$A$2:$A$43,0)),"")</f>
        <v/>
      </c>
      <c r="D146" s="9" t="inlineStr">
        <is>
          <t>Cable Cross Over</t>
        </is>
      </c>
      <c r="E146" s="10" t="n">
        <v>0.85</v>
      </c>
      <c r="F146" s="11" t="n">
        <v>11.9</v>
      </c>
      <c r="G146" s="12">
        <f>IFERROR(INDEX(Ref!$C$2:$C$43,MATCH(D146,Ref!$A$2:$A$43,0)),"")</f>
        <v/>
      </c>
      <c r="H146" s="12">
        <f>IFERROR(INDEX(Ref!$D$2:$D$43,MATCH(D146,Ref!$A$2:$A$43,0)),"")</f>
        <v/>
      </c>
      <c r="I146" s="12">
        <f>IFERROR(INDEX(Ref!$E$2:$E$43,MATCH(D146,Ref!$A$2:$A$43,0)),"")</f>
        <v/>
      </c>
      <c r="J146" s="13">
        <f>IFERROR(IF(OR(E146="",F146="",ISNUMBER(FIND("bw",LOWER(TEXT(F146,"@"))))=TRUE()),"",ROUND(F146/E146,2)),"")</f>
        <v/>
      </c>
      <c r="K146" s="14" t="n"/>
    </row>
    <row r="147" ht="15" customHeight="1" s="103">
      <c r="A147" s="6" t="n">
        <v>45889</v>
      </c>
      <c r="B147" s="7" t="n">
        <v>48.8</v>
      </c>
      <c r="C147" s="8">
        <f>IFERROR(INDEX(Ref!$B$2:$B$43,MATCH(D147,Ref!$A$2:$A$43,0)),"")</f>
        <v/>
      </c>
      <c r="D147" s="9" t="inlineStr">
        <is>
          <t>Low Row</t>
        </is>
      </c>
      <c r="E147" s="10" t="n">
        <v>0.85</v>
      </c>
      <c r="F147" s="11" t="n">
        <v>27.2</v>
      </c>
      <c r="G147" s="12">
        <f>IFERROR(INDEX(Ref!$C$2:$C$43,MATCH(D147,Ref!$A$2:$A$43,0)),"")</f>
        <v/>
      </c>
      <c r="H147" s="12">
        <f>IFERROR(INDEX(Ref!$D$2:$D$43,MATCH(D147,Ref!$A$2:$A$43,0)),"")</f>
        <v/>
      </c>
      <c r="I147" s="12">
        <f>IFERROR(INDEX(Ref!$E$2:$E$43,MATCH(D147,Ref!$A$2:$A$43,0)),"")</f>
        <v/>
      </c>
      <c r="J147" s="13">
        <f>IFERROR(IF(OR(E147="",F147="",ISNUMBER(FIND("bw",LOWER(TEXT(F147,"@"))))=TRUE()),"",ROUND(F147/E147,2)),"")</f>
        <v/>
      </c>
      <c r="K147" s="14" t="n"/>
    </row>
    <row r="148" ht="15" customHeight="1" s="103">
      <c r="A148" s="6" t="n">
        <v>45889</v>
      </c>
      <c r="B148" s="7" t="n">
        <v>48.8</v>
      </c>
      <c r="C148" s="8">
        <f>IFERROR(INDEX(Ref!$B$2:$B$43,MATCH(D148,Ref!$A$2:$A$43,0)),"")</f>
        <v/>
      </c>
      <c r="D148" s="9" t="inlineStr">
        <is>
          <t>Shoulder Rotation</t>
        </is>
      </c>
      <c r="E148" s="10" t="n"/>
      <c r="F148" s="11" t="n">
        <v>1.7</v>
      </c>
      <c r="G148" s="12">
        <f>IFERROR(INDEX(Ref!$C$2:$C$43,MATCH(D148,Ref!$A$2:$A$43,0)),"")</f>
        <v/>
      </c>
      <c r="H148" s="12">
        <f>IFERROR(INDEX(Ref!$D$2:$D$43,MATCH(D148,Ref!$A$2:$A$43,0)),"")</f>
        <v/>
      </c>
      <c r="I148" s="12">
        <f>IFERROR(INDEX(Ref!$E$2:$E$43,MATCH(D148,Ref!$A$2:$A$43,0)),"")</f>
        <v/>
      </c>
      <c r="J148" s="13">
        <f>IFERROR(IF(OR(E148="",F148="",ISNUMBER(FIND("bw",LOWER(TEXT(F148,"@"))))=TRUE()),"",ROUND(F148/E148,2)),"")</f>
        <v/>
      </c>
      <c r="K148" s="14" t="n"/>
    </row>
    <row r="149" ht="15" customHeight="1" s="103">
      <c r="A149" s="6" t="n">
        <v>45889</v>
      </c>
      <c r="B149" s="7" t="n">
        <v>48.8</v>
      </c>
      <c r="C149" s="8">
        <f>IFERROR(INDEX(Ref!$B$2:$B$43,MATCH(D149,Ref!$A$2:$A$43,0)),"")</f>
        <v/>
      </c>
      <c r="D149" s="9" t="inlineStr">
        <is>
          <t>Biceps</t>
        </is>
      </c>
      <c r="E149" s="10" t="n">
        <v>0.85</v>
      </c>
      <c r="F149" s="11" t="n">
        <v>8.08</v>
      </c>
      <c r="G149" s="12">
        <f>IFERROR(INDEX(Ref!$C$2:$C$43,MATCH(D149,Ref!$A$2:$A$43,0)),"")</f>
        <v/>
      </c>
      <c r="H149" s="12">
        <f>IFERROR(INDEX(Ref!$D$2:$D$43,MATCH(D149,Ref!$A$2:$A$43,0)),"")</f>
        <v/>
      </c>
      <c r="I149" s="12">
        <f>IFERROR(INDEX(Ref!$E$2:$E$43,MATCH(D149,Ref!$A$2:$A$43,0)),"")</f>
        <v/>
      </c>
      <c r="J149" s="13">
        <f>IFERROR(IF(OR(E149="",F149="",ISNUMBER(FIND("bw",LOWER(TEXT(F149,"@"))))=TRUE()),"",ROUND(F149/E149,2)),"")</f>
        <v/>
      </c>
      <c r="K149" s="14" t="n"/>
    </row>
    <row r="150" ht="15" customHeight="1" s="103">
      <c r="A150" s="6" t="n">
        <v>45889</v>
      </c>
      <c r="B150" s="7" t="n">
        <v>48.8</v>
      </c>
      <c r="C150" s="8">
        <f>IFERROR(INDEX(Ref!$B$2:$B$43,MATCH(D150,Ref!$A$2:$A$43,0)),"")</f>
        <v/>
      </c>
      <c r="D150" s="9" t="inlineStr">
        <is>
          <t>Seated Triceps Press</t>
        </is>
      </c>
      <c r="E150" s="10" t="n">
        <v>0.85</v>
      </c>
      <c r="F150" s="11" t="n">
        <v>34.51</v>
      </c>
      <c r="G150" s="12">
        <f>IFERROR(INDEX(Ref!$C$2:$C$43,MATCH(D150,Ref!$A$2:$A$43,0)),"")</f>
        <v/>
      </c>
      <c r="H150" s="12">
        <f>IFERROR(INDEX(Ref!$D$2:$D$43,MATCH(D150,Ref!$A$2:$A$43,0)),"")</f>
        <v/>
      </c>
      <c r="I150" s="12">
        <f>IFERROR(INDEX(Ref!$E$2:$E$43,MATCH(D150,Ref!$A$2:$A$43,0)),"")</f>
        <v/>
      </c>
      <c r="J150" s="13">
        <f>IFERROR(IF(OR(E150="",F150="",ISNUMBER(FIND("bw",LOWER(TEXT(F150,"@"))))=TRUE()),"",ROUND(F150/E150,2)),"")</f>
        <v/>
      </c>
      <c r="K150" s="14" t="n"/>
    </row>
    <row r="151" ht="15" customHeight="1" s="103">
      <c r="A151" s="6" t="n">
        <v>45889</v>
      </c>
      <c r="B151" s="7" t="n">
        <v>48.8</v>
      </c>
      <c r="C151" s="8">
        <f>IFERROR(INDEX(Ref!$B$2:$B$43,MATCH(D151,Ref!$A$2:$A$43,0)),"")</f>
        <v/>
      </c>
      <c r="D151" s="9" t="inlineStr">
        <is>
          <t>Wrist Extension</t>
        </is>
      </c>
      <c r="E151" s="10" t="n">
        <v>0.85</v>
      </c>
      <c r="F151" s="11" t="n">
        <v>8.08</v>
      </c>
      <c r="G151" s="12">
        <f>IFERROR(INDEX(Ref!$C$2:$C$43,MATCH(D151,Ref!$A$2:$A$43,0)),"")</f>
        <v/>
      </c>
      <c r="H151" s="12">
        <f>IFERROR(INDEX(Ref!$D$2:$D$43,MATCH(D151,Ref!$A$2:$A$43,0)),"")</f>
        <v/>
      </c>
      <c r="I151" s="12">
        <f>IFERROR(INDEX(Ref!$E$2:$E$43,MATCH(D151,Ref!$A$2:$A$43,0)),"")</f>
        <v/>
      </c>
      <c r="J151" s="13">
        <f>IFERROR(IF(OR(E151="",F151="",ISNUMBER(FIND("bw",LOWER(TEXT(F151,"@"))))=TRUE()),"",ROUND(F151/E151,2)),"")</f>
        <v/>
      </c>
      <c r="K151" s="14" t="n"/>
    </row>
    <row r="152" ht="15" customHeight="1" s="103">
      <c r="A152" s="6" t="n">
        <v>45889</v>
      </c>
      <c r="B152" s="7" t="n">
        <v>48.8</v>
      </c>
      <c r="C152" s="8">
        <f>IFERROR(INDEX(Ref!$B$2:$B$43,MATCH(D152,Ref!$A$2:$A$43,0)),"")</f>
        <v/>
      </c>
      <c r="D152" s="9" t="inlineStr">
        <is>
          <t>Wrist Internal</t>
        </is>
      </c>
      <c r="E152" s="10" t="n">
        <v>0.85</v>
      </c>
      <c r="F152" s="11" t="n">
        <v>6.03</v>
      </c>
      <c r="G152" s="12">
        <f>IFERROR(INDEX(Ref!$C$2:$C$43,MATCH(D152,Ref!$A$2:$A$43,0)),"")</f>
        <v/>
      </c>
      <c r="H152" s="12">
        <f>IFERROR(INDEX(Ref!$D$2:$D$43,MATCH(D152,Ref!$A$2:$A$43,0)),"")</f>
        <v/>
      </c>
      <c r="I152" s="12">
        <f>IFERROR(INDEX(Ref!$E$2:$E$43,MATCH(D152,Ref!$A$2:$A$43,0)),"")</f>
        <v/>
      </c>
      <c r="J152" s="13">
        <f>IFERROR(IF(OR(E152="",F152="",ISNUMBER(FIND("bw",LOWER(TEXT(F152,"@"))))=TRUE()),"",ROUND(F152/E152,2)),"")</f>
        <v/>
      </c>
      <c r="K152" s="14" t="n"/>
    </row>
    <row r="153" ht="15" customHeight="1" s="103">
      <c r="A153" s="6" t="n">
        <v>45889</v>
      </c>
      <c r="B153" s="7" t="n">
        <v>48.8</v>
      </c>
      <c r="C153" s="8">
        <f>IFERROR(INDEX(Ref!$B$2:$B$43,MATCH(D153,Ref!$A$2:$A$43,0)),"")</f>
        <v/>
      </c>
      <c r="D153" s="9" t="inlineStr">
        <is>
          <t>Wrist Curls Int Roll</t>
        </is>
      </c>
      <c r="E153" s="10" t="n">
        <v>0.85</v>
      </c>
      <c r="F153" s="11" t="n">
        <v>6.03</v>
      </c>
      <c r="G153" s="12">
        <f>IFERROR(INDEX(Ref!$C$2:$C$43,MATCH(D153,Ref!$A$2:$A$43,0)),"")</f>
        <v/>
      </c>
      <c r="H153" s="12">
        <f>IFERROR(INDEX(Ref!$D$2:$D$43,MATCH(D153,Ref!$A$2:$A$43,0)),"")</f>
        <v/>
      </c>
      <c r="I153" s="12">
        <f>IFERROR(INDEX(Ref!$E$2:$E$43,MATCH(D153,Ref!$A$2:$A$43,0)),"")</f>
        <v/>
      </c>
      <c r="J153" s="13">
        <f>IFERROR(IF(OR(E153="",F153="",ISNUMBER(FIND("bw",LOWER(TEXT(F153,"@"))))=TRUE()),"",ROUND(F153/E153,2)),"")</f>
        <v/>
      </c>
      <c r="K153" s="14" t="n"/>
    </row>
    <row r="154" ht="15" customHeight="1" s="103">
      <c r="A154" s="6" t="n">
        <v>45889</v>
      </c>
      <c r="B154" s="7" t="n">
        <v>48.8</v>
      </c>
      <c r="C154" s="8">
        <f>IFERROR(INDEX(Ref!$B$2:$B$43,MATCH(D154,Ref!$A$2:$A$43,0)),"")</f>
        <v/>
      </c>
      <c r="D154" s="9" t="inlineStr">
        <is>
          <t>Wrist Curls Ext Roll</t>
        </is>
      </c>
      <c r="E154" s="10" t="n">
        <v>0.85</v>
      </c>
      <c r="F154" s="11" t="n">
        <v>4.25</v>
      </c>
      <c r="G154" s="12">
        <f>IFERROR(INDEX(Ref!$C$2:$C$43,MATCH(D154,Ref!$A$2:$A$43,0)),"")</f>
        <v/>
      </c>
      <c r="H154" s="12">
        <f>IFERROR(INDEX(Ref!$D$2:$D$43,MATCH(D154,Ref!$A$2:$A$43,0)),"")</f>
        <v/>
      </c>
      <c r="I154" s="12">
        <f>IFERROR(INDEX(Ref!$E$2:$E$43,MATCH(D154,Ref!$A$2:$A$43,0)),"")</f>
        <v/>
      </c>
      <c r="J154" s="13">
        <f>IFERROR(IF(OR(E154="",F154="",ISNUMBER(FIND("bw",LOWER(TEXT(F154,"@"))))=TRUE()),"",ROUND(F154/E154,2)),"")</f>
        <v/>
      </c>
      <c r="K154" s="14" t="n"/>
    </row>
    <row r="155" ht="15" customHeight="1" s="103">
      <c r="A155" s="6" t="n">
        <v>45889</v>
      </c>
      <c r="B155" s="7" t="n">
        <v>48.8</v>
      </c>
      <c r="C155" s="8">
        <f>IFERROR(INDEX(Ref!$B$2:$B$43,MATCH(D155,Ref!$A$2:$A$43,0)),"")</f>
        <v/>
      </c>
      <c r="D155" s="9" t="inlineStr">
        <is>
          <t>Grips w/ Machine</t>
        </is>
      </c>
      <c r="E155" s="10" t="n">
        <v>1</v>
      </c>
      <c r="F155" s="11" t="n">
        <v>35</v>
      </c>
      <c r="G155" s="12">
        <f>IFERROR(INDEX(Ref!$C$2:$C$43,MATCH(D155,Ref!$A$2:$A$43,0)),"")</f>
        <v/>
      </c>
      <c r="H155" s="12">
        <f>IFERROR(INDEX(Ref!$D$2:$D$43,MATCH(D155,Ref!$A$2:$A$43,0)),"")</f>
        <v/>
      </c>
      <c r="I155" s="12">
        <f>IFERROR(INDEX(Ref!$E$2:$E$43,MATCH(D155,Ref!$A$2:$A$43,0)),"")</f>
        <v/>
      </c>
      <c r="J155" s="13">
        <f>IFERROR(IF(OR(E155="",F155="",ISNUMBER(FIND("bw",LOWER(TEXT(F155,"@"))))=TRUE()),"",ROUND(F155/E155,2)),"")</f>
        <v/>
      </c>
      <c r="K155" s="14" t="n"/>
    </row>
    <row r="157" ht="15" customHeight="1" s="103">
      <c r="A157" s="137" t="inlineStr">
        <is>
          <t>── Session 6:  1 Jan 2026  ·  Body weight: 49.3 kg  ──</t>
        </is>
      </c>
      <c r="B157" s="109" t="n"/>
      <c r="C157" s="109" t="n"/>
      <c r="D157" s="109" t="n"/>
      <c r="E157" s="109" t="n"/>
      <c r="F157" s="109" t="n"/>
      <c r="G157" s="109" t="n"/>
      <c r="H157" s="109" t="n"/>
      <c r="I157" s="109" t="n"/>
      <c r="J157" s="109" t="n"/>
      <c r="K157" s="110" t="n"/>
    </row>
    <row r="158" ht="15" customHeight="1" s="103">
      <c r="A158" s="23" t="n">
        <v>46023</v>
      </c>
      <c r="B158" s="24" t="n">
        <v>49.3</v>
      </c>
      <c r="C158" s="25">
        <f>IFERROR(INDEX(Ref!$B$2:$B$51,MATCH(D158,Ref!$A$2:$A$51,0)),"")</f>
        <v/>
      </c>
      <c r="D158" s="26" t="inlineStr">
        <is>
          <t>Hip Abductor</t>
        </is>
      </c>
      <c r="E158" s="27" t="n">
        <v>0.75</v>
      </c>
      <c r="F158" s="28" t="n">
        <v>39</v>
      </c>
      <c r="G158" s="29">
        <f>IFERROR(INDEX(Ref!$C$2:$C$51,MATCH(D158,Ref!$A$2:$A$51,0)),"")</f>
        <v/>
      </c>
      <c r="H158" s="29">
        <f>IFERROR(INDEX(Ref!$D$2:$D$51,MATCH(D158,Ref!$A$2:$A$51,0)),"")</f>
        <v/>
      </c>
      <c r="I158" s="29">
        <f>IFERROR(INDEX(Ref!$E$2:$E$51,MATCH(D158,Ref!$A$2:$A$51,0)),"")</f>
        <v/>
      </c>
      <c r="J158" s="30">
        <f>IFERROR(IF(OR(E158="",F158="",ISNUMBER(FIND("bw",LOWER(TEXT(F158,"@"))))=TRUE()),"",ROUND(F158/E158,2)),"")</f>
        <v/>
      </c>
      <c r="K158" s="31" t="n"/>
    </row>
    <row r="159" ht="15" customHeight="1" s="103">
      <c r="A159" s="23" t="n">
        <v>46023</v>
      </c>
      <c r="B159" s="24" t="n">
        <v>49.3</v>
      </c>
      <c r="C159" s="25">
        <f>IFERROR(INDEX(Ref!$B$2:$B$51,MATCH(D159,Ref!$A$2:$A$51,0)),"")</f>
        <v/>
      </c>
      <c r="D159" s="26" t="inlineStr">
        <is>
          <t>Hip Adductor</t>
        </is>
      </c>
      <c r="E159" s="27" t="n">
        <v>0.75</v>
      </c>
      <c r="F159" s="28" t="n">
        <v>31.95</v>
      </c>
      <c r="G159" s="29">
        <f>IFERROR(INDEX(Ref!$C$2:$C$51,MATCH(D159,Ref!$A$2:$A$51,0)),"")</f>
        <v/>
      </c>
      <c r="H159" s="29">
        <f>IFERROR(INDEX(Ref!$D$2:$D$51,MATCH(D159,Ref!$A$2:$A$51,0)),"")</f>
        <v/>
      </c>
      <c r="I159" s="29">
        <f>IFERROR(INDEX(Ref!$E$2:$E$51,MATCH(D159,Ref!$A$2:$A$51,0)),"")</f>
        <v/>
      </c>
      <c r="J159" s="30">
        <f>IFERROR(IF(OR(E159="",F159="",ISNUMBER(FIND("bw",LOWER(TEXT(F159,"@"))))=TRUE()),"",ROUND(F159/E159,2)),"")</f>
        <v/>
      </c>
      <c r="K159" s="31" t="n"/>
    </row>
    <row r="160" ht="15" customHeight="1" s="103">
      <c r="A160" s="23" t="n">
        <v>46023</v>
      </c>
      <c r="B160" s="24" t="n">
        <v>49.3</v>
      </c>
      <c r="C160" s="25">
        <f>IFERROR(INDEX(Ref!$B$2:$B$51,MATCH(D160,Ref!$A$2:$A$51,0)),"")</f>
        <v/>
      </c>
      <c r="D160" s="26" t="inlineStr">
        <is>
          <t>Leg Extension</t>
        </is>
      </c>
      <c r="E160" s="27" t="n">
        <v>0.75</v>
      </c>
      <c r="F160" s="28" t="n">
        <v>31.95</v>
      </c>
      <c r="G160" s="29">
        <f>IFERROR(INDEX(Ref!$C$2:$C$51,MATCH(D160,Ref!$A$2:$A$51,0)),"")</f>
        <v/>
      </c>
      <c r="H160" s="29">
        <f>IFERROR(INDEX(Ref!$D$2:$D$51,MATCH(D160,Ref!$A$2:$A$51,0)),"")</f>
        <v/>
      </c>
      <c r="I160" s="29">
        <f>IFERROR(INDEX(Ref!$E$2:$E$51,MATCH(D160,Ref!$A$2:$A$51,0)),"")</f>
        <v/>
      </c>
      <c r="J160" s="30">
        <f>IFERROR(IF(OR(E160="",F160="",ISNUMBER(FIND("bw",LOWER(TEXT(F160,"@"))))=TRUE()),"",ROUND(F160/E160,2)),"")</f>
        <v/>
      </c>
      <c r="K160" s="31" t="n"/>
    </row>
    <row r="161" ht="15" customHeight="1" s="103">
      <c r="A161" s="23" t="n">
        <v>46023</v>
      </c>
      <c r="B161" s="24" t="n">
        <v>49.3</v>
      </c>
      <c r="C161" s="25">
        <f>IFERROR(INDEX(Ref!$B$2:$B$51,MATCH(D161,Ref!$A$2:$A$51,0)),"")</f>
        <v/>
      </c>
      <c r="D161" s="26" t="inlineStr">
        <is>
          <t>Prone Leg Curl</t>
        </is>
      </c>
      <c r="E161" s="27" t="n">
        <v>0.78</v>
      </c>
      <c r="F161" s="28" t="n">
        <v>23.01</v>
      </c>
      <c r="G161" s="29">
        <f>IFERROR(INDEX(Ref!$C$2:$C$51,MATCH(D161,Ref!$A$2:$A$51,0)),"")</f>
        <v/>
      </c>
      <c r="H161" s="29">
        <f>IFERROR(INDEX(Ref!$D$2:$D$51,MATCH(D161,Ref!$A$2:$A$51,0)),"")</f>
        <v/>
      </c>
      <c r="I161" s="29">
        <f>IFERROR(INDEX(Ref!$E$2:$E$51,MATCH(D161,Ref!$A$2:$A$51,0)),"")</f>
        <v/>
      </c>
      <c r="J161" s="30">
        <f>IFERROR(IF(OR(E161="",F161="",ISNUMBER(FIND("bw",LOWER(TEXT(F161,"@"))))=TRUE()),"",ROUND(F161/E161,2)),"")</f>
        <v/>
      </c>
      <c r="K161" s="31" t="n"/>
    </row>
    <row r="162" ht="15" customHeight="1" s="103">
      <c r="A162" s="23" t="n">
        <v>46023</v>
      </c>
      <c r="B162" s="24" t="n">
        <v>49.3</v>
      </c>
      <c r="C162" s="25">
        <f>IFERROR(INDEX(Ref!$B$2:$B$51,MATCH(D162,Ref!$A$2:$A$51,0)),"")</f>
        <v/>
      </c>
      <c r="D162" s="26" t="inlineStr">
        <is>
          <t>Leg Press</t>
        </is>
      </c>
      <c r="E162" s="27" t="n">
        <v>0.75</v>
      </c>
      <c r="F162" s="28" t="n">
        <v>45</v>
      </c>
      <c r="G162" s="29">
        <f>IFERROR(INDEX(Ref!$C$2:$C$51,MATCH(D162,Ref!$A$2:$A$51,0)),"")</f>
        <v/>
      </c>
      <c r="H162" s="29">
        <f>IFERROR(INDEX(Ref!$D$2:$D$51,MATCH(D162,Ref!$A$2:$A$51,0)),"")</f>
        <v/>
      </c>
      <c r="I162" s="29">
        <f>IFERROR(INDEX(Ref!$E$2:$E$51,MATCH(D162,Ref!$A$2:$A$51,0)),"")</f>
        <v/>
      </c>
      <c r="J162" s="30">
        <f>IFERROR(IF(OR(E162="",F162="",ISNUMBER(FIND("bw",LOWER(TEXT(F162,"@"))))=TRUE()),"",ROUND(F162/E162,2)),"")</f>
        <v/>
      </c>
      <c r="K162" s="31" t="n"/>
    </row>
    <row r="163" ht="15" customHeight="1" s="103">
      <c r="A163" s="23" t="n">
        <v>46023</v>
      </c>
      <c r="B163" s="24" t="n">
        <v>49.3</v>
      </c>
      <c r="C163" s="25">
        <f>IFERROR(INDEX(Ref!$B$2:$B$51,MATCH(D163,Ref!$A$2:$A$51,0)),"")</f>
        <v/>
      </c>
      <c r="D163" s="26" t="inlineStr">
        <is>
          <t>Plank</t>
        </is>
      </c>
      <c r="E163" s="27" t="n">
        <v>0.5</v>
      </c>
      <c r="F163" s="32" t="inlineStr">
        <is>
          <t>bw</t>
        </is>
      </c>
      <c r="G163" s="29">
        <f>IFERROR(INDEX(Ref!$C$2:$C$51,MATCH(D163,Ref!$A$2:$A$51,0)),"")</f>
        <v/>
      </c>
      <c r="H163" s="29">
        <f>IFERROR(INDEX(Ref!$D$2:$D$51,MATCH(D163,Ref!$A$2:$A$51,0)),"")</f>
        <v/>
      </c>
      <c r="I163" s="29">
        <f>IFERROR(INDEX(Ref!$E$2:$E$51,MATCH(D163,Ref!$A$2:$A$51,0)),"")</f>
        <v/>
      </c>
      <c r="J163" s="30" t="inlineStr">
        <is>
          <t>""</t>
        </is>
      </c>
      <c r="K163" s="31" t="n"/>
    </row>
    <row r="164" ht="15" customHeight="1" s="103">
      <c r="A164" s="23" t="n">
        <v>46023</v>
      </c>
      <c r="B164" s="24" t="n">
        <v>49.3</v>
      </c>
      <c r="C164" s="25">
        <f>IFERROR(INDEX(Ref!$B$2:$B$51,MATCH(D164,Ref!$A$2:$A$51,0)),"")</f>
        <v/>
      </c>
      <c r="D164" s="26" t="inlineStr">
        <is>
          <t>Russian Sit-ups</t>
        </is>
      </c>
      <c r="E164" s="27" t="n">
        <v>0.65</v>
      </c>
      <c r="F164" s="28" t="n">
        <v>6</v>
      </c>
      <c r="G164" s="29">
        <f>IFERROR(INDEX(Ref!$C$2:$C$51,MATCH(D164,Ref!$A$2:$A$51,0)),"")</f>
        <v/>
      </c>
      <c r="H164" s="29">
        <f>IFERROR(INDEX(Ref!$D$2:$D$51,MATCH(D164,Ref!$A$2:$A$51,0)),"")</f>
        <v/>
      </c>
      <c r="I164" s="29">
        <f>IFERROR(INDEX(Ref!$E$2:$E$51,MATCH(D164,Ref!$A$2:$A$51,0)),"")</f>
        <v/>
      </c>
      <c r="J164" s="30">
        <f>IFERROR(IF(OR(E164="",F164="",ISNUMBER(FIND("bw",LOWER(TEXT(F164,"@"))))=TRUE()),"",ROUND(F164/E164,2)),"")</f>
        <v/>
      </c>
      <c r="K164" s="31" t="n"/>
    </row>
    <row r="165" ht="15" customHeight="1" s="103">
      <c r="A165" s="23" t="n">
        <v>46023</v>
      </c>
      <c r="B165" s="24" t="n">
        <v>49.3</v>
      </c>
      <c r="C165" s="25">
        <f>IFERROR(INDEX(Ref!$B$2:$B$51,MATCH(D165,Ref!$A$2:$A$51,0)),"")</f>
        <v/>
      </c>
      <c r="D165" s="26" t="inlineStr">
        <is>
          <t>Floor ABS Rotation</t>
        </is>
      </c>
      <c r="E165" s="27" t="n">
        <v>0.8</v>
      </c>
      <c r="F165" s="32" t="inlineStr">
        <is>
          <t>2x3</t>
        </is>
      </c>
      <c r="G165" s="29">
        <f>IFERROR(INDEX(Ref!$C$2:$C$51,MATCH(D165,Ref!$A$2:$A$51,0)),"")</f>
        <v/>
      </c>
      <c r="H165" s="29">
        <f>IFERROR(INDEX(Ref!$D$2:$D$51,MATCH(D165,Ref!$A$2:$A$51,0)),"")</f>
        <v/>
      </c>
      <c r="I165" s="29">
        <f>IFERROR(INDEX(Ref!$E$2:$E$51,MATCH(D165,Ref!$A$2:$A$51,0)),"")</f>
        <v/>
      </c>
      <c r="J165" s="30">
        <f>IFERROR(IF(OR(E165="",F165="",ISNUMBER(FIND("bw",LOWER(TEXT(F165,"@"))))=TRUE()),"",ROUND(F165/E165,2)),"")</f>
        <v/>
      </c>
      <c r="K165" s="31" t="n"/>
    </row>
    <row r="166" ht="15" customHeight="1" s="103">
      <c r="A166" s="23" t="n">
        <v>46023</v>
      </c>
      <c r="B166" s="24" t="n">
        <v>49.3</v>
      </c>
      <c r="C166" s="25">
        <f>IFERROR(INDEX(Ref!$B$2:$B$51,MATCH(D166,Ref!$A$2:$A$51,0)),"")</f>
        <v/>
      </c>
      <c r="D166" s="26" t="inlineStr">
        <is>
          <t>Leg + Arms Ups</t>
        </is>
      </c>
      <c r="E166" s="27" t="n">
        <v>0.95</v>
      </c>
      <c r="F166" s="28" t="n">
        <v>12</v>
      </c>
      <c r="G166" s="29">
        <f>IFERROR(INDEX(Ref!$C$2:$C$51,MATCH(D166,Ref!$A$2:$A$51,0)),"")</f>
        <v/>
      </c>
      <c r="H166" s="29">
        <f>IFERROR(INDEX(Ref!$D$2:$D$51,MATCH(D166,Ref!$A$2:$A$51,0)),"")</f>
        <v/>
      </c>
      <c r="I166" s="29">
        <f>IFERROR(INDEX(Ref!$E$2:$E$51,MATCH(D166,Ref!$A$2:$A$51,0)),"")</f>
        <v/>
      </c>
      <c r="J166" s="30">
        <f>IFERROR(IF(OR(E166="",F166="",ISNUMBER(FIND("bw",LOWER(TEXT(F166,"@"))))=TRUE()),"",ROUND(F166/E166,2)),"")</f>
        <v/>
      </c>
      <c r="K166" s="31" t="n"/>
    </row>
    <row r="167" ht="15" customHeight="1" s="103">
      <c r="A167" s="23" t="n">
        <v>46023</v>
      </c>
      <c r="B167" s="24" t="n">
        <v>49.3</v>
      </c>
      <c r="C167" s="25">
        <f>IFERROR(INDEX(Ref!$B$2:$B$51,MATCH(D167,Ref!$A$2:$A$51,0)),"")</f>
        <v/>
      </c>
      <c r="D167" s="26" t="inlineStr">
        <is>
          <t>Matrix Abd. N4</t>
        </is>
      </c>
      <c r="E167" s="27" t="n">
        <v>0.85</v>
      </c>
      <c r="F167" s="28" t="n">
        <v>4</v>
      </c>
      <c r="G167" s="29">
        <f>IFERROR(INDEX(Ref!$C$2:$C$51,MATCH(D167,Ref!$A$2:$A$51,0)),"")</f>
        <v/>
      </c>
      <c r="H167" s="29">
        <f>IFERROR(INDEX(Ref!$D$2:$D$51,MATCH(D167,Ref!$A$2:$A$51,0)),"")</f>
        <v/>
      </c>
      <c r="I167" s="29">
        <f>IFERROR(INDEX(Ref!$E$2:$E$51,MATCH(D167,Ref!$A$2:$A$51,0)),"")</f>
        <v/>
      </c>
      <c r="J167" s="30">
        <f>IFERROR(IF(OR(E167="",F167="",ISNUMBER(FIND("bw",LOWER(TEXT(F167,"@"))))=TRUE()),"",ROUND(F167/E167,2)),"")</f>
        <v/>
      </c>
      <c r="K167" s="31" t="n"/>
    </row>
    <row r="168" ht="15" customHeight="1" s="103">
      <c r="A168" s="23" t="n">
        <v>46023</v>
      </c>
      <c r="B168" s="24" t="n">
        <v>49.3</v>
      </c>
      <c r="C168" s="25">
        <f>IFERROR(INDEX(Ref!$B$2:$B$51,MATCH(D168,Ref!$A$2:$A$51,0)),"")</f>
        <v/>
      </c>
      <c r="D168" s="26" t="inlineStr">
        <is>
          <t>Matrix Abd. Up</t>
        </is>
      </c>
      <c r="E168" s="27" t="n">
        <v>0.9</v>
      </c>
      <c r="F168" s="28" t="n">
        <v>10</v>
      </c>
      <c r="G168" s="29">
        <f>IFERROR(INDEX(Ref!$C$2:$C$51,MATCH(D168,Ref!$A$2:$A$51,0)),"")</f>
        <v/>
      </c>
      <c r="H168" s="29">
        <f>IFERROR(INDEX(Ref!$D$2:$D$51,MATCH(D168,Ref!$A$2:$A$51,0)),"")</f>
        <v/>
      </c>
      <c r="I168" s="29">
        <f>IFERROR(INDEX(Ref!$E$2:$E$51,MATCH(D168,Ref!$A$2:$A$51,0)),"")</f>
        <v/>
      </c>
      <c r="J168" s="30">
        <f>IFERROR(IF(OR(E168="",F168="",ISNUMBER(FIND("bw",LOWER(TEXT(F168,"@"))))=TRUE()),"",ROUND(F168/E168,2)),"")</f>
        <v/>
      </c>
      <c r="K168" s="31" t="n"/>
    </row>
    <row r="169" ht="15" customHeight="1" s="103">
      <c r="A169" s="23" t="n">
        <v>46023</v>
      </c>
      <c r="B169" s="24" t="n">
        <v>49.3</v>
      </c>
      <c r="C169" s="25">
        <f>IFERROR(INDEX(Ref!$B$2:$B$51,MATCH(D169,Ref!$A$2:$A$51,0)),"")</f>
        <v/>
      </c>
      <c r="D169" s="26" t="inlineStr">
        <is>
          <t>Rotary Torso</t>
        </is>
      </c>
      <c r="E169" s="27" t="n">
        <v>0.85</v>
      </c>
      <c r="F169" s="28" t="n">
        <v>23.04</v>
      </c>
      <c r="G169" s="29">
        <f>IFERROR(INDEX(Ref!$C$2:$C$51,MATCH(D169,Ref!$A$2:$A$51,0)),"")</f>
        <v/>
      </c>
      <c r="H169" s="29">
        <f>IFERROR(INDEX(Ref!$D$2:$D$51,MATCH(D169,Ref!$A$2:$A$51,0)),"")</f>
        <v/>
      </c>
      <c r="I169" s="29">
        <f>IFERROR(INDEX(Ref!$E$2:$E$51,MATCH(D169,Ref!$A$2:$A$51,0)),"")</f>
        <v/>
      </c>
      <c r="J169" s="30">
        <f>IFERROR(IF(OR(E169="",F169="",ISNUMBER(FIND("bw",LOWER(TEXT(F169,"@"))))=TRUE()),"",ROUND(F169/E169,2)),"")</f>
        <v/>
      </c>
      <c r="K169" s="31" t="n"/>
    </row>
    <row r="170" ht="15" customHeight="1" s="103">
      <c r="A170" s="23" t="n">
        <v>46023</v>
      </c>
      <c r="B170" s="24" t="n">
        <v>49.3</v>
      </c>
      <c r="C170" s="25">
        <f>IFERROR(INDEX(Ref!$B$2:$B$51,MATCH(D170,Ref!$A$2:$A$51,0)),"")</f>
        <v/>
      </c>
      <c r="D170" s="26" t="inlineStr">
        <is>
          <t>Scapular Pull-up</t>
        </is>
      </c>
      <c r="E170" s="27" t="n"/>
      <c r="F170" s="32" t="inlineStr">
        <is>
          <t>bw</t>
        </is>
      </c>
      <c r="G170" s="29">
        <f>IFERROR(INDEX(Ref!$C$2:$C$51,MATCH(D170,Ref!$A$2:$A$51,0)),"")</f>
        <v/>
      </c>
      <c r="H170" s="29">
        <f>IFERROR(INDEX(Ref!$D$2:$D$51,MATCH(D170,Ref!$A$2:$A$51,0)),"")</f>
        <v/>
      </c>
      <c r="I170" s="29">
        <f>IFERROR(INDEX(Ref!$E$2:$E$51,MATCH(D170,Ref!$A$2:$A$51,0)),"")</f>
        <v/>
      </c>
      <c r="J170" s="30" t="inlineStr">
        <is>
          <t>""</t>
        </is>
      </c>
      <c r="K170" s="31" t="n"/>
    </row>
    <row r="171" ht="15" customHeight="1" s="103">
      <c r="A171" s="23" t="n">
        <v>46023</v>
      </c>
      <c r="B171" s="24" t="n">
        <v>49.3</v>
      </c>
      <c r="C171" s="25">
        <f>IFERROR(INDEX(Ref!$B$2:$B$51,MATCH(D171,Ref!$A$2:$A$51,0)),"")</f>
        <v/>
      </c>
      <c r="D171" s="26" t="inlineStr">
        <is>
          <t>ISO Scapular Pull</t>
        </is>
      </c>
      <c r="E171" s="27" t="n"/>
      <c r="F171" s="32" t="inlineStr">
        <is>
          <t>bw</t>
        </is>
      </c>
      <c r="G171" s="29">
        <f>IFERROR(INDEX(Ref!$C$2:$C$51,MATCH(D171,Ref!$A$2:$A$51,0)),"")</f>
        <v/>
      </c>
      <c r="H171" s="29">
        <f>IFERROR(INDEX(Ref!$D$2:$D$51,MATCH(D171,Ref!$A$2:$A$51,0)),"")</f>
        <v/>
      </c>
      <c r="I171" s="29">
        <f>IFERROR(INDEX(Ref!$E$2:$E$51,MATCH(D171,Ref!$A$2:$A$51,0)),"")</f>
        <v/>
      </c>
      <c r="J171" s="30" t="inlineStr">
        <is>
          <t>""</t>
        </is>
      </c>
      <c r="K171" s="31" t="n"/>
    </row>
    <row r="172" ht="15" customHeight="1" s="103">
      <c r="A172" s="23" t="n">
        <v>46023</v>
      </c>
      <c r="B172" s="24" t="n">
        <v>49.3</v>
      </c>
      <c r="C172" s="25">
        <f>IFERROR(INDEX(Ref!$B$2:$B$51,MATCH(D172,Ref!$A$2:$A$51,0)),"")</f>
        <v/>
      </c>
      <c r="D172" s="26" t="inlineStr">
        <is>
          <t>1-Arm Scap. Pull-up</t>
        </is>
      </c>
      <c r="E172" s="27" t="n"/>
      <c r="F172" s="32" t="inlineStr">
        <is>
          <t>bw</t>
        </is>
      </c>
      <c r="G172" s="29">
        <f>IFERROR(INDEX(Ref!$C$2:$C$51,MATCH(D172,Ref!$A$2:$A$51,0)),"")</f>
        <v/>
      </c>
      <c r="H172" s="29">
        <f>IFERROR(INDEX(Ref!$D$2:$D$51,MATCH(D172,Ref!$A$2:$A$51,0)),"")</f>
        <v/>
      </c>
      <c r="I172" s="29">
        <f>IFERROR(INDEX(Ref!$E$2:$E$51,MATCH(D172,Ref!$A$2:$A$51,0)),"")</f>
        <v/>
      </c>
      <c r="J172" s="30" t="inlineStr">
        <is>
          <t>""</t>
        </is>
      </c>
      <c r="K172" s="31" t="n"/>
    </row>
    <row r="173" ht="15" customHeight="1" s="103">
      <c r="A173" s="23" t="n">
        <v>46023</v>
      </c>
      <c r="B173" s="24" t="n">
        <v>49.3</v>
      </c>
      <c r="C173" s="25">
        <f>IFERROR(INDEX(Ref!$B$2:$B$51,MATCH(D173,Ref!$A$2:$A$51,0)),"")</f>
        <v/>
      </c>
      <c r="D173" s="26" t="inlineStr">
        <is>
          <t>Pull-up</t>
        </is>
      </c>
      <c r="E173" s="27" t="n"/>
      <c r="F173" s="32" t="inlineStr">
        <is>
          <t>bw</t>
        </is>
      </c>
      <c r="G173" s="29">
        <f>IFERROR(INDEX(Ref!$C$2:$C$51,MATCH(D173,Ref!$A$2:$A$51,0)),"")</f>
        <v/>
      </c>
      <c r="H173" s="29">
        <f>IFERROR(INDEX(Ref!$D$2:$D$51,MATCH(D173,Ref!$A$2:$A$51,0)),"")</f>
        <v/>
      </c>
      <c r="I173" s="29">
        <f>IFERROR(INDEX(Ref!$E$2:$E$51,MATCH(D173,Ref!$A$2:$A$51,0)),"")</f>
        <v/>
      </c>
      <c r="J173" s="30" t="inlineStr">
        <is>
          <t>""</t>
        </is>
      </c>
      <c r="K173" s="31" t="n"/>
    </row>
    <row r="174" ht="15" customHeight="1" s="103">
      <c r="A174" s="23" t="n">
        <v>46023</v>
      </c>
      <c r="B174" s="24" t="n">
        <v>49.3</v>
      </c>
      <c r="C174" s="25">
        <f>IFERROR(INDEX(Ref!$B$2:$B$51,MATCH(D174,Ref!$A$2:$A$51,0)),"")</f>
        <v/>
      </c>
      <c r="D174" s="26" t="inlineStr">
        <is>
          <t>Pull-up + Weight</t>
        </is>
      </c>
      <c r="E174" s="27" t="n">
        <v>1</v>
      </c>
      <c r="F174" s="32" t="inlineStr">
        <is>
          <t>+5kg</t>
        </is>
      </c>
      <c r="G174" s="29">
        <f>IFERROR(INDEX(Ref!$C$2:$C$51,MATCH(D174,Ref!$A$2:$A$51,0)),"")</f>
        <v/>
      </c>
      <c r="H174" s="29">
        <f>IFERROR(INDEX(Ref!$D$2:$D$51,MATCH(D174,Ref!$A$2:$A$51,0)),"")</f>
        <v/>
      </c>
      <c r="I174" s="29">
        <f>IFERROR(INDEX(Ref!$E$2:$E$51,MATCH(D174,Ref!$A$2:$A$51,0)),"")</f>
        <v/>
      </c>
      <c r="J174" s="30">
        <f>IFERROR(IF(OR(E174="",F174="",ISNUMBER(FIND("bw",LOWER(TEXT(F174,"@"))))=TRUE()),"",ROUND(F174/E174,2)),"")</f>
        <v/>
      </c>
      <c r="K174" s="31" t="n"/>
    </row>
    <row r="175" ht="15" customHeight="1" s="103">
      <c r="A175" s="23" t="n">
        <v>46023</v>
      </c>
      <c r="B175" s="24" t="n">
        <v>49.3</v>
      </c>
      <c r="C175" s="25">
        <f>IFERROR(INDEX(Ref!$B$2:$B$51,MATCH(D175,Ref!$A$2:$A$51,0)),"")</f>
        <v/>
      </c>
      <c r="D175" s="26" t="inlineStr">
        <is>
          <t>Lat Pulldown / Pull-up Bar</t>
        </is>
      </c>
      <c r="E175" s="27" t="n">
        <v>0.75</v>
      </c>
      <c r="F175" s="28" t="n">
        <v>39</v>
      </c>
      <c r="G175" s="29">
        <f>IFERROR(INDEX(Ref!$C$2:$C$51,MATCH(D175,Ref!$A$2:$A$51,0)),"")</f>
        <v/>
      </c>
      <c r="H175" s="29">
        <f>IFERROR(INDEX(Ref!$D$2:$D$51,MATCH(D175,Ref!$A$2:$A$51,0)),"")</f>
        <v/>
      </c>
      <c r="I175" s="29">
        <f>IFERROR(INDEX(Ref!$E$2:$E$51,MATCH(D175,Ref!$A$2:$A$51,0)),"")</f>
        <v/>
      </c>
      <c r="J175" s="30">
        <f>IFERROR(IF(OR(E175="",F175="",ISNUMBER(FIND("bw",LOWER(TEXT(F175,"@"))))=TRUE()),"",ROUND(F175/E175,2)),"")</f>
        <v/>
      </c>
      <c r="K175" s="31" t="n"/>
    </row>
    <row r="176" ht="15" customHeight="1" s="103">
      <c r="A176" s="23" t="n">
        <v>46023</v>
      </c>
      <c r="B176" s="24" t="n">
        <v>49.3</v>
      </c>
      <c r="C176" s="25">
        <f>IFERROR(INDEX(Ref!$B$2:$B$51,MATCH(D176,Ref!$A$2:$A$51,0)),"")</f>
        <v/>
      </c>
      <c r="D176" s="26" t="inlineStr">
        <is>
          <t>Rear Deltoid N1</t>
        </is>
      </c>
      <c r="E176" s="27" t="n">
        <v>0.75</v>
      </c>
      <c r="F176" s="28" t="n">
        <v>25.13</v>
      </c>
      <c r="G176" s="29">
        <f>IFERROR(INDEX(Ref!$C$2:$C$51,MATCH(D176,Ref!$A$2:$A$51,0)),"")</f>
        <v/>
      </c>
      <c r="H176" s="29">
        <f>IFERROR(INDEX(Ref!$D$2:$D$51,MATCH(D176,Ref!$A$2:$A$51,0)),"")</f>
        <v/>
      </c>
      <c r="I176" s="29">
        <f>IFERROR(INDEX(Ref!$E$2:$E$51,MATCH(D176,Ref!$A$2:$A$51,0)),"")</f>
        <v/>
      </c>
      <c r="J176" s="30">
        <f>IFERROR(IF(OR(E176="",F176="",ISNUMBER(FIND("bw",LOWER(TEXT(F176,"@"))))=TRUE()),"",ROUND(F176/E176,2)),"")</f>
        <v/>
      </c>
      <c r="K176" s="31" t="n"/>
    </row>
    <row r="177" ht="15" customHeight="1" s="103">
      <c r="A177" s="23" t="n">
        <v>46023</v>
      </c>
      <c r="B177" s="24" t="n">
        <v>49.3</v>
      </c>
      <c r="C177" s="25">
        <f>IFERROR(INDEX(Ref!$B$2:$B$51,MATCH(D177,Ref!$A$2:$A$51,0)),"")</f>
        <v/>
      </c>
      <c r="D177" s="26" t="inlineStr">
        <is>
          <t>Fly Deltoid N2</t>
        </is>
      </c>
      <c r="E177" s="27" t="n">
        <v>0.75</v>
      </c>
      <c r="F177" s="28" t="n">
        <v>39</v>
      </c>
      <c r="G177" s="29">
        <f>IFERROR(INDEX(Ref!$C$2:$C$51,MATCH(D177,Ref!$A$2:$A$51,0)),"")</f>
        <v/>
      </c>
      <c r="H177" s="29">
        <f>IFERROR(INDEX(Ref!$D$2:$D$51,MATCH(D177,Ref!$A$2:$A$51,0)),"")</f>
        <v/>
      </c>
      <c r="I177" s="29">
        <f>IFERROR(INDEX(Ref!$E$2:$E$51,MATCH(D177,Ref!$A$2:$A$51,0)),"")</f>
        <v/>
      </c>
      <c r="J177" s="30">
        <f>IFERROR(IF(OR(E177="",F177="",ISNUMBER(FIND("bw",LOWER(TEXT(F177,"@"))))=TRUE()),"",ROUND(F177/E177,2)),"")</f>
        <v/>
      </c>
      <c r="K177" s="31" t="n"/>
    </row>
    <row r="178" ht="15" customHeight="1" s="103">
      <c r="A178" s="23" t="n">
        <v>46023</v>
      </c>
      <c r="B178" s="24" t="n">
        <v>49.3</v>
      </c>
      <c r="C178" s="25">
        <f>IFERROR(INDEX(Ref!$B$2:$B$51,MATCH(D178,Ref!$A$2:$A$51,0)),"")</f>
        <v/>
      </c>
      <c r="D178" s="26" t="inlineStr">
        <is>
          <t>Shoulder Press</t>
        </is>
      </c>
      <c r="E178" s="27" t="n">
        <v>0.75</v>
      </c>
      <c r="F178" s="28" t="n">
        <v>18</v>
      </c>
      <c r="G178" s="29">
        <f>IFERROR(INDEX(Ref!$C$2:$C$51,MATCH(D178,Ref!$A$2:$A$51,0)),"")</f>
        <v/>
      </c>
      <c r="H178" s="29">
        <f>IFERROR(INDEX(Ref!$D$2:$D$51,MATCH(D178,Ref!$A$2:$A$51,0)),"")</f>
        <v/>
      </c>
      <c r="I178" s="29">
        <f>IFERROR(INDEX(Ref!$E$2:$E$51,MATCH(D178,Ref!$A$2:$A$51,0)),"")</f>
        <v/>
      </c>
      <c r="J178" s="30">
        <f>IFERROR(IF(OR(E178="",F178="",ISNUMBER(FIND("bw",LOWER(TEXT(F178,"@"))))=TRUE()),"",ROUND(F178/E178,2)),"")</f>
        <v/>
      </c>
      <c r="K178" s="31" t="n"/>
    </row>
    <row r="179" ht="15" customHeight="1" s="103">
      <c r="A179" s="23" t="n">
        <v>46023</v>
      </c>
      <c r="B179" s="24" t="n">
        <v>49.3</v>
      </c>
      <c r="C179" s="25">
        <f>IFERROR(INDEX(Ref!$B$2:$B$51,MATCH(D179,Ref!$A$2:$A$51,0)),"")</f>
        <v/>
      </c>
      <c r="D179" s="26" t="inlineStr">
        <is>
          <t>Chest Press</t>
        </is>
      </c>
      <c r="E179" s="27" t="n">
        <v>0.75</v>
      </c>
      <c r="F179" s="28" t="n">
        <v>27.3</v>
      </c>
      <c r="G179" s="29">
        <f>IFERROR(INDEX(Ref!$C$2:$C$51,MATCH(D179,Ref!$A$2:$A$51,0)),"")</f>
        <v/>
      </c>
      <c r="H179" s="29">
        <f>IFERROR(INDEX(Ref!$D$2:$D$51,MATCH(D179,Ref!$A$2:$A$51,0)),"")</f>
        <v/>
      </c>
      <c r="I179" s="29">
        <f>IFERROR(INDEX(Ref!$E$2:$E$51,MATCH(D179,Ref!$A$2:$A$51,0)),"")</f>
        <v/>
      </c>
      <c r="J179" s="30">
        <f>IFERROR(IF(OR(E179="",F179="",ISNUMBER(FIND("bw",LOWER(TEXT(F179,"@"))))=TRUE()),"",ROUND(F179/E179,2)),"")</f>
        <v/>
      </c>
      <c r="K179" s="31" t="n"/>
    </row>
    <row r="180" ht="15" customHeight="1" s="103">
      <c r="A180" s="23" t="n">
        <v>46023</v>
      </c>
      <c r="B180" s="24" t="n">
        <v>49.3</v>
      </c>
      <c r="C180" s="25">
        <f>IFERROR(INDEX(Ref!$B$2:$B$51,MATCH(D180,Ref!$A$2:$A$51,0)),"")</f>
        <v/>
      </c>
      <c r="D180" s="26" t="inlineStr">
        <is>
          <t>Cable Cross Over</t>
        </is>
      </c>
      <c r="E180" s="27" t="n">
        <v>0.75</v>
      </c>
      <c r="F180" s="28" t="n">
        <v>10.5</v>
      </c>
      <c r="G180" s="29">
        <f>IFERROR(INDEX(Ref!$C$2:$C$51,MATCH(D180,Ref!$A$2:$A$51,0)),"")</f>
        <v/>
      </c>
      <c r="H180" s="29">
        <f>IFERROR(INDEX(Ref!$D$2:$D$51,MATCH(D180,Ref!$A$2:$A$51,0)),"")</f>
        <v/>
      </c>
      <c r="I180" s="29">
        <f>IFERROR(INDEX(Ref!$E$2:$E$51,MATCH(D180,Ref!$A$2:$A$51,0)),"")</f>
        <v/>
      </c>
      <c r="J180" s="30">
        <f>IFERROR(IF(OR(E180="",F180="",ISNUMBER(FIND("bw",LOWER(TEXT(F180,"@"))))=TRUE()),"",ROUND(F180/E180,2)),"")</f>
        <v/>
      </c>
      <c r="K180" s="31" t="n"/>
    </row>
    <row r="181" ht="15" customHeight="1" s="103">
      <c r="A181" s="23" t="n">
        <v>46023</v>
      </c>
      <c r="B181" s="24" t="n">
        <v>49.3</v>
      </c>
      <c r="C181" s="25">
        <f>IFERROR(INDEX(Ref!$B$2:$B$51,MATCH(D181,Ref!$A$2:$A$51,0)),"")</f>
        <v/>
      </c>
      <c r="D181" s="26" t="inlineStr">
        <is>
          <t>Div. Seated Row</t>
        </is>
      </c>
      <c r="E181" s="27" t="n">
        <v>0.75</v>
      </c>
      <c r="F181" s="28" t="n">
        <v>28.95</v>
      </c>
      <c r="G181" s="29">
        <f>IFERROR(INDEX(Ref!$C$2:$C$51,MATCH(D181,Ref!$A$2:$A$51,0)),"")</f>
        <v/>
      </c>
      <c r="H181" s="29">
        <f>IFERROR(INDEX(Ref!$D$2:$D$51,MATCH(D181,Ref!$A$2:$A$51,0)),"")</f>
        <v/>
      </c>
      <c r="I181" s="29">
        <f>IFERROR(INDEX(Ref!$E$2:$E$51,MATCH(D181,Ref!$A$2:$A$51,0)),"")</f>
        <v/>
      </c>
      <c r="J181" s="30">
        <f>IFERROR(IF(OR(E181="",F181="",ISNUMBER(FIND("bw",LOWER(TEXT(F181,"@"))))=TRUE()),"",ROUND(F181/E181,2)),"")</f>
        <v/>
      </c>
      <c r="K181" s="31" t="n"/>
    </row>
    <row r="182" ht="15" customHeight="1" s="103">
      <c r="A182" s="23" t="n">
        <v>46023</v>
      </c>
      <c r="B182" s="24" t="n">
        <v>49.3</v>
      </c>
      <c r="C182" s="25">
        <f>IFERROR(INDEX(Ref!$B$2:$B$51,MATCH(D182,Ref!$A$2:$A$51,0)),"")</f>
        <v/>
      </c>
      <c r="D182" s="26" t="inlineStr">
        <is>
          <t>Shoulder Rotation</t>
        </is>
      </c>
      <c r="E182" s="27" t="n">
        <v>0.75</v>
      </c>
      <c r="F182" s="28" t="n">
        <v>1.5</v>
      </c>
      <c r="G182" s="29">
        <f>IFERROR(INDEX(Ref!$C$2:$C$51,MATCH(D182,Ref!$A$2:$A$51,0)),"")</f>
        <v/>
      </c>
      <c r="H182" s="29">
        <f>IFERROR(INDEX(Ref!$D$2:$D$51,MATCH(D182,Ref!$A$2:$A$51,0)),"")</f>
        <v/>
      </c>
      <c r="I182" s="29">
        <f>IFERROR(INDEX(Ref!$E$2:$E$51,MATCH(D182,Ref!$A$2:$A$51,0)),"")</f>
        <v/>
      </c>
      <c r="J182" s="30">
        <f>IFERROR(IF(OR(E182="",F182="",ISNUMBER(FIND("bw",LOWER(TEXT(F182,"@"))))=TRUE()),"",ROUND(F182/E182,2)),"")</f>
        <v/>
      </c>
      <c r="K182" s="31" t="n"/>
    </row>
    <row r="183" ht="15" customHeight="1" s="103">
      <c r="A183" s="23" t="n">
        <v>46023</v>
      </c>
      <c r="B183" s="24" t="n">
        <v>49.3</v>
      </c>
      <c r="C183" s="25">
        <f>IFERROR(INDEX(Ref!$B$2:$B$51,MATCH(D183,Ref!$A$2:$A$51,0)),"")</f>
        <v/>
      </c>
      <c r="D183" s="26" t="inlineStr">
        <is>
          <t>Biceps</t>
        </is>
      </c>
      <c r="E183" s="27" t="n">
        <v>0.75</v>
      </c>
      <c r="F183" s="28" t="n">
        <v>6</v>
      </c>
      <c r="G183" s="29">
        <f>IFERROR(INDEX(Ref!$C$2:$C$51,MATCH(D183,Ref!$A$2:$A$51,0)),"")</f>
        <v/>
      </c>
      <c r="H183" s="29">
        <f>IFERROR(INDEX(Ref!$D$2:$D$51,MATCH(D183,Ref!$A$2:$A$51,0)),"")</f>
        <v/>
      </c>
      <c r="I183" s="29">
        <f>IFERROR(INDEX(Ref!$E$2:$E$51,MATCH(D183,Ref!$A$2:$A$51,0)),"")</f>
        <v/>
      </c>
      <c r="J183" s="30">
        <f>IFERROR(IF(OR(E183="",F183="",ISNUMBER(FIND("bw",LOWER(TEXT(F183,"@"))))=TRUE()),"",ROUND(F183/E183,2)),"")</f>
        <v/>
      </c>
      <c r="K183" s="31" t="n"/>
    </row>
    <row r="184" ht="15" customHeight="1" s="103">
      <c r="A184" s="23" t="n">
        <v>46023</v>
      </c>
      <c r="B184" s="24" t="n">
        <v>49.3</v>
      </c>
      <c r="C184" s="25">
        <f>IFERROR(INDEX(Ref!$B$2:$B$51,MATCH(D184,Ref!$A$2:$A$51,0)),"")</f>
        <v/>
      </c>
      <c r="D184" s="26" t="inlineStr">
        <is>
          <t>Arm Curls (Biceps)</t>
        </is>
      </c>
      <c r="E184" s="27" t="n">
        <v>0.75</v>
      </c>
      <c r="F184" s="28" t="n">
        <v>10.95</v>
      </c>
      <c r="G184" s="29">
        <f>IFERROR(INDEX(Ref!$C$2:$C$51,MATCH(D184,Ref!$A$2:$A$51,0)),"")</f>
        <v/>
      </c>
      <c r="H184" s="29">
        <f>IFERROR(INDEX(Ref!$D$2:$D$51,MATCH(D184,Ref!$A$2:$A$51,0)),"")</f>
        <v/>
      </c>
      <c r="I184" s="29">
        <f>IFERROR(INDEX(Ref!$E$2:$E$51,MATCH(D184,Ref!$A$2:$A$51,0)),"")</f>
        <v/>
      </c>
      <c r="J184" s="30">
        <f>IFERROR(IF(OR(E184="",F184="",ISNUMBER(FIND("bw",LOWER(TEXT(F184,"@"))))=TRUE()),"",ROUND(F184/E184,2)),"")</f>
        <v/>
      </c>
      <c r="K184" s="31" t="n"/>
    </row>
    <row r="185" ht="15" customHeight="1" s="103">
      <c r="A185" s="23" t="n">
        <v>46023</v>
      </c>
      <c r="B185" s="24" t="n">
        <v>49.3</v>
      </c>
      <c r="C185" s="25">
        <f>IFERROR(INDEX(Ref!$B$2:$B$51,MATCH(D185,Ref!$A$2:$A$51,0)),"")</f>
        <v/>
      </c>
      <c r="D185" s="26" t="inlineStr">
        <is>
          <t>Seated Triceps Press</t>
        </is>
      </c>
      <c r="E185" s="27" t="n">
        <v>0.75</v>
      </c>
      <c r="F185" s="28" t="n">
        <v>38.25</v>
      </c>
      <c r="G185" s="29">
        <f>IFERROR(INDEX(Ref!$C$2:$C$51,MATCH(D185,Ref!$A$2:$A$51,0)),"")</f>
        <v/>
      </c>
      <c r="H185" s="29">
        <f>IFERROR(INDEX(Ref!$D$2:$D$51,MATCH(D185,Ref!$A$2:$A$51,0)),"")</f>
        <v/>
      </c>
      <c r="I185" s="29">
        <f>IFERROR(INDEX(Ref!$E$2:$E$51,MATCH(D185,Ref!$A$2:$A$51,0)),"")</f>
        <v/>
      </c>
      <c r="J185" s="30">
        <f>IFERROR(IF(OR(E185="",F185="",ISNUMBER(FIND("bw",LOWER(TEXT(F185,"@"))))=TRUE()),"",ROUND(F185/E185,2)),"")</f>
        <v/>
      </c>
      <c r="K185" s="31" t="n"/>
    </row>
    <row r="186" ht="15" customHeight="1" s="103">
      <c r="A186" s="23" t="n">
        <v>46023</v>
      </c>
      <c r="B186" s="24" t="n">
        <v>49.3</v>
      </c>
      <c r="C186" s="25">
        <f>IFERROR(INDEX(Ref!$B$2:$B$51,MATCH(D186,Ref!$A$2:$A$51,0)),"")</f>
        <v/>
      </c>
      <c r="D186" s="26" t="inlineStr">
        <is>
          <t>Wrist Extension</t>
        </is>
      </c>
      <c r="E186" s="27" t="n">
        <v>0.75</v>
      </c>
      <c r="F186" s="28" t="n">
        <v>8.029999999999999</v>
      </c>
      <c r="G186" s="29">
        <f>IFERROR(INDEX(Ref!$C$2:$C$51,MATCH(D186,Ref!$A$2:$A$51,0)),"")</f>
        <v/>
      </c>
      <c r="H186" s="29">
        <f>IFERROR(INDEX(Ref!$D$2:$D$51,MATCH(D186,Ref!$A$2:$A$51,0)),"")</f>
        <v/>
      </c>
      <c r="I186" s="29">
        <f>IFERROR(INDEX(Ref!$E$2:$E$51,MATCH(D186,Ref!$A$2:$A$51,0)),"")</f>
        <v/>
      </c>
      <c r="J186" s="30">
        <f>IFERROR(IF(OR(E186="",F186="",ISNUMBER(FIND("bw",LOWER(TEXT(F186,"@"))))=TRUE()),"",ROUND(F186/E186,2)),"")</f>
        <v/>
      </c>
      <c r="K186" s="31" t="n"/>
    </row>
    <row r="187" ht="15" customHeight="1" s="103">
      <c r="A187" s="23" t="n">
        <v>46023</v>
      </c>
      <c r="B187" s="24" t="n">
        <v>49.3</v>
      </c>
      <c r="C187" s="25">
        <f>IFERROR(INDEX(Ref!$B$2:$B$51,MATCH(D187,Ref!$A$2:$A$51,0)),"")</f>
        <v/>
      </c>
      <c r="D187" s="26" t="inlineStr">
        <is>
          <t>Wrist Internal</t>
        </is>
      </c>
      <c r="E187" s="27" t="n">
        <v>0.75</v>
      </c>
      <c r="F187" s="28" t="n">
        <v>4.01</v>
      </c>
      <c r="G187" s="29">
        <f>IFERROR(INDEX(Ref!$C$2:$C$51,MATCH(D187,Ref!$A$2:$A$51,0)),"")</f>
        <v/>
      </c>
      <c r="H187" s="29">
        <f>IFERROR(INDEX(Ref!$D$2:$D$51,MATCH(D187,Ref!$A$2:$A$51,0)),"")</f>
        <v/>
      </c>
      <c r="I187" s="29">
        <f>IFERROR(INDEX(Ref!$E$2:$E$51,MATCH(D187,Ref!$A$2:$A$51,0)),"")</f>
        <v/>
      </c>
      <c r="J187" s="30">
        <f>IFERROR(IF(OR(E187="",F187="",ISNUMBER(FIND("bw",LOWER(TEXT(F187,"@"))))=TRUE()),"",ROUND(F187/E187,2)),"")</f>
        <v/>
      </c>
      <c r="K187" s="31" t="n"/>
    </row>
    <row r="188" ht="15" customHeight="1" s="103">
      <c r="A188" s="23" t="n">
        <v>46023</v>
      </c>
      <c r="B188" s="24" t="n">
        <v>49.3</v>
      </c>
      <c r="C188" s="25">
        <f>IFERROR(INDEX(Ref!$B$2:$B$51,MATCH(D188,Ref!$A$2:$A$51,0)),"")</f>
        <v/>
      </c>
      <c r="D188" s="26" t="inlineStr">
        <is>
          <t>Wrist Curls Int Roll</t>
        </is>
      </c>
      <c r="E188" s="27" t="n">
        <v>0.75</v>
      </c>
      <c r="F188" s="28" t="n">
        <v>5.33</v>
      </c>
      <c r="G188" s="29">
        <f>IFERROR(INDEX(Ref!$C$2:$C$51,MATCH(D188,Ref!$A$2:$A$51,0)),"")</f>
        <v/>
      </c>
      <c r="H188" s="29">
        <f>IFERROR(INDEX(Ref!$D$2:$D$51,MATCH(D188,Ref!$A$2:$A$51,0)),"")</f>
        <v/>
      </c>
      <c r="I188" s="29">
        <f>IFERROR(INDEX(Ref!$E$2:$E$51,MATCH(D188,Ref!$A$2:$A$51,0)),"")</f>
        <v/>
      </c>
      <c r="J188" s="30">
        <f>IFERROR(IF(OR(E188="",F188="",ISNUMBER(FIND("bw",LOWER(TEXT(F188,"@"))))=TRUE()),"",ROUND(F188/E188,2)),"")</f>
        <v/>
      </c>
      <c r="K188" s="31" t="n"/>
    </row>
    <row r="189" ht="15" customHeight="1" s="103">
      <c r="A189" s="23" t="n">
        <v>46023</v>
      </c>
      <c r="B189" s="24" t="n">
        <v>49.3</v>
      </c>
      <c r="C189" s="25">
        <f>IFERROR(INDEX(Ref!$B$2:$B$51,MATCH(D189,Ref!$A$2:$A$51,0)),"")</f>
        <v/>
      </c>
      <c r="D189" s="26" t="inlineStr">
        <is>
          <t>Wrist Curls Ext Roll</t>
        </is>
      </c>
      <c r="E189" s="27" t="n">
        <v>0.75</v>
      </c>
      <c r="F189" s="28" t="n">
        <v>3.75</v>
      </c>
      <c r="G189" s="29">
        <f>IFERROR(INDEX(Ref!$C$2:$C$51,MATCH(D189,Ref!$A$2:$A$51,0)),"")</f>
        <v/>
      </c>
      <c r="H189" s="29">
        <f>IFERROR(INDEX(Ref!$D$2:$D$51,MATCH(D189,Ref!$A$2:$A$51,0)),"")</f>
        <v/>
      </c>
      <c r="I189" s="29">
        <f>IFERROR(INDEX(Ref!$E$2:$E$51,MATCH(D189,Ref!$A$2:$A$51,0)),"")</f>
        <v/>
      </c>
      <c r="J189" s="30">
        <f>IFERROR(IF(OR(E189="",F189="",ISNUMBER(FIND("bw",LOWER(TEXT(F189,"@"))))=TRUE()),"",ROUND(F189/E189,2)),"")</f>
        <v/>
      </c>
      <c r="K189" s="31" t="n"/>
    </row>
    <row r="190" ht="15" customHeight="1" s="103">
      <c r="A190" s="23" t="n">
        <v>46023</v>
      </c>
      <c r="B190" s="24" t="n">
        <v>49.3</v>
      </c>
      <c r="C190" s="25">
        <f>IFERROR(INDEX(Ref!$B$2:$B$51,MATCH(D190,Ref!$A$2:$A$51,0)),"")</f>
        <v/>
      </c>
      <c r="D190" s="26" t="inlineStr">
        <is>
          <t>Calfs Machine</t>
        </is>
      </c>
      <c r="E190" s="27" t="n">
        <v>0.85</v>
      </c>
      <c r="F190" s="28" t="n">
        <v>12.75</v>
      </c>
      <c r="G190" s="29">
        <f>IFERROR(INDEX(Ref!$C$2:$C$51,MATCH(D190,Ref!$A$2:$A$51,0)),"")</f>
        <v/>
      </c>
      <c r="H190" s="29">
        <f>IFERROR(INDEX(Ref!$D$2:$D$51,MATCH(D190,Ref!$A$2:$A$51,0)),"")</f>
        <v/>
      </c>
      <c r="I190" s="29">
        <f>IFERROR(INDEX(Ref!$E$2:$E$51,MATCH(D190,Ref!$A$2:$A$51,0)),"")</f>
        <v/>
      </c>
      <c r="J190" s="30">
        <f>IFERROR(IF(OR(E190="",F190="",ISNUMBER(FIND("bw",LOWER(TEXT(F190,"@"))))=TRUE()),"",ROUND(F190/E190,2)),"")</f>
        <v/>
      </c>
      <c r="K190" s="31" t="n"/>
    </row>
    <row r="191" ht="15" customHeight="1" s="103">
      <c r="A191" s="23" t="n">
        <v>46023</v>
      </c>
      <c r="B191" s="24" t="n">
        <v>49.3</v>
      </c>
      <c r="C191" s="25">
        <f>IFERROR(INDEX(Ref!$B$2:$B$51,MATCH(D191,Ref!$A$2:$A$51,0)),"")</f>
        <v/>
      </c>
      <c r="D191" s="26" t="inlineStr">
        <is>
          <t>Hang 1-Arm Hang</t>
        </is>
      </c>
      <c r="E191" s="27" t="n"/>
      <c r="F191" s="28" t="n">
        <v>39.43</v>
      </c>
      <c r="G191" s="29">
        <f>IFERROR(INDEX(Ref!$C$2:$C$51,MATCH(D191,Ref!$A$2:$A$51,0)),"")</f>
        <v/>
      </c>
      <c r="H191" s="29">
        <f>IFERROR(INDEX(Ref!$D$2:$D$51,MATCH(D191,Ref!$A$2:$A$51,0)),"")</f>
        <v/>
      </c>
      <c r="I191" s="29">
        <f>IFERROR(INDEX(Ref!$E$2:$E$51,MATCH(D191,Ref!$A$2:$A$51,0)),"")</f>
        <v/>
      </c>
      <c r="J191" s="30">
        <f>IFERROR(IF(OR(E191="",F191="",ISNUMBER(FIND("bw",LOWER(TEXT(F191,"@"))))=TRUE()),"",ROUND(F191/E191,2)),"")</f>
        <v/>
      </c>
      <c r="K191" s="31" t="n"/>
    </row>
    <row r="192" ht="15" customHeight="1" s="103">
      <c r="A192" s="23" t="n">
        <v>46023</v>
      </c>
      <c r="B192" s="24" t="n">
        <v>49.3</v>
      </c>
      <c r="C192" s="25">
        <f>IFERROR(INDEX(Ref!$B$2:$B$51,MATCH(D192,Ref!$A$2:$A$51,0)),"")</f>
        <v/>
      </c>
      <c r="D192" s="26" t="inlineStr">
        <is>
          <t>Edge Iso Holds</t>
        </is>
      </c>
      <c r="E192" s="27" t="n">
        <v>0.9</v>
      </c>
      <c r="F192" s="28" t="n">
        <v>24.3</v>
      </c>
      <c r="G192" s="29">
        <f>IFERROR(INDEX(Ref!$C$2:$C$51,MATCH(D192,Ref!$A$2:$A$51,0)),"")</f>
        <v/>
      </c>
      <c r="H192" s="29">
        <f>IFERROR(INDEX(Ref!$D$2:$D$51,MATCH(D192,Ref!$A$2:$A$51,0)),"")</f>
        <v/>
      </c>
      <c r="I192" s="29">
        <f>IFERROR(INDEX(Ref!$E$2:$E$51,MATCH(D192,Ref!$A$2:$A$51,0)),"")</f>
        <v/>
      </c>
      <c r="J192" s="30">
        <f>IFERROR(IF(OR(E192="",F192="",ISNUMBER(FIND("bw",LOWER(TEXT(F192,"@"))))=TRUE()),"",ROUND(F192/E192,2)),"")</f>
        <v/>
      </c>
      <c r="K192" s="31" t="n"/>
    </row>
    <row r="193" ht="15" customHeight="1" s="103">
      <c r="A193" s="23" t="n">
        <v>46023</v>
      </c>
      <c r="B193" s="24" t="n">
        <v>49.3</v>
      </c>
      <c r="C193" s="25">
        <f>IFERROR(INDEX(Ref!$B$2:$B$51,MATCH(D193,Ref!$A$2:$A$51,0)),"")</f>
        <v/>
      </c>
      <c r="D193" s="26" t="inlineStr">
        <is>
          <t>AnaCap FB – Two Arms</t>
        </is>
      </c>
      <c r="E193" s="27" t="n">
        <v>0.7</v>
      </c>
      <c r="F193" s="28" t="n">
        <v>-16.1</v>
      </c>
      <c r="G193" s="29">
        <f>IFERROR(INDEX(Ref!$C$2:$C$51,MATCH(D193,Ref!$A$2:$A$51,0)),"")</f>
        <v/>
      </c>
      <c r="H193" s="29">
        <f>IFERROR(INDEX(Ref!$D$2:$D$51,MATCH(D193,Ref!$A$2:$A$51,0)),"")</f>
        <v/>
      </c>
      <c r="I193" s="29">
        <f>IFERROR(INDEX(Ref!$E$2:$E$51,MATCH(D193,Ref!$A$2:$A$51,0)),"")</f>
        <v/>
      </c>
      <c r="J193" s="30">
        <f>IFERROR(IF(OR(E193="",F193="",ISNUMBER(FIND("bw",LOWER(TEXT(F193,"@"))))=TRUE()),"",ROUND(F193/E193,2)),"")</f>
        <v/>
      </c>
      <c r="K193" s="31" t="n"/>
    </row>
    <row r="194" ht="15" customHeight="1" s="103">
      <c r="A194" s="23" t="n">
        <v>46023</v>
      </c>
      <c r="B194" s="24" t="n">
        <v>49.3</v>
      </c>
      <c r="C194" s="25">
        <f>IFERROR(INDEX(Ref!$B$2:$B$51,MATCH(D194,Ref!$A$2:$A$51,0)),"")</f>
        <v/>
      </c>
      <c r="D194" s="26" t="inlineStr">
        <is>
          <t>MS Load Straight</t>
        </is>
      </c>
      <c r="E194" s="27" t="n">
        <v>0.95</v>
      </c>
      <c r="F194" s="28" t="n">
        <v>39.9</v>
      </c>
      <c r="G194" s="29">
        <f>IFERROR(INDEX(Ref!$C$2:$C$51,MATCH(D194,Ref!$A$2:$A$51,0)),"")</f>
        <v/>
      </c>
      <c r="H194" s="29">
        <f>IFERROR(INDEX(Ref!$D$2:$D$51,MATCH(D194,Ref!$A$2:$A$51,0)),"")</f>
        <v/>
      </c>
      <c r="I194" s="29">
        <f>IFERROR(INDEX(Ref!$E$2:$E$51,MATCH(D194,Ref!$A$2:$A$51,0)),"")</f>
        <v/>
      </c>
      <c r="J194" s="30">
        <f>IFERROR(IF(OR(E194="",F194="",ISNUMBER(FIND("bw",LOWER(TEXT(F194,"@"))))=TRUE()),"",ROUND(F194/E194,2)),"")</f>
        <v/>
      </c>
      <c r="K194" s="31" t="n"/>
    </row>
    <row r="195" ht="15" customHeight="1" s="103">
      <c r="A195" s="33" t="n"/>
      <c r="B195" s="33" t="n"/>
      <c r="C195" s="33" t="n"/>
      <c r="D195" s="33" t="n"/>
      <c r="E195" s="33" t="n"/>
      <c r="F195" s="33" t="n"/>
      <c r="G195" s="33" t="n"/>
      <c r="H195" s="33" t="n"/>
      <c r="I195" s="33" t="n"/>
      <c r="J195" s="33" t="n"/>
      <c r="K195" s="33" t="n"/>
    </row>
    <row r="196" ht="15" customHeight="1" s="103">
      <c r="A196" s="133" t="inlineStr">
        <is>
          <t>↓  ADD YOUR NEXT SESSION BELOW — select exercise from dropdown, fill yellow, green fills automatically  ↓</t>
        </is>
      </c>
      <c r="B196" s="109" t="n"/>
      <c r="C196" s="109" t="n"/>
      <c r="D196" s="109" t="n"/>
      <c r="E196" s="109" t="n"/>
      <c r="F196" s="109" t="n"/>
      <c r="G196" s="109" t="n"/>
      <c r="H196" s="109" t="n"/>
      <c r="I196" s="109" t="n"/>
      <c r="J196" s="109" t="n"/>
      <c r="K196" s="110" t="n"/>
    </row>
    <row r="197" ht="15" customHeight="1" s="103">
      <c r="A197" s="37" t="n"/>
      <c r="B197" s="38" t="n"/>
      <c r="C197" s="39">
        <f>IFERROR(INDEX(Ref!$B$2:$B$43,MATCH(D158,Ref!$A$2:$A$43,0)),"")</f>
        <v/>
      </c>
      <c r="D197" s="40" t="n"/>
      <c r="E197" s="41" t="n"/>
      <c r="F197" s="38" t="n"/>
      <c r="G197" s="39">
        <f>IFERROR(INDEX(Ref!$C$2:$C$43,MATCH(D158,Ref!$A$2:$A$43,0)),"")</f>
        <v/>
      </c>
      <c r="H197" s="39">
        <f>IFERROR(INDEX(Ref!$D$2:$D$43,MATCH(D158,Ref!$A$2:$A$43,0)),"")</f>
        <v/>
      </c>
      <c r="I197" s="39">
        <f>IFERROR(INDEX(Ref!$E$2:$E$43,MATCH(D158,Ref!$A$2:$A$43,0)),"")</f>
        <v/>
      </c>
      <c r="J197" s="42">
        <f>IFERROR(IF(OR(E158="",F158="",ISNUMBER(FIND("bw",LOWER(TEXT(F158,"@"))))=TRUE()),"",ROUND(F158/E158,2)),"")</f>
        <v/>
      </c>
      <c r="K197" s="40" t="n"/>
    </row>
    <row r="198" ht="15" customHeight="1" s="103">
      <c r="A198" s="37" t="n"/>
      <c r="B198" s="38" t="n"/>
      <c r="C198" s="39">
        <f>IFERROR(INDEX(Ref!$B$2:$B$43,MATCH(D159,Ref!$A$2:$A$43,0)),"")</f>
        <v/>
      </c>
      <c r="D198" s="40" t="n"/>
      <c r="E198" s="41" t="n"/>
      <c r="F198" s="38" t="n"/>
      <c r="G198" s="39">
        <f>IFERROR(INDEX(Ref!$C$2:$C$43,MATCH(D159,Ref!$A$2:$A$43,0)),"")</f>
        <v/>
      </c>
      <c r="H198" s="39">
        <f>IFERROR(INDEX(Ref!$D$2:$D$43,MATCH(D159,Ref!$A$2:$A$43,0)),"")</f>
        <v/>
      </c>
      <c r="I198" s="39">
        <f>IFERROR(INDEX(Ref!$E$2:$E$43,MATCH(D159,Ref!$A$2:$A$43,0)),"")</f>
        <v/>
      </c>
      <c r="J198" s="42">
        <f>IFERROR(IF(OR(E159="",F159="",ISNUMBER(FIND("bw",LOWER(TEXT(F159,"@"))))=TRUE()),"",ROUND(F159/E159,2)),"")</f>
        <v/>
      </c>
      <c r="K198" s="40" t="n"/>
    </row>
    <row r="199" ht="15" customHeight="1" s="103">
      <c r="A199" s="37" t="n"/>
      <c r="B199" s="38" t="n"/>
      <c r="C199" s="39">
        <f>IFERROR(INDEX(Ref!$B$2:$B$43,MATCH(D160,Ref!$A$2:$A$43,0)),"")</f>
        <v/>
      </c>
      <c r="D199" s="40" t="n"/>
      <c r="E199" s="41" t="n"/>
      <c r="F199" s="38" t="n"/>
      <c r="G199" s="39">
        <f>IFERROR(INDEX(Ref!$C$2:$C$43,MATCH(D160,Ref!$A$2:$A$43,0)),"")</f>
        <v/>
      </c>
      <c r="H199" s="39">
        <f>IFERROR(INDEX(Ref!$D$2:$D$43,MATCH(D160,Ref!$A$2:$A$43,0)),"")</f>
        <v/>
      </c>
      <c r="I199" s="39">
        <f>IFERROR(INDEX(Ref!$E$2:$E$43,MATCH(D160,Ref!$A$2:$A$43,0)),"")</f>
        <v/>
      </c>
      <c r="J199" s="42">
        <f>IFERROR(IF(OR(E160="",F160="",ISNUMBER(FIND("bw",LOWER(TEXT(F160,"@"))))=TRUE()),"",ROUND(F160/E160,2)),"")</f>
        <v/>
      </c>
      <c r="K199" s="40" t="n"/>
    </row>
    <row r="200" ht="15" customHeight="1" s="103">
      <c r="A200" s="37" t="n"/>
      <c r="B200" s="38" t="n"/>
      <c r="C200" s="39">
        <f>IFERROR(INDEX(Ref!$B$2:$B$43,MATCH(D161,Ref!$A$2:$A$43,0)),"")</f>
        <v/>
      </c>
      <c r="D200" s="40" t="n"/>
      <c r="E200" s="41" t="n"/>
      <c r="F200" s="38" t="n"/>
      <c r="G200" s="39">
        <f>IFERROR(INDEX(Ref!$C$2:$C$43,MATCH(D161,Ref!$A$2:$A$43,0)),"")</f>
        <v/>
      </c>
      <c r="H200" s="39">
        <f>IFERROR(INDEX(Ref!$D$2:$D$43,MATCH(D161,Ref!$A$2:$A$43,0)),"")</f>
        <v/>
      </c>
      <c r="I200" s="39">
        <f>IFERROR(INDEX(Ref!$E$2:$E$43,MATCH(D161,Ref!$A$2:$A$43,0)),"")</f>
        <v/>
      </c>
      <c r="J200" s="42">
        <f>IFERROR(IF(OR(E161="",F161="",ISNUMBER(FIND("bw",LOWER(TEXT(F161,"@"))))=TRUE()),"",ROUND(F161/E161,2)),"")</f>
        <v/>
      </c>
      <c r="K200" s="40" t="n"/>
    </row>
    <row r="201" ht="15" customHeight="1" s="103">
      <c r="A201" s="37" t="n"/>
      <c r="B201" s="38" t="n"/>
      <c r="C201" s="39">
        <f>IFERROR(INDEX(Ref!$B$2:$B$43,MATCH(D162,Ref!$A$2:$A$43,0)),"")</f>
        <v/>
      </c>
      <c r="D201" s="40" t="n"/>
      <c r="E201" s="41" t="n"/>
      <c r="F201" s="38" t="n"/>
      <c r="G201" s="39">
        <f>IFERROR(INDEX(Ref!$C$2:$C$43,MATCH(D162,Ref!$A$2:$A$43,0)),"")</f>
        <v/>
      </c>
      <c r="H201" s="39">
        <f>IFERROR(INDEX(Ref!$D$2:$D$43,MATCH(D162,Ref!$A$2:$A$43,0)),"")</f>
        <v/>
      </c>
      <c r="I201" s="39">
        <f>IFERROR(INDEX(Ref!$E$2:$E$43,MATCH(D162,Ref!$A$2:$A$43,0)),"")</f>
        <v/>
      </c>
      <c r="J201" s="42">
        <f>IFERROR(IF(OR(E162="",F162="",ISNUMBER(FIND("bw",LOWER(TEXT(F162,"@"))))=TRUE()),"",ROUND(F162/E162,2)),"")</f>
        <v/>
      </c>
      <c r="K201" s="40" t="n"/>
    </row>
    <row r="202" ht="15" customHeight="1" s="103">
      <c r="A202" s="37" t="n"/>
      <c r="B202" s="38" t="n"/>
      <c r="C202" s="39">
        <f>IFERROR(INDEX(Ref!$B$2:$B$43,MATCH(D163,Ref!$A$2:$A$43,0)),"")</f>
        <v/>
      </c>
      <c r="D202" s="40" t="n"/>
      <c r="E202" s="41" t="n"/>
      <c r="F202" s="38" t="n"/>
      <c r="G202" s="39">
        <f>IFERROR(INDEX(Ref!$C$2:$C$43,MATCH(D163,Ref!$A$2:$A$43,0)),"")</f>
        <v/>
      </c>
      <c r="H202" s="39">
        <f>IFERROR(INDEX(Ref!$D$2:$D$43,MATCH(D163,Ref!$A$2:$A$43,0)),"")</f>
        <v/>
      </c>
      <c r="I202" s="39">
        <f>IFERROR(INDEX(Ref!$E$2:$E$43,MATCH(D163,Ref!$A$2:$A$43,0)),"")</f>
        <v/>
      </c>
      <c r="J202" s="42">
        <f>IFERROR(IF(OR(E163="",F163="",ISNUMBER(FIND("bw",LOWER(TEXT(F163,"@"))))=TRUE()),"",ROUND(F163/E163,2)),"")</f>
        <v/>
      </c>
      <c r="K202" s="40" t="n"/>
    </row>
    <row r="203" ht="15" customHeight="1" s="103">
      <c r="A203" s="37" t="n"/>
      <c r="B203" s="38" t="n"/>
      <c r="C203" s="39">
        <f>IFERROR(INDEX(Ref!$B$2:$B$43,MATCH(D164,Ref!$A$2:$A$43,0)),"")</f>
        <v/>
      </c>
      <c r="D203" s="40" t="n"/>
      <c r="E203" s="41" t="n"/>
      <c r="F203" s="38" t="n"/>
      <c r="G203" s="39">
        <f>IFERROR(INDEX(Ref!$C$2:$C$43,MATCH(D164,Ref!$A$2:$A$43,0)),"")</f>
        <v/>
      </c>
      <c r="H203" s="39">
        <f>IFERROR(INDEX(Ref!$D$2:$D$43,MATCH(D164,Ref!$A$2:$A$43,0)),"")</f>
        <v/>
      </c>
      <c r="I203" s="39">
        <f>IFERROR(INDEX(Ref!$E$2:$E$43,MATCH(D164,Ref!$A$2:$A$43,0)),"")</f>
        <v/>
      </c>
      <c r="J203" s="42">
        <f>IFERROR(IF(OR(E164="",F164="",ISNUMBER(FIND("bw",LOWER(TEXT(F164,"@"))))=TRUE()),"",ROUND(F164/E164,2)),"")</f>
        <v/>
      </c>
      <c r="K203" s="40" t="n"/>
    </row>
    <row r="204" ht="15" customHeight="1" s="103">
      <c r="A204" s="37" t="n"/>
      <c r="B204" s="38" t="n"/>
      <c r="C204" s="39">
        <f>IFERROR(INDEX(Ref!$B$2:$B$43,MATCH(D165,Ref!$A$2:$A$43,0)),"")</f>
        <v/>
      </c>
      <c r="D204" s="40" t="n"/>
      <c r="E204" s="41" t="n"/>
      <c r="F204" s="38" t="n"/>
      <c r="G204" s="39">
        <f>IFERROR(INDEX(Ref!$C$2:$C$43,MATCH(D165,Ref!$A$2:$A$43,0)),"")</f>
        <v/>
      </c>
      <c r="H204" s="39">
        <f>IFERROR(INDEX(Ref!$D$2:$D$43,MATCH(D165,Ref!$A$2:$A$43,0)),"")</f>
        <v/>
      </c>
      <c r="I204" s="39">
        <f>IFERROR(INDEX(Ref!$E$2:$E$43,MATCH(D165,Ref!$A$2:$A$43,0)),"")</f>
        <v/>
      </c>
      <c r="J204" s="42">
        <f>IFERROR(IF(OR(E165="",F165="",ISNUMBER(FIND("bw",LOWER(TEXT(F165,"@"))))=TRUE()),"",ROUND(F165/E165,2)),"")</f>
        <v/>
      </c>
      <c r="K204" s="40" t="n"/>
    </row>
    <row r="205" ht="15" customHeight="1" s="103">
      <c r="A205" s="37" t="n"/>
      <c r="B205" s="38" t="n"/>
      <c r="C205" s="39">
        <f>IFERROR(INDEX(Ref!$B$2:$B$43,MATCH(D166,Ref!$A$2:$A$43,0)),"")</f>
        <v/>
      </c>
      <c r="D205" s="40" t="n"/>
      <c r="E205" s="41" t="n"/>
      <c r="F205" s="38" t="n"/>
      <c r="G205" s="39">
        <f>IFERROR(INDEX(Ref!$C$2:$C$43,MATCH(D166,Ref!$A$2:$A$43,0)),"")</f>
        <v/>
      </c>
      <c r="H205" s="39">
        <f>IFERROR(INDEX(Ref!$D$2:$D$43,MATCH(D166,Ref!$A$2:$A$43,0)),"")</f>
        <v/>
      </c>
      <c r="I205" s="39">
        <f>IFERROR(INDEX(Ref!$E$2:$E$43,MATCH(D166,Ref!$A$2:$A$43,0)),"")</f>
        <v/>
      </c>
      <c r="J205" s="42">
        <f>IFERROR(IF(OR(E166="",F166="",ISNUMBER(FIND("bw",LOWER(TEXT(F166,"@"))))=TRUE()),"",ROUND(F166/E166,2)),"")</f>
        <v/>
      </c>
      <c r="K205" s="40" t="n"/>
    </row>
    <row r="206" ht="15" customHeight="1" s="103">
      <c r="A206" s="37" t="n"/>
      <c r="B206" s="38" t="n"/>
      <c r="C206" s="39">
        <f>IFERROR(INDEX(Ref!$B$2:$B$43,MATCH(D167,Ref!$A$2:$A$43,0)),"")</f>
        <v/>
      </c>
      <c r="D206" s="40" t="n"/>
      <c r="E206" s="41" t="n"/>
      <c r="F206" s="38" t="n"/>
      <c r="G206" s="39">
        <f>IFERROR(INDEX(Ref!$C$2:$C$43,MATCH(D167,Ref!$A$2:$A$43,0)),"")</f>
        <v/>
      </c>
      <c r="H206" s="39">
        <f>IFERROR(INDEX(Ref!$D$2:$D$43,MATCH(D167,Ref!$A$2:$A$43,0)),"")</f>
        <v/>
      </c>
      <c r="I206" s="39">
        <f>IFERROR(INDEX(Ref!$E$2:$E$43,MATCH(D167,Ref!$A$2:$A$43,0)),"")</f>
        <v/>
      </c>
      <c r="J206" s="42">
        <f>IFERROR(IF(OR(E167="",F167="",ISNUMBER(FIND("bw",LOWER(TEXT(F167,"@"))))=TRUE()),"",ROUND(F167/E167,2)),"")</f>
        <v/>
      </c>
      <c r="K206" s="40" t="n"/>
    </row>
    <row r="207" ht="15" customHeight="1" s="103">
      <c r="A207" s="37" t="n"/>
      <c r="B207" s="38" t="n"/>
      <c r="C207" s="39">
        <f>IFERROR(INDEX(Ref!$B$2:$B$43,MATCH(D168,Ref!$A$2:$A$43,0)),"")</f>
        <v/>
      </c>
      <c r="D207" s="40" t="n"/>
      <c r="E207" s="41" t="n"/>
      <c r="F207" s="38" t="n"/>
      <c r="G207" s="39">
        <f>IFERROR(INDEX(Ref!$C$2:$C$43,MATCH(D168,Ref!$A$2:$A$43,0)),"")</f>
        <v/>
      </c>
      <c r="H207" s="39">
        <f>IFERROR(INDEX(Ref!$D$2:$D$43,MATCH(D168,Ref!$A$2:$A$43,0)),"")</f>
        <v/>
      </c>
      <c r="I207" s="39">
        <f>IFERROR(INDEX(Ref!$E$2:$E$43,MATCH(D168,Ref!$A$2:$A$43,0)),"")</f>
        <v/>
      </c>
      <c r="J207" s="42">
        <f>IFERROR(IF(OR(E168="",F168="",ISNUMBER(FIND("bw",LOWER(TEXT(F168,"@"))))=TRUE()),"",ROUND(F168/E168,2)),"")</f>
        <v/>
      </c>
      <c r="K207" s="40" t="n"/>
    </row>
    <row r="208" ht="15" customHeight="1" s="103">
      <c r="A208" s="37" t="n"/>
      <c r="B208" s="38" t="n"/>
      <c r="C208" s="39">
        <f>IFERROR(INDEX(Ref!$B$2:$B$43,MATCH(D169,Ref!$A$2:$A$43,0)),"")</f>
        <v/>
      </c>
      <c r="D208" s="40" t="n"/>
      <c r="E208" s="41" t="n"/>
      <c r="F208" s="38" t="n"/>
      <c r="G208" s="39">
        <f>IFERROR(INDEX(Ref!$C$2:$C$43,MATCH(D169,Ref!$A$2:$A$43,0)),"")</f>
        <v/>
      </c>
      <c r="H208" s="39">
        <f>IFERROR(INDEX(Ref!$D$2:$D$43,MATCH(D169,Ref!$A$2:$A$43,0)),"")</f>
        <v/>
      </c>
      <c r="I208" s="39">
        <f>IFERROR(INDEX(Ref!$E$2:$E$43,MATCH(D169,Ref!$A$2:$A$43,0)),"")</f>
        <v/>
      </c>
      <c r="J208" s="42">
        <f>IFERROR(IF(OR(E169="",F169="",ISNUMBER(FIND("bw",LOWER(TEXT(F169,"@"))))=TRUE()),"",ROUND(F169/E169,2)),"")</f>
        <v/>
      </c>
      <c r="K208" s="40" t="n"/>
    </row>
    <row r="209" ht="15" customHeight="1" s="103">
      <c r="A209" s="37" t="n"/>
      <c r="B209" s="38" t="n"/>
      <c r="C209" s="39">
        <f>IFERROR(INDEX(Ref!$B$2:$B$43,MATCH(D170,Ref!$A$2:$A$43,0)),"")</f>
        <v/>
      </c>
      <c r="D209" s="40" t="n"/>
      <c r="E209" s="41" t="n"/>
      <c r="F209" s="38" t="n"/>
      <c r="G209" s="39">
        <f>IFERROR(INDEX(Ref!$C$2:$C$43,MATCH(D170,Ref!$A$2:$A$43,0)),"")</f>
        <v/>
      </c>
      <c r="H209" s="39">
        <f>IFERROR(INDEX(Ref!$D$2:$D$43,MATCH(D170,Ref!$A$2:$A$43,0)),"")</f>
        <v/>
      </c>
      <c r="I209" s="39">
        <f>IFERROR(INDEX(Ref!$E$2:$E$43,MATCH(D170,Ref!$A$2:$A$43,0)),"")</f>
        <v/>
      </c>
      <c r="J209" s="42">
        <f>IFERROR(IF(OR(E170="",F170="",ISNUMBER(FIND("bw",LOWER(TEXT(F170,"@"))))=TRUE()),"",ROUND(F170/E170,2)),"")</f>
        <v/>
      </c>
      <c r="K209" s="40" t="n"/>
    </row>
    <row r="210" ht="15" customHeight="1" s="103">
      <c r="A210" s="37" t="n"/>
      <c r="B210" s="38" t="n"/>
      <c r="C210" s="39">
        <f>IFERROR(INDEX(Ref!$B$2:$B$43,MATCH(D171,Ref!$A$2:$A$43,0)),"")</f>
        <v/>
      </c>
      <c r="D210" s="40" t="n"/>
      <c r="E210" s="41" t="n"/>
      <c r="F210" s="38" t="n"/>
      <c r="G210" s="39">
        <f>IFERROR(INDEX(Ref!$C$2:$C$43,MATCH(D171,Ref!$A$2:$A$43,0)),"")</f>
        <v/>
      </c>
      <c r="H210" s="39">
        <f>IFERROR(INDEX(Ref!$D$2:$D$43,MATCH(D171,Ref!$A$2:$A$43,0)),"")</f>
        <v/>
      </c>
      <c r="I210" s="39">
        <f>IFERROR(INDEX(Ref!$E$2:$E$43,MATCH(D171,Ref!$A$2:$A$43,0)),"")</f>
        <v/>
      </c>
      <c r="J210" s="42">
        <f>IFERROR(IF(OR(E171="",F171="",ISNUMBER(FIND("bw",LOWER(TEXT(F171,"@"))))=TRUE()),"",ROUND(F171/E171,2)),"")</f>
        <v/>
      </c>
      <c r="K210" s="40" t="n"/>
    </row>
    <row r="211" ht="15" customHeight="1" s="103">
      <c r="A211" s="37" t="n"/>
      <c r="B211" s="38" t="n"/>
      <c r="C211" s="39">
        <f>IFERROR(INDEX(Ref!$B$2:$B$43,MATCH(D172,Ref!$A$2:$A$43,0)),"")</f>
        <v/>
      </c>
      <c r="D211" s="40" t="n"/>
      <c r="E211" s="41" t="n"/>
      <c r="F211" s="38" t="n"/>
      <c r="G211" s="39">
        <f>IFERROR(INDEX(Ref!$C$2:$C$43,MATCH(D172,Ref!$A$2:$A$43,0)),"")</f>
        <v/>
      </c>
      <c r="H211" s="39">
        <f>IFERROR(INDEX(Ref!$D$2:$D$43,MATCH(D172,Ref!$A$2:$A$43,0)),"")</f>
        <v/>
      </c>
      <c r="I211" s="39">
        <f>IFERROR(INDEX(Ref!$E$2:$E$43,MATCH(D172,Ref!$A$2:$A$43,0)),"")</f>
        <v/>
      </c>
      <c r="J211" s="42">
        <f>IFERROR(IF(OR(E172="",F172="",ISNUMBER(FIND("bw",LOWER(TEXT(F172,"@"))))=TRUE()),"",ROUND(F172/E172,2)),"")</f>
        <v/>
      </c>
      <c r="K211" s="40" t="n"/>
    </row>
    <row r="212" ht="15" customHeight="1" s="103">
      <c r="A212" s="37" t="n"/>
      <c r="B212" s="38" t="n"/>
      <c r="C212" s="39">
        <f>IFERROR(INDEX(Ref!$B$2:$B$43,MATCH(D173,Ref!$A$2:$A$43,0)),"")</f>
        <v/>
      </c>
      <c r="D212" s="40" t="n"/>
      <c r="E212" s="41" t="n"/>
      <c r="F212" s="38" t="n"/>
      <c r="G212" s="39">
        <f>IFERROR(INDEX(Ref!$C$2:$C$43,MATCH(D173,Ref!$A$2:$A$43,0)),"")</f>
        <v/>
      </c>
      <c r="H212" s="39">
        <f>IFERROR(INDEX(Ref!$D$2:$D$43,MATCH(D173,Ref!$A$2:$A$43,0)),"")</f>
        <v/>
      </c>
      <c r="I212" s="39">
        <f>IFERROR(INDEX(Ref!$E$2:$E$43,MATCH(D173,Ref!$A$2:$A$43,0)),"")</f>
        <v/>
      </c>
      <c r="J212" s="42">
        <f>IFERROR(IF(OR(E173="",F173="",ISNUMBER(FIND("bw",LOWER(TEXT(F173,"@"))))=TRUE()),"",ROUND(F173/E173,2)),"")</f>
        <v/>
      </c>
      <c r="K212" s="40" t="n"/>
    </row>
    <row r="213" ht="15" customHeight="1" s="103">
      <c r="A213" s="37" t="n"/>
      <c r="B213" s="38" t="n"/>
      <c r="C213" s="39">
        <f>IFERROR(INDEX(Ref!$B$2:$B$43,MATCH(D174,Ref!$A$2:$A$43,0)),"")</f>
        <v/>
      </c>
      <c r="D213" s="40" t="n"/>
      <c r="E213" s="41" t="n"/>
      <c r="F213" s="38" t="n"/>
      <c r="G213" s="39">
        <f>IFERROR(INDEX(Ref!$C$2:$C$43,MATCH(D174,Ref!$A$2:$A$43,0)),"")</f>
        <v/>
      </c>
      <c r="H213" s="39">
        <f>IFERROR(INDEX(Ref!$D$2:$D$43,MATCH(D174,Ref!$A$2:$A$43,0)),"")</f>
        <v/>
      </c>
      <c r="I213" s="39">
        <f>IFERROR(INDEX(Ref!$E$2:$E$43,MATCH(D174,Ref!$A$2:$A$43,0)),"")</f>
        <v/>
      </c>
      <c r="J213" s="42">
        <f>IFERROR(IF(OR(E174="",F174="",ISNUMBER(FIND("bw",LOWER(TEXT(F174,"@"))))=TRUE()),"",ROUND(F174/E174,2)),"")</f>
        <v/>
      </c>
      <c r="K213" s="40" t="n"/>
    </row>
    <row r="214" ht="15" customHeight="1" s="103">
      <c r="A214" s="37" t="n"/>
      <c r="B214" s="38" t="n"/>
      <c r="C214" s="39">
        <f>IFERROR(INDEX(Ref!$B$2:$B$43,MATCH(D175,Ref!$A$2:$A$43,0)),"")</f>
        <v/>
      </c>
      <c r="D214" s="40" t="n"/>
      <c r="E214" s="41" t="n"/>
      <c r="F214" s="38" t="n"/>
      <c r="G214" s="39">
        <f>IFERROR(INDEX(Ref!$C$2:$C$43,MATCH(D175,Ref!$A$2:$A$43,0)),"")</f>
        <v/>
      </c>
      <c r="H214" s="39">
        <f>IFERROR(INDEX(Ref!$D$2:$D$43,MATCH(D175,Ref!$A$2:$A$43,0)),"")</f>
        <v/>
      </c>
      <c r="I214" s="39">
        <f>IFERROR(INDEX(Ref!$E$2:$E$43,MATCH(D175,Ref!$A$2:$A$43,0)),"")</f>
        <v/>
      </c>
      <c r="J214" s="42">
        <f>IFERROR(IF(OR(E175="",F175="",ISNUMBER(FIND("bw",LOWER(TEXT(F175,"@"))))=TRUE()),"",ROUND(F175/E175,2)),"")</f>
        <v/>
      </c>
      <c r="K214" s="40" t="n"/>
    </row>
    <row r="215" ht="15" customHeight="1" s="103">
      <c r="A215" s="37" t="n"/>
      <c r="B215" s="38" t="n"/>
      <c r="C215" s="39">
        <f>IFERROR(INDEX(Ref!$B$2:$B$43,MATCH(D176,Ref!$A$2:$A$43,0)),"")</f>
        <v/>
      </c>
      <c r="D215" s="40" t="n"/>
      <c r="E215" s="41" t="n"/>
      <c r="F215" s="38" t="n"/>
      <c r="G215" s="39">
        <f>IFERROR(INDEX(Ref!$C$2:$C$43,MATCH(D176,Ref!$A$2:$A$43,0)),"")</f>
        <v/>
      </c>
      <c r="H215" s="39">
        <f>IFERROR(INDEX(Ref!$D$2:$D$43,MATCH(D176,Ref!$A$2:$A$43,0)),"")</f>
        <v/>
      </c>
      <c r="I215" s="39">
        <f>IFERROR(INDEX(Ref!$E$2:$E$43,MATCH(D176,Ref!$A$2:$A$43,0)),"")</f>
        <v/>
      </c>
      <c r="J215" s="42">
        <f>IFERROR(IF(OR(E176="",F176="",ISNUMBER(FIND("bw",LOWER(TEXT(F176,"@"))))=TRUE()),"",ROUND(F176/E176,2)),"")</f>
        <v/>
      </c>
      <c r="K215" s="40" t="n"/>
    </row>
    <row r="216" ht="15" customHeight="1" s="103">
      <c r="A216" s="37" t="n"/>
      <c r="B216" s="38" t="n"/>
      <c r="C216" s="39">
        <f>IFERROR(INDEX(Ref!$B$2:$B$43,MATCH(D177,Ref!$A$2:$A$43,0)),"")</f>
        <v/>
      </c>
      <c r="D216" s="40" t="n"/>
      <c r="E216" s="41" t="n"/>
      <c r="F216" s="38" t="n"/>
      <c r="G216" s="39">
        <f>IFERROR(INDEX(Ref!$C$2:$C$43,MATCH(D177,Ref!$A$2:$A$43,0)),"")</f>
        <v/>
      </c>
      <c r="H216" s="39">
        <f>IFERROR(INDEX(Ref!$D$2:$D$43,MATCH(D177,Ref!$A$2:$A$43,0)),"")</f>
        <v/>
      </c>
      <c r="I216" s="39">
        <f>IFERROR(INDEX(Ref!$E$2:$E$43,MATCH(D177,Ref!$A$2:$A$43,0)),"")</f>
        <v/>
      </c>
      <c r="J216" s="42">
        <f>IFERROR(IF(OR(E177="",F177="",ISNUMBER(FIND("bw",LOWER(TEXT(F177,"@"))))=TRUE()),"",ROUND(F177/E177,2)),"")</f>
        <v/>
      </c>
      <c r="K216" s="40" t="n"/>
    </row>
    <row r="217" ht="15" customHeight="1" s="103">
      <c r="A217" s="37" t="n"/>
      <c r="B217" s="38" t="n"/>
      <c r="C217" s="39">
        <f>IFERROR(INDEX(Ref!$B$2:$B$43,MATCH(D178,Ref!$A$2:$A$43,0)),"")</f>
        <v/>
      </c>
      <c r="D217" s="40" t="n"/>
      <c r="E217" s="41" t="n"/>
      <c r="F217" s="38" t="n"/>
      <c r="G217" s="39">
        <f>IFERROR(INDEX(Ref!$C$2:$C$43,MATCH(D178,Ref!$A$2:$A$43,0)),"")</f>
        <v/>
      </c>
      <c r="H217" s="39">
        <f>IFERROR(INDEX(Ref!$D$2:$D$43,MATCH(D178,Ref!$A$2:$A$43,0)),"")</f>
        <v/>
      </c>
      <c r="I217" s="39">
        <f>IFERROR(INDEX(Ref!$E$2:$E$43,MATCH(D178,Ref!$A$2:$A$43,0)),"")</f>
        <v/>
      </c>
      <c r="J217" s="42">
        <f>IFERROR(IF(OR(E178="",F178="",ISNUMBER(FIND("bw",LOWER(TEXT(F178,"@"))))=TRUE()),"",ROUND(F178/E178,2)),"")</f>
        <v/>
      </c>
      <c r="K217" s="40" t="n"/>
    </row>
    <row r="218" ht="15" customHeight="1" s="103">
      <c r="A218" s="37" t="n"/>
      <c r="B218" s="38" t="n"/>
      <c r="C218" s="39">
        <f>IFERROR(INDEX(Ref!$B$2:$B$43,MATCH(D179,Ref!$A$2:$A$43,0)),"")</f>
        <v/>
      </c>
      <c r="D218" s="40" t="n"/>
      <c r="E218" s="41" t="n"/>
      <c r="F218" s="38" t="n"/>
      <c r="G218" s="39">
        <f>IFERROR(INDEX(Ref!$C$2:$C$43,MATCH(D179,Ref!$A$2:$A$43,0)),"")</f>
        <v/>
      </c>
      <c r="H218" s="39">
        <f>IFERROR(INDEX(Ref!$D$2:$D$43,MATCH(D179,Ref!$A$2:$A$43,0)),"")</f>
        <v/>
      </c>
      <c r="I218" s="39">
        <f>IFERROR(INDEX(Ref!$E$2:$E$43,MATCH(D179,Ref!$A$2:$A$43,0)),"")</f>
        <v/>
      </c>
      <c r="J218" s="42">
        <f>IFERROR(IF(OR(E179="",F179="",ISNUMBER(FIND("bw",LOWER(TEXT(F179,"@"))))=TRUE()),"",ROUND(F179/E179,2)),"")</f>
        <v/>
      </c>
      <c r="K218" s="40" t="n"/>
    </row>
    <row r="219" ht="15" customHeight="1" s="103">
      <c r="A219" s="37" t="n"/>
      <c r="B219" s="38" t="n"/>
      <c r="C219" s="39">
        <f>IFERROR(INDEX(Ref!$B$2:$B$43,MATCH(D180,Ref!$A$2:$A$43,0)),"")</f>
        <v/>
      </c>
      <c r="D219" s="40" t="n"/>
      <c r="E219" s="41" t="n"/>
      <c r="F219" s="38" t="n"/>
      <c r="G219" s="39">
        <f>IFERROR(INDEX(Ref!$C$2:$C$43,MATCH(D180,Ref!$A$2:$A$43,0)),"")</f>
        <v/>
      </c>
      <c r="H219" s="39">
        <f>IFERROR(INDEX(Ref!$D$2:$D$43,MATCH(D180,Ref!$A$2:$A$43,0)),"")</f>
        <v/>
      </c>
      <c r="I219" s="39">
        <f>IFERROR(INDEX(Ref!$E$2:$E$43,MATCH(D180,Ref!$A$2:$A$43,0)),"")</f>
        <v/>
      </c>
      <c r="J219" s="42">
        <f>IFERROR(IF(OR(E180="",F180="",ISNUMBER(FIND("bw",LOWER(TEXT(F180,"@"))))=TRUE()),"",ROUND(F180/E180,2)),"")</f>
        <v/>
      </c>
      <c r="K219" s="40" t="n"/>
    </row>
    <row r="220" ht="15" customHeight="1" s="103">
      <c r="A220" s="37" t="n"/>
      <c r="B220" s="38" t="n"/>
      <c r="C220" s="39">
        <f>IFERROR(INDEX(Ref!$B$2:$B$43,MATCH(D181,Ref!$A$2:$A$43,0)),"")</f>
        <v/>
      </c>
      <c r="D220" s="40" t="n"/>
      <c r="E220" s="41" t="n"/>
      <c r="F220" s="38" t="n"/>
      <c r="G220" s="39">
        <f>IFERROR(INDEX(Ref!$C$2:$C$43,MATCH(D181,Ref!$A$2:$A$43,0)),"")</f>
        <v/>
      </c>
      <c r="H220" s="39">
        <f>IFERROR(INDEX(Ref!$D$2:$D$43,MATCH(D181,Ref!$A$2:$A$43,0)),"")</f>
        <v/>
      </c>
      <c r="I220" s="39">
        <f>IFERROR(INDEX(Ref!$E$2:$E$43,MATCH(D181,Ref!$A$2:$A$43,0)),"")</f>
        <v/>
      </c>
      <c r="J220" s="42">
        <f>IFERROR(IF(OR(E181="",F181="",ISNUMBER(FIND("bw",LOWER(TEXT(F181,"@"))))=TRUE()),"",ROUND(F181/E181,2)),"")</f>
        <v/>
      </c>
      <c r="K220" s="40" t="n"/>
    </row>
    <row r="221" ht="15" customHeight="1" s="103">
      <c r="A221" s="37" t="n"/>
      <c r="B221" s="38" t="n"/>
      <c r="C221" s="39">
        <f>IFERROR(INDEX(Ref!$B$2:$B$43,MATCH(D182,Ref!$A$2:$A$43,0)),"")</f>
        <v/>
      </c>
      <c r="D221" s="40" t="n"/>
      <c r="E221" s="41" t="n"/>
      <c r="F221" s="38" t="n"/>
      <c r="G221" s="39">
        <f>IFERROR(INDEX(Ref!$C$2:$C$43,MATCH(D182,Ref!$A$2:$A$43,0)),"")</f>
        <v/>
      </c>
      <c r="H221" s="39">
        <f>IFERROR(INDEX(Ref!$D$2:$D$43,MATCH(D182,Ref!$A$2:$A$43,0)),"")</f>
        <v/>
      </c>
      <c r="I221" s="39">
        <f>IFERROR(INDEX(Ref!$E$2:$E$43,MATCH(D182,Ref!$A$2:$A$43,0)),"")</f>
        <v/>
      </c>
      <c r="J221" s="42">
        <f>IFERROR(IF(OR(E182="",F182="",ISNUMBER(FIND("bw",LOWER(TEXT(F182,"@"))))=TRUE()),"",ROUND(F182/E182,2)),"")</f>
        <v/>
      </c>
      <c r="K221" s="40" t="n"/>
    </row>
    <row r="222" ht="15" customHeight="1" s="103">
      <c r="A222" s="37" t="n"/>
      <c r="B222" s="38" t="n"/>
      <c r="C222" s="39">
        <f>IFERROR(INDEX(Ref!$B$2:$B$43,MATCH(D183,Ref!$A$2:$A$43,0)),"")</f>
        <v/>
      </c>
      <c r="D222" s="40" t="n"/>
      <c r="E222" s="41" t="n"/>
      <c r="F222" s="38" t="n"/>
      <c r="G222" s="39">
        <f>IFERROR(INDEX(Ref!$C$2:$C$43,MATCH(D183,Ref!$A$2:$A$43,0)),"")</f>
        <v/>
      </c>
      <c r="H222" s="39">
        <f>IFERROR(INDEX(Ref!$D$2:$D$43,MATCH(D183,Ref!$A$2:$A$43,0)),"")</f>
        <v/>
      </c>
      <c r="I222" s="39">
        <f>IFERROR(INDEX(Ref!$E$2:$E$43,MATCH(D183,Ref!$A$2:$A$43,0)),"")</f>
        <v/>
      </c>
      <c r="J222" s="42">
        <f>IFERROR(IF(OR(E183="",F183="",ISNUMBER(FIND("bw",LOWER(TEXT(F183,"@"))))=TRUE()),"",ROUND(F183/E183,2)),"")</f>
        <v/>
      </c>
      <c r="K222" s="40" t="n"/>
    </row>
    <row r="223" ht="15" customHeight="1" s="103">
      <c r="A223" s="37" t="n"/>
      <c r="B223" s="38" t="n"/>
      <c r="C223" s="39">
        <f>IFERROR(INDEX(Ref!$B$2:$B$43,MATCH(D184,Ref!$A$2:$A$43,0)),"")</f>
        <v/>
      </c>
      <c r="D223" s="40" t="n"/>
      <c r="E223" s="41" t="n"/>
      <c r="F223" s="38" t="n"/>
      <c r="G223" s="39">
        <f>IFERROR(INDEX(Ref!$C$2:$C$43,MATCH(D184,Ref!$A$2:$A$43,0)),"")</f>
        <v/>
      </c>
      <c r="H223" s="39">
        <f>IFERROR(INDEX(Ref!$D$2:$D$43,MATCH(D184,Ref!$A$2:$A$43,0)),"")</f>
        <v/>
      </c>
      <c r="I223" s="39">
        <f>IFERROR(INDEX(Ref!$E$2:$E$43,MATCH(D184,Ref!$A$2:$A$43,0)),"")</f>
        <v/>
      </c>
      <c r="J223" s="42">
        <f>IFERROR(IF(OR(E184="",F184="",ISNUMBER(FIND("bw",LOWER(TEXT(F184,"@"))))=TRUE()),"",ROUND(F184/E184,2)),"")</f>
        <v/>
      </c>
      <c r="K223" s="40" t="n"/>
    </row>
    <row r="224" ht="15" customHeight="1" s="103">
      <c r="A224" s="37" t="n"/>
      <c r="B224" s="38" t="n"/>
      <c r="C224" s="39">
        <f>IFERROR(INDEX(Ref!$B$2:$B$43,MATCH(D185,Ref!$A$2:$A$43,0)),"")</f>
        <v/>
      </c>
      <c r="D224" s="40" t="n"/>
      <c r="E224" s="41" t="n"/>
      <c r="F224" s="38" t="n"/>
      <c r="G224" s="39">
        <f>IFERROR(INDEX(Ref!$C$2:$C$43,MATCH(D185,Ref!$A$2:$A$43,0)),"")</f>
        <v/>
      </c>
      <c r="H224" s="39">
        <f>IFERROR(INDEX(Ref!$D$2:$D$43,MATCH(D185,Ref!$A$2:$A$43,0)),"")</f>
        <v/>
      </c>
      <c r="I224" s="39">
        <f>IFERROR(INDEX(Ref!$E$2:$E$43,MATCH(D185,Ref!$A$2:$A$43,0)),"")</f>
        <v/>
      </c>
      <c r="J224" s="42">
        <f>IFERROR(IF(OR(E185="",F185="",ISNUMBER(FIND("bw",LOWER(TEXT(F185,"@"))))=TRUE()),"",ROUND(F185/E185,2)),"")</f>
        <v/>
      </c>
      <c r="K224" s="40" t="n"/>
    </row>
    <row r="225" ht="15" customHeight="1" s="103">
      <c r="A225" s="37" t="n"/>
      <c r="B225" s="38" t="n"/>
      <c r="C225" s="39">
        <f>IFERROR(INDEX(Ref!$B$2:$B$43,MATCH(D186,Ref!$A$2:$A$43,0)),"")</f>
        <v/>
      </c>
      <c r="D225" s="40" t="n"/>
      <c r="E225" s="41" t="n"/>
      <c r="F225" s="38" t="n"/>
      <c r="G225" s="39">
        <f>IFERROR(INDEX(Ref!$C$2:$C$43,MATCH(D186,Ref!$A$2:$A$43,0)),"")</f>
        <v/>
      </c>
      <c r="H225" s="39">
        <f>IFERROR(INDEX(Ref!$D$2:$D$43,MATCH(D186,Ref!$A$2:$A$43,0)),"")</f>
        <v/>
      </c>
      <c r="I225" s="39">
        <f>IFERROR(INDEX(Ref!$E$2:$E$43,MATCH(D186,Ref!$A$2:$A$43,0)),"")</f>
        <v/>
      </c>
      <c r="J225" s="42">
        <f>IFERROR(IF(OR(E186="",F186="",ISNUMBER(FIND("bw",LOWER(TEXT(F186,"@"))))=TRUE()),"",ROUND(F186/E186,2)),"")</f>
        <v/>
      </c>
      <c r="K225" s="40" t="n"/>
    </row>
    <row r="226" ht="15" customHeight="1" s="103">
      <c r="A226" s="37" t="n"/>
      <c r="B226" s="38" t="n"/>
      <c r="C226" s="39">
        <f>IFERROR(INDEX(Ref!$B$2:$B$43,MATCH(D187,Ref!$A$2:$A$43,0)),"")</f>
        <v/>
      </c>
      <c r="D226" s="40" t="n"/>
      <c r="E226" s="41" t="n"/>
      <c r="F226" s="38" t="n"/>
      <c r="G226" s="39">
        <f>IFERROR(INDEX(Ref!$C$2:$C$43,MATCH(D187,Ref!$A$2:$A$43,0)),"")</f>
        <v/>
      </c>
      <c r="H226" s="39">
        <f>IFERROR(INDEX(Ref!$D$2:$D$43,MATCH(D187,Ref!$A$2:$A$43,0)),"")</f>
        <v/>
      </c>
      <c r="I226" s="39">
        <f>IFERROR(INDEX(Ref!$E$2:$E$43,MATCH(D187,Ref!$A$2:$A$43,0)),"")</f>
        <v/>
      </c>
      <c r="J226" s="42">
        <f>IFERROR(IF(OR(E187="",F187="",ISNUMBER(FIND("bw",LOWER(TEXT(F187,"@"))))=TRUE()),"",ROUND(F187/E187,2)),"")</f>
        <v/>
      </c>
      <c r="K226" s="40" t="n"/>
    </row>
    <row r="227" ht="15" customHeight="1" s="103">
      <c r="A227" s="37" t="n"/>
      <c r="B227" s="38" t="n"/>
      <c r="C227" s="39">
        <f>IFERROR(INDEX(Ref!$B$2:$B$43,MATCH(D188,Ref!$A$2:$A$43,0)),"")</f>
        <v/>
      </c>
      <c r="D227" s="40" t="n"/>
      <c r="E227" s="41" t="n"/>
      <c r="F227" s="38" t="n"/>
      <c r="G227" s="39">
        <f>IFERROR(INDEX(Ref!$C$2:$C$43,MATCH(D188,Ref!$A$2:$A$43,0)),"")</f>
        <v/>
      </c>
      <c r="H227" s="39">
        <f>IFERROR(INDEX(Ref!$D$2:$D$43,MATCH(D188,Ref!$A$2:$A$43,0)),"")</f>
        <v/>
      </c>
      <c r="I227" s="39">
        <f>IFERROR(INDEX(Ref!$E$2:$E$43,MATCH(D188,Ref!$A$2:$A$43,0)),"")</f>
        <v/>
      </c>
      <c r="J227" s="42">
        <f>IFERROR(IF(OR(E188="",F188="",ISNUMBER(FIND("bw",LOWER(TEXT(F188,"@"))))=TRUE()),"",ROUND(F188/E188,2)),"")</f>
        <v/>
      </c>
      <c r="K227" s="40" t="n"/>
    </row>
    <row r="228" ht="15" customHeight="1" s="103">
      <c r="A228" s="37" t="n"/>
      <c r="B228" s="38" t="n"/>
      <c r="C228" s="39">
        <f>IFERROR(INDEX(Ref!$B$2:$B$43,MATCH(D189,Ref!$A$2:$A$43,0)),"")</f>
        <v/>
      </c>
      <c r="D228" s="40" t="n"/>
      <c r="E228" s="41" t="n"/>
      <c r="F228" s="38" t="n"/>
      <c r="G228" s="39">
        <f>IFERROR(INDEX(Ref!$C$2:$C$43,MATCH(D189,Ref!$A$2:$A$43,0)),"")</f>
        <v/>
      </c>
      <c r="H228" s="39">
        <f>IFERROR(INDEX(Ref!$D$2:$D$43,MATCH(D189,Ref!$A$2:$A$43,0)),"")</f>
        <v/>
      </c>
      <c r="I228" s="39">
        <f>IFERROR(INDEX(Ref!$E$2:$E$43,MATCH(D189,Ref!$A$2:$A$43,0)),"")</f>
        <v/>
      </c>
      <c r="J228" s="42">
        <f>IFERROR(IF(OR(E189="",F189="",ISNUMBER(FIND("bw",LOWER(TEXT(F189,"@"))))=TRUE()),"",ROUND(F189/E189,2)),"")</f>
        <v/>
      </c>
      <c r="K228" s="40" t="n"/>
    </row>
    <row r="229" ht="15" customHeight="1" s="103">
      <c r="A229" s="37" t="n"/>
      <c r="B229" s="38" t="n"/>
      <c r="C229" s="39">
        <f>IFERROR(INDEX(Ref!$B$2:$B$43,MATCH(D190,Ref!$A$2:$A$43,0)),"")</f>
        <v/>
      </c>
      <c r="D229" s="40" t="n"/>
      <c r="E229" s="41" t="n"/>
      <c r="F229" s="38" t="n"/>
      <c r="G229" s="39">
        <f>IFERROR(INDEX(Ref!$C$2:$C$43,MATCH(D190,Ref!$A$2:$A$43,0)),"")</f>
        <v/>
      </c>
      <c r="H229" s="39">
        <f>IFERROR(INDEX(Ref!$D$2:$D$43,MATCH(D190,Ref!$A$2:$A$43,0)),"")</f>
        <v/>
      </c>
      <c r="I229" s="39">
        <f>IFERROR(INDEX(Ref!$E$2:$E$43,MATCH(D190,Ref!$A$2:$A$43,0)),"")</f>
        <v/>
      </c>
      <c r="J229" s="42">
        <f>IFERROR(IF(OR(E190="",F190="",ISNUMBER(FIND("bw",LOWER(TEXT(F190,"@"))))=TRUE()),"",ROUND(F190/E190,2)),"")</f>
        <v/>
      </c>
      <c r="K229" s="40" t="n"/>
    </row>
    <row r="230" ht="15" customHeight="1" s="103">
      <c r="A230" s="37" t="n"/>
      <c r="B230" s="38" t="n"/>
      <c r="C230" s="39">
        <f>IFERROR(INDEX(Ref!$B$2:$B$43,MATCH(D191,Ref!$A$2:$A$43,0)),"")</f>
        <v/>
      </c>
      <c r="D230" s="40" t="n"/>
      <c r="E230" s="41" t="n"/>
      <c r="F230" s="38" t="n"/>
      <c r="G230" s="39">
        <f>IFERROR(INDEX(Ref!$C$2:$C$43,MATCH(D191,Ref!$A$2:$A$43,0)),"")</f>
        <v/>
      </c>
      <c r="H230" s="39">
        <f>IFERROR(INDEX(Ref!$D$2:$D$43,MATCH(D191,Ref!$A$2:$A$43,0)),"")</f>
        <v/>
      </c>
      <c r="I230" s="39">
        <f>IFERROR(INDEX(Ref!$E$2:$E$43,MATCH(D191,Ref!$A$2:$A$43,0)),"")</f>
        <v/>
      </c>
      <c r="J230" s="42">
        <f>IFERROR(IF(OR(E191="",F191="",ISNUMBER(FIND("bw",LOWER(TEXT(F191,"@"))))=TRUE()),"",ROUND(F191/E191,2)),"")</f>
        <v/>
      </c>
      <c r="K230" s="40" t="n"/>
    </row>
    <row r="231" ht="15" customHeight="1" s="103">
      <c r="A231" s="37" t="n"/>
      <c r="B231" s="38" t="n"/>
      <c r="C231" s="39">
        <f>IFERROR(INDEX(Ref!$B$2:$B$43,MATCH(D192,Ref!$A$2:$A$43,0)),"")</f>
        <v/>
      </c>
      <c r="D231" s="40" t="n"/>
      <c r="E231" s="41" t="n"/>
      <c r="F231" s="38" t="n"/>
      <c r="G231" s="39">
        <f>IFERROR(INDEX(Ref!$C$2:$C$43,MATCH(D192,Ref!$A$2:$A$43,0)),"")</f>
        <v/>
      </c>
      <c r="H231" s="39">
        <f>IFERROR(INDEX(Ref!$D$2:$D$43,MATCH(D192,Ref!$A$2:$A$43,0)),"")</f>
        <v/>
      </c>
      <c r="I231" s="39">
        <f>IFERROR(INDEX(Ref!$E$2:$E$43,MATCH(D192,Ref!$A$2:$A$43,0)),"")</f>
        <v/>
      </c>
      <c r="J231" s="42">
        <f>IFERROR(IF(OR(E192="",F192="",ISNUMBER(FIND("bw",LOWER(TEXT(F192,"@"))))=TRUE()),"",ROUND(F192/E192,2)),"")</f>
        <v/>
      </c>
      <c r="K231" s="40" t="n"/>
    </row>
    <row r="232" ht="15" customHeight="1" s="103">
      <c r="A232" s="37" t="n"/>
      <c r="B232" s="38" t="n"/>
      <c r="C232" s="39">
        <f>IFERROR(INDEX(Ref!$B$2:$B$43,MATCH(D193,Ref!$A$2:$A$43,0)),"")</f>
        <v/>
      </c>
      <c r="D232" s="40" t="n"/>
      <c r="E232" s="41" t="n"/>
      <c r="F232" s="38" t="n"/>
      <c r="G232" s="39">
        <f>IFERROR(INDEX(Ref!$C$2:$C$43,MATCH(D193,Ref!$A$2:$A$43,0)),"")</f>
        <v/>
      </c>
      <c r="H232" s="39">
        <f>IFERROR(INDEX(Ref!$D$2:$D$43,MATCH(D193,Ref!$A$2:$A$43,0)),"")</f>
        <v/>
      </c>
      <c r="I232" s="39">
        <f>IFERROR(INDEX(Ref!$E$2:$E$43,MATCH(D193,Ref!$A$2:$A$43,0)),"")</f>
        <v/>
      </c>
      <c r="J232" s="42">
        <f>IFERROR(IF(OR(E193="",F193="",ISNUMBER(FIND("bw",LOWER(TEXT(F193,"@"))))=TRUE()),"",ROUND(F193/E193,2)),"")</f>
        <v/>
      </c>
      <c r="K232" s="40" t="n"/>
    </row>
    <row r="233" ht="15" customHeight="1" s="103">
      <c r="A233" s="37" t="n"/>
      <c r="B233" s="38" t="n"/>
      <c r="C233" s="39">
        <f>IFERROR(INDEX(Ref!$B$2:$B$43,MATCH(D194,Ref!$A$2:$A$43,0)),"")</f>
        <v/>
      </c>
      <c r="D233" s="40" t="n"/>
      <c r="E233" s="41" t="n"/>
      <c r="F233" s="38" t="n"/>
      <c r="G233" s="39">
        <f>IFERROR(INDEX(Ref!$C$2:$C$43,MATCH(D194,Ref!$A$2:$A$43,0)),"")</f>
        <v/>
      </c>
      <c r="H233" s="39">
        <f>IFERROR(INDEX(Ref!$D$2:$D$43,MATCH(D194,Ref!$A$2:$A$43,0)),"")</f>
        <v/>
      </c>
      <c r="I233" s="39">
        <f>IFERROR(INDEX(Ref!$E$2:$E$43,MATCH(D194,Ref!$A$2:$A$43,0)),"")</f>
        <v/>
      </c>
      <c r="J233" s="42">
        <f>IFERROR(IF(OR(E194="",F194="",ISNUMBER(FIND("bw",LOWER(TEXT(F194,"@"))))=TRUE()),"",ROUND(F194/E194,2)),"")</f>
        <v/>
      </c>
      <c r="K233" s="40" t="n"/>
    </row>
    <row r="234" ht="15" customHeight="1" s="103">
      <c r="A234" s="37" t="n"/>
      <c r="B234" s="38" t="n"/>
      <c r="C234" s="39">
        <f>IFERROR(INDEX(Ref!$B$2:$B$43,MATCH(D195,Ref!$A$2:$A$43,0)),"")</f>
        <v/>
      </c>
      <c r="D234" s="40" t="n"/>
      <c r="E234" s="41" t="n"/>
      <c r="F234" s="38" t="n"/>
      <c r="G234" s="39">
        <f>IFERROR(INDEX(Ref!$C$2:$C$43,MATCH(D195,Ref!$A$2:$A$43,0)),"")</f>
        <v/>
      </c>
      <c r="H234" s="39">
        <f>IFERROR(INDEX(Ref!$D$2:$D$43,MATCH(D195,Ref!$A$2:$A$43,0)),"")</f>
        <v/>
      </c>
      <c r="I234" s="39">
        <f>IFERROR(INDEX(Ref!$E$2:$E$43,MATCH(D195,Ref!$A$2:$A$43,0)),"")</f>
        <v/>
      </c>
      <c r="J234" s="42">
        <f>IFERROR(IF(OR(E195="",F195="",ISNUMBER(FIND("bw",LOWER(TEXT(F195,"@"))))=TRUE()),"",ROUND(F195/E195,2)),"")</f>
        <v/>
      </c>
      <c r="K234" s="40" t="n"/>
    </row>
    <row r="235" ht="15" customHeight="1" s="103">
      <c r="A235" s="37" t="n"/>
      <c r="B235" s="38" t="n"/>
      <c r="C235" s="39">
        <f>IFERROR(INDEX(Ref!$B$2:$B$43,MATCH(D196,Ref!$A$2:$A$43,0)),"")</f>
        <v/>
      </c>
      <c r="D235" s="40" t="n"/>
      <c r="E235" s="41" t="n"/>
      <c r="F235" s="38" t="n"/>
      <c r="G235" s="39">
        <f>IFERROR(INDEX(Ref!$C$2:$C$43,MATCH(D196,Ref!$A$2:$A$43,0)),"")</f>
        <v/>
      </c>
      <c r="H235" s="39">
        <f>IFERROR(INDEX(Ref!$D$2:$D$43,MATCH(D196,Ref!$A$2:$A$43,0)),"")</f>
        <v/>
      </c>
      <c r="I235" s="39">
        <f>IFERROR(INDEX(Ref!$E$2:$E$43,MATCH(D196,Ref!$A$2:$A$43,0)),"")</f>
        <v/>
      </c>
      <c r="J235" s="42">
        <f>IFERROR(IF(OR(E196="",F196="",ISNUMBER(FIND("bw",LOWER(TEXT(F196,"@"))))=TRUE()),"",ROUND(F196/E196,2)),"")</f>
        <v/>
      </c>
      <c r="K235" s="40" t="n"/>
    </row>
    <row r="236" ht="15" customHeight="1" s="103">
      <c r="A236" s="37" t="n"/>
      <c r="B236" s="38" t="n"/>
      <c r="C236" s="39">
        <f>IFERROR(INDEX(Ref!$B$2:$B$43,MATCH(D197,Ref!$A$2:$A$43,0)),"")</f>
        <v/>
      </c>
      <c r="D236" s="40" t="n"/>
      <c r="E236" s="41" t="n"/>
      <c r="F236" s="38" t="n"/>
      <c r="G236" s="39">
        <f>IFERROR(INDEX(Ref!$C$2:$C$43,MATCH(D197,Ref!$A$2:$A$43,0)),"")</f>
        <v/>
      </c>
      <c r="H236" s="39">
        <f>IFERROR(INDEX(Ref!$D$2:$D$43,MATCH(D197,Ref!$A$2:$A$43,0)),"")</f>
        <v/>
      </c>
      <c r="I236" s="39">
        <f>IFERROR(INDEX(Ref!$E$2:$E$43,MATCH(D197,Ref!$A$2:$A$43,0)),"")</f>
        <v/>
      </c>
      <c r="J236" s="42">
        <f>IFERROR(IF(OR(E197="",F197="",ISNUMBER(FIND("bw",LOWER(TEXT(F197,"@"))))=TRUE()),"",ROUND(F197/E197,2)),"")</f>
        <v/>
      </c>
      <c r="K236" s="40" t="n"/>
    </row>
  </sheetData>
  <mergeCells count="10">
    <mergeCell ref="G3:K3"/>
    <mergeCell ref="A34:K34"/>
    <mergeCell ref="A157:K157"/>
    <mergeCell ref="A2:K2"/>
    <mergeCell ref="A63:K63"/>
    <mergeCell ref="A93:K93"/>
    <mergeCell ref="A123:K123"/>
    <mergeCell ref="A3:F3"/>
    <mergeCell ref="A5:K5"/>
    <mergeCell ref="A1:K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tabColor rgb="FF27AE60"/>
    <outlinePr summaryBelow="1" summaryRight="1"/>
    <pageSetUpPr/>
  </sheetPr>
  <dimension ref="A1:J56"/>
  <sheetViews>
    <sheetView zoomScaleNormal="100" workbookViewId="0">
      <pane xSplit="2" ySplit="3" topLeftCell="C13" activePane="bottomRight" state="frozen"/>
      <selection pane="topRight" activeCell="C1" sqref="C1"/>
      <selection pane="bottomLeft" activeCell="A13" sqref="A13"/>
      <selection pane="bottomRight" activeCell="A1" sqref="A1:H1"/>
    </sheetView>
  </sheetViews>
  <sheetFormatPr baseColWidth="10" defaultColWidth="8.6640625" defaultRowHeight="15" customHeight="1"/>
  <cols>
    <col width="22" customWidth="1" style="103" min="1" max="1"/>
    <col width="30" customWidth="1" style="103" min="2" max="2"/>
    <col width="13" customWidth="1" style="103" min="3" max="8"/>
    <col width="28" customWidth="1" style="103" min="9" max="9"/>
  </cols>
  <sheetData>
    <row r="1" ht="27.75" customHeight="1" s="103">
      <c r="A1" s="116" t="inlineStr">
        <is>
          <t>📈  Exercise Progress — weight used per session (kg)</t>
        </is>
      </c>
    </row>
    <row r="2" ht="6" customHeight="1" s="103"/>
    <row r="3" ht="15" customHeight="1" s="103">
      <c r="A3" s="112" t="inlineStr">
        <is>
          <t>Category</t>
        </is>
      </c>
      <c r="B3" s="112" t="inlineStr">
        <is>
          <t>Exercise</t>
        </is>
      </c>
      <c r="C3" s="112" t="inlineStr">
        <is>
          <t>19 Sep 2024</t>
        </is>
      </c>
      <c r="D3" s="112" t="inlineStr">
        <is>
          <t>24 Sep 2024</t>
        </is>
      </c>
      <c r="E3" s="112" t="inlineStr">
        <is>
          <t>12 Jan 2025</t>
        </is>
      </c>
      <c r="F3" s="112" t="inlineStr">
        <is>
          <t>7 Mar 2025</t>
        </is>
      </c>
      <c r="G3" s="112" t="inlineStr">
        <is>
          <t>20 Aug 2025</t>
        </is>
      </c>
      <c r="H3" s="43" t="inlineStr">
        <is>
          <t>1 Jan 2026</t>
        </is>
      </c>
      <c r="I3" s="112" t="inlineStr">
        <is>
          <t>Trend</t>
        </is>
      </c>
      <c r="J3" s="112" t="inlineStr">
        <is>
          <t>Notes</t>
        </is>
      </c>
    </row>
    <row r="4" ht="15" customHeight="1" s="103">
      <c r="A4" s="119" t="inlineStr">
        <is>
          <t>── Inferior Members ──</t>
        </is>
      </c>
      <c r="B4" s="109" t="n"/>
      <c r="C4" s="109" t="n"/>
      <c r="D4" s="109" t="n"/>
      <c r="E4" s="109" t="n"/>
      <c r="F4" s="109" t="n"/>
      <c r="G4" s="109" t="n"/>
      <c r="H4" s="109" t="n"/>
      <c r="I4" s="109" t="n"/>
      <c r="J4" s="110" t="n"/>
    </row>
    <row r="5" ht="15" customHeight="1" s="103">
      <c r="A5" s="44" t="inlineStr">
        <is>
          <t>Inferior Members</t>
        </is>
      </c>
      <c r="B5" s="45" t="inlineStr">
        <is>
          <t>Hip Abductor</t>
        </is>
      </c>
      <c r="C5" s="46" t="n">
        <v>32</v>
      </c>
      <c r="D5" s="46" t="n">
        <v>39</v>
      </c>
      <c r="E5" s="46" t="n">
        <v>35.1</v>
      </c>
      <c r="F5" s="46" t="n">
        <v>35.1</v>
      </c>
      <c r="G5" s="46" t="n">
        <v>36.55</v>
      </c>
      <c r="H5" s="47" t="n">
        <v>39</v>
      </c>
      <c r="I5" s="48" t="inlineStr">
        <is>
          <t>↑ 7.0 kg</t>
        </is>
      </c>
      <c r="J5" s="44" t="n"/>
    </row>
    <row r="6" ht="15" customHeight="1" s="103">
      <c r="A6" s="21" t="inlineStr">
        <is>
          <t>Inferior Members</t>
        </is>
      </c>
      <c r="B6" s="18" t="inlineStr">
        <is>
          <t>Hip Adductor</t>
        </is>
      </c>
      <c r="C6" s="17" t="n">
        <v>25</v>
      </c>
      <c r="D6" s="17" t="n">
        <v>32</v>
      </c>
      <c r="E6" s="17" t="n">
        <v>30.4</v>
      </c>
      <c r="F6" s="17" t="n">
        <v>30.4</v>
      </c>
      <c r="G6" s="17" t="n">
        <v>31.96</v>
      </c>
      <c r="H6" s="49" t="n">
        <v>31.95</v>
      </c>
      <c r="I6" s="50" t="inlineStr">
        <is>
          <t>↑ 6.9 kg</t>
        </is>
      </c>
      <c r="J6" s="21" t="n"/>
    </row>
    <row r="7" ht="15" customHeight="1" s="103">
      <c r="A7" s="44" t="inlineStr">
        <is>
          <t>Inferior Members</t>
        </is>
      </c>
      <c r="B7" s="45" t="inlineStr">
        <is>
          <t>Ext. Quadriceps</t>
        </is>
      </c>
      <c r="C7" s="46" t="n">
        <v>25</v>
      </c>
      <c r="D7" s="46" t="n">
        <v>32</v>
      </c>
      <c r="E7" s="46" t="n">
        <v>24.57</v>
      </c>
      <c r="F7" s="46" t="n">
        <v>24.57</v>
      </c>
      <c r="G7" s="46" t="n">
        <v>27.29</v>
      </c>
      <c r="H7" s="51" t="inlineStr">
        <is>
          <t>–</t>
        </is>
      </c>
      <c r="I7" s="48" t="inlineStr">
        <is>
          <t>↑ 2.3 kg</t>
        </is>
      </c>
      <c r="J7" s="44" t="n"/>
    </row>
    <row r="8" ht="15" customHeight="1" s="103">
      <c r="A8" s="21" t="inlineStr">
        <is>
          <t>Inferior Members</t>
        </is>
      </c>
      <c r="B8" s="18" t="inlineStr">
        <is>
          <t>Prone Leg Curl</t>
        </is>
      </c>
      <c r="C8" s="52" t="inlineStr">
        <is>
          <t>–</t>
        </is>
      </c>
      <c r="D8" s="52" t="inlineStr">
        <is>
          <t>–</t>
        </is>
      </c>
      <c r="E8" s="17" t="n">
        <v>12.6</v>
      </c>
      <c r="F8" s="17" t="n">
        <v>12.6</v>
      </c>
      <c r="G8" s="17" t="n">
        <v>18.02</v>
      </c>
      <c r="H8" s="49" t="n">
        <v>23.01</v>
      </c>
      <c r="I8" s="50" t="inlineStr">
        <is>
          <t>↑ 10.4 kg</t>
        </is>
      </c>
      <c r="J8" s="21" t="n"/>
    </row>
    <row r="9" ht="15" customHeight="1" s="103">
      <c r="A9" s="44" t="inlineStr">
        <is>
          <t>Inferior Members</t>
        </is>
      </c>
      <c r="B9" s="45" t="inlineStr">
        <is>
          <t>Leg Press</t>
        </is>
      </c>
      <c r="C9" s="53" t="inlineStr">
        <is>
          <t>–</t>
        </is>
      </c>
      <c r="D9" s="53" t="inlineStr">
        <is>
          <t>–</t>
        </is>
      </c>
      <c r="E9" s="53" t="inlineStr">
        <is>
          <t>–</t>
        </is>
      </c>
      <c r="F9" s="53" t="inlineStr">
        <is>
          <t>–</t>
        </is>
      </c>
      <c r="G9" s="46" t="n">
        <v>33.15</v>
      </c>
      <c r="H9" s="47" t="n">
        <v>45</v>
      </c>
      <c r="I9" s="48" t="inlineStr">
        <is>
          <t>↑ 11.9 kg</t>
        </is>
      </c>
      <c r="J9" s="44" t="n"/>
    </row>
    <row r="10" ht="15" customHeight="1" s="103">
      <c r="A10" s="119" t="inlineStr">
        <is>
          <t>── Core ──</t>
        </is>
      </c>
      <c r="B10" s="109" t="n"/>
      <c r="C10" s="109" t="n"/>
      <c r="D10" s="109" t="n"/>
      <c r="E10" s="109" t="n"/>
      <c r="F10" s="109" t="n"/>
      <c r="G10" s="109" t="n"/>
      <c r="H10" s="109" t="n"/>
      <c r="I10" s="109" t="n"/>
      <c r="J10" s="110" t="n"/>
    </row>
    <row r="11" ht="15" customHeight="1" s="103">
      <c r="A11" s="44" t="inlineStr">
        <is>
          <t>Core</t>
        </is>
      </c>
      <c r="B11" s="45" t="inlineStr">
        <is>
          <t>Plank</t>
        </is>
      </c>
      <c r="C11" s="53" t="inlineStr">
        <is>
          <t>btw</t>
        </is>
      </c>
      <c r="D11" s="53" t="inlineStr">
        <is>
          <t>btw</t>
        </is>
      </c>
      <c r="E11" s="53" t="inlineStr">
        <is>
          <t>btw</t>
        </is>
      </c>
      <c r="F11" s="53" t="inlineStr">
        <is>
          <t>btw</t>
        </is>
      </c>
      <c r="G11" s="53" t="inlineStr">
        <is>
          <t>btw</t>
        </is>
      </c>
      <c r="H11" s="51" t="inlineStr">
        <is>
          <t>bw</t>
        </is>
      </c>
      <c r="I11" s="54" t="inlineStr">
        <is>
          <t>→</t>
        </is>
      </c>
      <c r="J11" s="44" t="n"/>
    </row>
    <row r="12" ht="15" customHeight="1" s="103">
      <c r="A12" s="21" t="inlineStr">
        <is>
          <t>Core</t>
        </is>
      </c>
      <c r="B12" s="18" t="inlineStr">
        <is>
          <t>Russian Sit-ups</t>
        </is>
      </c>
      <c r="C12" s="17" t="n">
        <v>6</v>
      </c>
      <c r="D12" s="17" t="n">
        <v>6</v>
      </c>
      <c r="E12" s="17" t="n">
        <v>6</v>
      </c>
      <c r="F12" s="17" t="n">
        <v>6</v>
      </c>
      <c r="G12" s="17" t="n">
        <v>6</v>
      </c>
      <c r="H12" s="49" t="n">
        <v>6</v>
      </c>
      <c r="I12" s="55" t="inlineStr">
        <is>
          <t>↓ 0.0 kg</t>
        </is>
      </c>
      <c r="J12" s="21" t="n"/>
    </row>
    <row r="13" ht="15" customHeight="1" s="103">
      <c r="A13" s="44" t="inlineStr">
        <is>
          <t>Core</t>
        </is>
      </c>
      <c r="B13" s="45" t="inlineStr">
        <is>
          <t>Floor ABS Rotation</t>
        </is>
      </c>
      <c r="C13" s="53" t="inlineStr">
        <is>
          <t>2x2kg</t>
        </is>
      </c>
      <c r="D13" s="53" t="inlineStr">
        <is>
          <t>2x3kg</t>
        </is>
      </c>
      <c r="E13" s="53" t="inlineStr">
        <is>
          <t>2x3kg</t>
        </is>
      </c>
      <c r="F13" s="53" t="inlineStr">
        <is>
          <t>2x3kg</t>
        </is>
      </c>
      <c r="G13" s="53" t="inlineStr">
        <is>
          <t>2x3kg</t>
        </is>
      </c>
      <c r="H13" s="51" t="inlineStr">
        <is>
          <t>2x3</t>
        </is>
      </c>
      <c r="I13" s="54" t="inlineStr">
        <is>
          <t>→</t>
        </is>
      </c>
      <c r="J13" s="44" t="n"/>
    </row>
    <row r="14" ht="15" customHeight="1" s="103">
      <c r="A14" s="21" t="inlineStr">
        <is>
          <t>Core</t>
        </is>
      </c>
      <c r="B14" s="18" t="inlineStr">
        <is>
          <t>Leg + Arms Ups</t>
        </is>
      </c>
      <c r="C14" s="17" t="n">
        <v>12</v>
      </c>
      <c r="D14" s="17" t="n">
        <v>12</v>
      </c>
      <c r="E14" s="17" t="n">
        <v>12</v>
      </c>
      <c r="F14" s="17" t="n">
        <v>12</v>
      </c>
      <c r="G14" s="17" t="n">
        <v>12</v>
      </c>
      <c r="H14" s="49" t="n">
        <v>12</v>
      </c>
      <c r="I14" s="55" t="inlineStr">
        <is>
          <t>↓ 0.0 kg</t>
        </is>
      </c>
      <c r="J14" s="21" t="n"/>
    </row>
    <row r="15" ht="15" customHeight="1" s="103">
      <c r="A15" s="44" t="inlineStr">
        <is>
          <t>Core</t>
        </is>
      </c>
      <c r="B15" s="45" t="inlineStr">
        <is>
          <t>Matrix Abd. N4</t>
        </is>
      </c>
      <c r="C15" s="46" t="n">
        <v>5</v>
      </c>
      <c r="D15" s="46" t="n">
        <v>4</v>
      </c>
      <c r="E15" s="46" t="n">
        <v>4</v>
      </c>
      <c r="F15" s="46" t="n">
        <v>4</v>
      </c>
      <c r="G15" s="46" t="n">
        <v>4</v>
      </c>
      <c r="H15" s="47" t="n">
        <v>4</v>
      </c>
      <c r="I15" s="56" t="inlineStr">
        <is>
          <t>↓ 1.0 kg</t>
        </is>
      </c>
      <c r="J15" s="44" t="n"/>
    </row>
    <row r="16" ht="15" customHeight="1" s="103">
      <c r="A16" s="21" t="inlineStr">
        <is>
          <t>Core</t>
        </is>
      </c>
      <c r="B16" s="18" t="inlineStr">
        <is>
          <t>Matrix Abd. Up</t>
        </is>
      </c>
      <c r="C16" s="52" t="inlineStr">
        <is>
          <t>–</t>
        </is>
      </c>
      <c r="D16" s="17" t="n">
        <v>10</v>
      </c>
      <c r="E16" s="17" t="n">
        <v>10</v>
      </c>
      <c r="F16" s="17" t="n">
        <v>10</v>
      </c>
      <c r="G16" s="17" t="n">
        <v>10</v>
      </c>
      <c r="H16" s="49" t="n">
        <v>10</v>
      </c>
      <c r="I16" s="55" t="inlineStr">
        <is>
          <t>↓ 0.0 kg</t>
        </is>
      </c>
      <c r="J16" s="21" t="n"/>
    </row>
    <row r="17" ht="15" customHeight="1" s="103">
      <c r="A17" s="44" t="inlineStr">
        <is>
          <t>Core</t>
        </is>
      </c>
      <c r="B17" s="45" t="inlineStr">
        <is>
          <t>Rotary Torso</t>
        </is>
      </c>
      <c r="C17" s="53" t="inlineStr">
        <is>
          <t>–</t>
        </is>
      </c>
      <c r="D17" s="53" t="inlineStr">
        <is>
          <t>–</t>
        </is>
      </c>
      <c r="E17" s="53" t="inlineStr">
        <is>
          <t>–</t>
        </is>
      </c>
      <c r="F17" s="53" t="inlineStr">
        <is>
          <t>–</t>
        </is>
      </c>
      <c r="G17" s="46" t="n">
        <v>23.04</v>
      </c>
      <c r="H17" s="47" t="n">
        <v>23.04</v>
      </c>
      <c r="I17" s="56" t="inlineStr">
        <is>
          <t>↓ 0.0 kg</t>
        </is>
      </c>
      <c r="J17" s="44" t="n"/>
    </row>
    <row r="18" ht="15" customHeight="1" s="103">
      <c r="A18" s="119" t="inlineStr">
        <is>
          <t>── Superior – No Machine ──</t>
        </is>
      </c>
      <c r="B18" s="109" t="n"/>
      <c r="C18" s="109" t="n"/>
      <c r="D18" s="109" t="n"/>
      <c r="E18" s="109" t="n"/>
      <c r="F18" s="109" t="n"/>
      <c r="G18" s="109" t="n"/>
      <c r="H18" s="109" t="n"/>
      <c r="I18" s="109" t="n"/>
      <c r="J18" s="110" t="n"/>
    </row>
    <row r="19" ht="15" customHeight="1" s="103">
      <c r="A19" s="44" t="inlineStr">
        <is>
          <t>Superior – No Machine</t>
        </is>
      </c>
      <c r="B19" s="45" t="inlineStr">
        <is>
          <t>Scapular Pull-up</t>
        </is>
      </c>
      <c r="C19" s="53" t="inlineStr">
        <is>
          <t>bw</t>
        </is>
      </c>
      <c r="D19" s="53" t="inlineStr">
        <is>
          <t>bw</t>
        </is>
      </c>
      <c r="E19" s="53" t="inlineStr">
        <is>
          <t>bw</t>
        </is>
      </c>
      <c r="F19" s="53" t="inlineStr">
        <is>
          <t>bw</t>
        </is>
      </c>
      <c r="G19" s="53" t="inlineStr">
        <is>
          <t>bw</t>
        </is>
      </c>
      <c r="H19" s="51" t="inlineStr">
        <is>
          <t>bw</t>
        </is>
      </c>
      <c r="I19" s="54" t="inlineStr">
        <is>
          <t>→</t>
        </is>
      </c>
      <c r="J19" s="44" t="n"/>
    </row>
    <row r="20" ht="15" customHeight="1" s="103">
      <c r="A20" s="21" t="inlineStr">
        <is>
          <t>Superior – No Machine</t>
        </is>
      </c>
      <c r="B20" s="18" t="inlineStr">
        <is>
          <t>ISO Scapular Pull</t>
        </is>
      </c>
      <c r="C20" s="52" t="inlineStr">
        <is>
          <t>bw</t>
        </is>
      </c>
      <c r="D20" s="52" t="inlineStr">
        <is>
          <t>bw</t>
        </is>
      </c>
      <c r="E20" s="52" t="inlineStr">
        <is>
          <t>bw</t>
        </is>
      </c>
      <c r="F20" s="52" t="inlineStr">
        <is>
          <t>bw</t>
        </is>
      </c>
      <c r="G20" s="52" t="inlineStr">
        <is>
          <t>bw</t>
        </is>
      </c>
      <c r="H20" s="57" t="inlineStr">
        <is>
          <t>bw</t>
        </is>
      </c>
      <c r="I20" s="58" t="inlineStr">
        <is>
          <t>→</t>
        </is>
      </c>
      <c r="J20" s="21" t="n"/>
    </row>
    <row r="21" ht="15" customHeight="1" s="103">
      <c r="A21" s="44" t="inlineStr">
        <is>
          <t>Superior – No Machine</t>
        </is>
      </c>
      <c r="B21" s="45" t="inlineStr">
        <is>
          <t>1-Arm Scap. Pull-up</t>
        </is>
      </c>
      <c r="C21" s="53" t="inlineStr">
        <is>
          <t>bw</t>
        </is>
      </c>
      <c r="D21" s="53" t="inlineStr">
        <is>
          <t>bw</t>
        </is>
      </c>
      <c r="E21" s="53" t="inlineStr">
        <is>
          <t>bw</t>
        </is>
      </c>
      <c r="F21" s="53" t="inlineStr">
        <is>
          <t>bw</t>
        </is>
      </c>
      <c r="G21" s="53" t="inlineStr">
        <is>
          <t>bw</t>
        </is>
      </c>
      <c r="H21" s="51" t="inlineStr">
        <is>
          <t>bw</t>
        </is>
      </c>
      <c r="I21" s="54" t="inlineStr">
        <is>
          <t>→</t>
        </is>
      </c>
      <c r="J21" s="44" t="n"/>
    </row>
    <row r="22" ht="15" customHeight="1" s="103">
      <c r="A22" s="21" t="inlineStr">
        <is>
          <t>Superior – No Machine</t>
        </is>
      </c>
      <c r="B22" s="18" t="inlineStr">
        <is>
          <t>Pull-up</t>
        </is>
      </c>
      <c r="C22" s="52" t="inlineStr">
        <is>
          <t>bw</t>
        </is>
      </c>
      <c r="D22" s="52" t="inlineStr">
        <is>
          <t>bw</t>
        </is>
      </c>
      <c r="E22" s="52" t="inlineStr">
        <is>
          <t>bw</t>
        </is>
      </c>
      <c r="F22" s="52" t="inlineStr">
        <is>
          <t>bw</t>
        </is>
      </c>
      <c r="G22" s="52" t="inlineStr">
        <is>
          <t>bw</t>
        </is>
      </c>
      <c r="H22" s="57" t="inlineStr">
        <is>
          <t>bw</t>
        </is>
      </c>
      <c r="I22" s="58" t="inlineStr">
        <is>
          <t>→</t>
        </is>
      </c>
      <c r="J22" s="21" t="n"/>
    </row>
    <row r="23" ht="15" customHeight="1" s="103">
      <c r="A23" s="44" t="inlineStr">
        <is>
          <t>Superior – No Machine</t>
        </is>
      </c>
      <c r="B23" s="45" t="inlineStr">
        <is>
          <t>Pull-up + Weight</t>
        </is>
      </c>
      <c r="C23" s="53" t="inlineStr">
        <is>
          <t>–</t>
        </is>
      </c>
      <c r="D23" s="53" t="inlineStr">
        <is>
          <t>–</t>
        </is>
      </c>
      <c r="E23" s="53" t="inlineStr">
        <is>
          <t>–</t>
        </is>
      </c>
      <c r="F23" s="53" t="inlineStr">
        <is>
          <t>–</t>
        </is>
      </c>
      <c r="G23" s="53" t="inlineStr">
        <is>
          <t>+5kg</t>
        </is>
      </c>
      <c r="H23" s="51" t="inlineStr">
        <is>
          <t>+5kg</t>
        </is>
      </c>
      <c r="I23" s="54" t="inlineStr">
        <is>
          <t>→</t>
        </is>
      </c>
      <c r="J23" s="44" t="n"/>
    </row>
    <row r="24" ht="15" customHeight="1" s="103">
      <c r="A24" s="119" t="inlineStr">
        <is>
          <t>── Superior – Machine ──</t>
        </is>
      </c>
      <c r="B24" s="109" t="n"/>
      <c r="C24" s="109" t="n"/>
      <c r="D24" s="109" t="n"/>
      <c r="E24" s="109" t="n"/>
      <c r="F24" s="109" t="n"/>
      <c r="G24" s="109" t="n"/>
      <c r="H24" s="109" t="n"/>
      <c r="I24" s="109" t="n"/>
      <c r="J24" s="110" t="n"/>
    </row>
    <row r="25" ht="15" customHeight="1" s="103">
      <c r="A25" s="44" t="inlineStr">
        <is>
          <t>Superior – Machine</t>
        </is>
      </c>
      <c r="B25" s="45" t="inlineStr">
        <is>
          <t>Lat Pulldown / Pull-up Bar</t>
        </is>
      </c>
      <c r="C25" s="46" t="n">
        <v>36</v>
      </c>
      <c r="D25" s="46" t="n">
        <v>41</v>
      </c>
      <c r="E25" s="46" t="n">
        <v>41</v>
      </c>
      <c r="F25" s="46" t="n">
        <v>41</v>
      </c>
      <c r="G25" s="46" t="n">
        <v>39.02</v>
      </c>
      <c r="H25" s="47" t="n">
        <v>39</v>
      </c>
      <c r="I25" s="48" t="inlineStr">
        <is>
          <t>↑ 3.0 kg</t>
        </is>
      </c>
      <c r="J25" s="44" t="n"/>
    </row>
    <row r="26" ht="15" customHeight="1" s="103">
      <c r="A26" s="21" t="inlineStr">
        <is>
          <t>Superior – Machine</t>
        </is>
      </c>
      <c r="B26" s="18" t="inlineStr">
        <is>
          <t>Rear Deltoid N1</t>
        </is>
      </c>
      <c r="C26" s="17" t="n">
        <v>25</v>
      </c>
      <c r="D26" s="17" t="n">
        <v>32</v>
      </c>
      <c r="E26" s="17" t="n">
        <v>32</v>
      </c>
      <c r="F26" s="17" t="n">
        <v>32</v>
      </c>
      <c r="G26" s="17" t="n">
        <v>24.99</v>
      </c>
      <c r="H26" s="49" t="n">
        <v>25.13</v>
      </c>
      <c r="I26" s="50" t="inlineStr">
        <is>
          <t>↑ 0.1 kg</t>
        </is>
      </c>
      <c r="J26" s="21" t="n"/>
    </row>
    <row r="27" ht="15" customHeight="1" s="103">
      <c r="A27" s="44" t="inlineStr">
        <is>
          <t>Superior – Machine</t>
        </is>
      </c>
      <c r="B27" s="45" t="inlineStr">
        <is>
          <t>Fly Deltoid N2</t>
        </is>
      </c>
      <c r="C27" s="46" t="n">
        <v>39</v>
      </c>
      <c r="D27" s="46" t="n">
        <v>39</v>
      </c>
      <c r="E27" s="46" t="n">
        <v>39</v>
      </c>
      <c r="F27" s="46" t="n">
        <v>39</v>
      </c>
      <c r="G27" s="46" t="n">
        <v>32.05</v>
      </c>
      <c r="H27" s="47" t="n">
        <v>39</v>
      </c>
      <c r="I27" s="56" t="inlineStr">
        <is>
          <t>↓ 0.0 kg</t>
        </is>
      </c>
      <c r="J27" s="44" t="n"/>
    </row>
    <row r="28" ht="15" customHeight="1" s="103">
      <c r="A28" s="21" t="inlineStr">
        <is>
          <t>Superior – Machine</t>
        </is>
      </c>
      <c r="B28" s="18" t="inlineStr">
        <is>
          <t>Shoulder Press</t>
        </is>
      </c>
      <c r="C28" s="17" t="n">
        <v>10.4</v>
      </c>
      <c r="D28" s="17" t="n">
        <v>10.4</v>
      </c>
      <c r="E28" s="17" t="n">
        <v>10.4</v>
      </c>
      <c r="F28" s="17" t="n">
        <v>10.4</v>
      </c>
      <c r="G28" s="17" t="n">
        <v>18.02</v>
      </c>
      <c r="H28" s="49" t="n">
        <v>18</v>
      </c>
      <c r="I28" s="50" t="inlineStr">
        <is>
          <t>↑ 7.6 kg</t>
        </is>
      </c>
      <c r="J28" s="21" t="n"/>
    </row>
    <row r="29" ht="15" customHeight="1" s="103">
      <c r="A29" s="44" t="inlineStr">
        <is>
          <t>Superior – Machine</t>
        </is>
      </c>
      <c r="B29" s="45" t="inlineStr">
        <is>
          <t>Chest Press</t>
        </is>
      </c>
      <c r="C29" s="46" t="n">
        <v>29.6</v>
      </c>
      <c r="D29" s="46" t="n">
        <v>29.6</v>
      </c>
      <c r="E29" s="46" t="n">
        <v>29.6</v>
      </c>
      <c r="F29" s="46" t="n">
        <v>29.6</v>
      </c>
      <c r="G29" s="46" t="n">
        <v>25.08</v>
      </c>
      <c r="H29" s="47" t="n">
        <v>27.3</v>
      </c>
      <c r="I29" s="56" t="inlineStr">
        <is>
          <t>↓ 2.3 kg</t>
        </is>
      </c>
      <c r="J29" s="44" t="n"/>
    </row>
    <row r="30" ht="15" customHeight="1" s="103">
      <c r="A30" s="21" t="inlineStr">
        <is>
          <t>Superior – Machine</t>
        </is>
      </c>
      <c r="B30" s="18" t="inlineStr">
        <is>
          <t>Cable Cross Over</t>
        </is>
      </c>
      <c r="C30" s="17" t="n">
        <v>14</v>
      </c>
      <c r="D30" s="17" t="n">
        <v>14</v>
      </c>
      <c r="E30" s="17" t="n">
        <v>14</v>
      </c>
      <c r="F30" s="17" t="n">
        <v>14</v>
      </c>
      <c r="G30" s="17" t="n">
        <v>11.9</v>
      </c>
      <c r="H30" s="49" t="n">
        <v>10.5</v>
      </c>
      <c r="I30" s="55" t="inlineStr">
        <is>
          <t>↓ 3.5 kg</t>
        </is>
      </c>
      <c r="J30" s="21" t="n"/>
    </row>
    <row r="31" ht="15" customHeight="1" s="103">
      <c r="A31" s="44" t="inlineStr">
        <is>
          <t>Superior – Machine</t>
        </is>
      </c>
      <c r="B31" s="45" t="inlineStr">
        <is>
          <t>Low Row</t>
        </is>
      </c>
      <c r="C31" s="46" t="n">
        <v>32</v>
      </c>
      <c r="D31" s="46" t="n">
        <v>32</v>
      </c>
      <c r="E31" s="46" t="n">
        <v>32</v>
      </c>
      <c r="F31" s="46" t="n">
        <v>32</v>
      </c>
      <c r="G31" s="46" t="n">
        <v>27.2</v>
      </c>
      <c r="H31" s="51" t="inlineStr">
        <is>
          <t>–</t>
        </is>
      </c>
      <c r="I31" s="56" t="inlineStr">
        <is>
          <t>↓ 4.8 kg</t>
        </is>
      </c>
      <c r="J31" s="44" t="n"/>
    </row>
    <row r="32" ht="15" customHeight="1" s="103">
      <c r="A32" s="21" t="inlineStr">
        <is>
          <t>Superior – Machine</t>
        </is>
      </c>
      <c r="B32" s="18" t="inlineStr">
        <is>
          <t>Shoulder Rotation</t>
        </is>
      </c>
      <c r="C32" s="17" t="n">
        <v>2</v>
      </c>
      <c r="D32" s="17" t="n">
        <v>2</v>
      </c>
      <c r="E32" s="17" t="n">
        <v>2</v>
      </c>
      <c r="F32" s="17" t="n">
        <v>2</v>
      </c>
      <c r="G32" s="17" t="n">
        <v>1.7</v>
      </c>
      <c r="H32" s="49" t="n">
        <v>1.5</v>
      </c>
      <c r="I32" s="55" t="inlineStr">
        <is>
          <t>↓ 0.5 kg</t>
        </is>
      </c>
      <c r="J32" s="21" t="n"/>
    </row>
    <row r="33" ht="15" customHeight="1" s="103">
      <c r="A33" s="44" t="inlineStr">
        <is>
          <t>Superior – Machine</t>
        </is>
      </c>
      <c r="B33" s="45" t="inlineStr">
        <is>
          <t>Biceps</t>
        </is>
      </c>
      <c r="C33" s="46" t="n">
        <v>7</v>
      </c>
      <c r="D33" s="46" t="n">
        <v>7</v>
      </c>
      <c r="E33" s="46" t="n">
        <v>7</v>
      </c>
      <c r="F33" s="46" t="n">
        <v>7</v>
      </c>
      <c r="G33" s="46" t="n">
        <v>8.08</v>
      </c>
      <c r="H33" s="47" t="n">
        <v>6</v>
      </c>
      <c r="I33" s="56" t="inlineStr">
        <is>
          <t>↓ 1.0 kg</t>
        </is>
      </c>
      <c r="J33" s="44" t="n"/>
    </row>
    <row r="34" ht="15" customHeight="1" s="103">
      <c r="A34" s="21" t="inlineStr">
        <is>
          <t>Superior – Machine</t>
        </is>
      </c>
      <c r="B34" s="18" t="inlineStr">
        <is>
          <t>Seated Triceps Press</t>
        </is>
      </c>
      <c r="C34" s="52" t="inlineStr">
        <is>
          <t>–</t>
        </is>
      </c>
      <c r="D34" s="17" t="n">
        <v>26.3</v>
      </c>
      <c r="E34" s="17" t="n">
        <v>26.3</v>
      </c>
      <c r="F34" s="17" t="n">
        <v>26.3</v>
      </c>
      <c r="G34" s="17" t="n">
        <v>34.51</v>
      </c>
      <c r="H34" s="49" t="n">
        <v>38.25</v>
      </c>
      <c r="I34" s="50" t="inlineStr">
        <is>
          <t>↑ 11.9 kg</t>
        </is>
      </c>
      <c r="J34" s="21" t="n"/>
    </row>
    <row r="35" ht="15" customHeight="1" s="103">
      <c r="A35" s="44" t="inlineStr">
        <is>
          <t>Superior – Machine</t>
        </is>
      </c>
      <c r="B35" s="45" t="inlineStr">
        <is>
          <t>Seated Row – Matrix</t>
        </is>
      </c>
      <c r="C35" s="53" t="inlineStr">
        <is>
          <t>–</t>
        </is>
      </c>
      <c r="D35" s="46" t="n">
        <v>26.3</v>
      </c>
      <c r="E35" s="53" t="inlineStr">
        <is>
          <t>–</t>
        </is>
      </c>
      <c r="F35" s="53" t="inlineStr">
        <is>
          <t>–</t>
        </is>
      </c>
      <c r="G35" s="53" t="inlineStr">
        <is>
          <t>–</t>
        </is>
      </c>
      <c r="H35" s="51" t="inlineStr">
        <is>
          <t>–</t>
        </is>
      </c>
      <c r="I35" s="54" t="inlineStr">
        <is>
          <t>→</t>
        </is>
      </c>
      <c r="J35" s="44" t="n"/>
    </row>
    <row r="36" ht="15" customHeight="1" s="103">
      <c r="A36" s="119" t="inlineStr">
        <is>
          <t>── Wrist ──</t>
        </is>
      </c>
      <c r="B36" s="109" t="n"/>
      <c r="C36" s="109" t="n"/>
      <c r="D36" s="109" t="n"/>
      <c r="E36" s="109" t="n"/>
      <c r="F36" s="109" t="n"/>
      <c r="G36" s="109" t="n"/>
      <c r="H36" s="109" t="n"/>
      <c r="I36" s="109" t="n"/>
      <c r="J36" s="110" t="n"/>
    </row>
    <row r="37" ht="15" customHeight="1" s="103">
      <c r="A37" s="44" t="inlineStr">
        <is>
          <t>Wrist</t>
        </is>
      </c>
      <c r="B37" s="45" t="inlineStr">
        <is>
          <t>Wrist Extension</t>
        </is>
      </c>
      <c r="C37" s="46" t="n">
        <v>4</v>
      </c>
      <c r="D37" s="46" t="n">
        <v>4</v>
      </c>
      <c r="E37" s="46" t="n">
        <v>4</v>
      </c>
      <c r="F37" s="46" t="n">
        <v>4</v>
      </c>
      <c r="G37" s="46" t="n">
        <v>8.08</v>
      </c>
      <c r="H37" s="47" t="n">
        <v>8.029999999999999</v>
      </c>
      <c r="I37" s="48" t="inlineStr">
        <is>
          <t>↑ 4.0 kg</t>
        </is>
      </c>
      <c r="J37" s="44" t="n"/>
    </row>
    <row r="38" ht="15" customHeight="1" s="103">
      <c r="A38" s="21" t="inlineStr">
        <is>
          <t>Wrist</t>
        </is>
      </c>
      <c r="B38" s="18" t="inlineStr">
        <is>
          <t>Wrist Internal</t>
        </is>
      </c>
      <c r="C38" s="17" t="n">
        <v>6</v>
      </c>
      <c r="D38" s="17" t="n">
        <v>6</v>
      </c>
      <c r="E38" s="17" t="n">
        <v>6</v>
      </c>
      <c r="F38" s="17" t="n">
        <v>6</v>
      </c>
      <c r="G38" s="17" t="n">
        <v>6.03</v>
      </c>
      <c r="H38" s="49" t="n">
        <v>4.01</v>
      </c>
      <c r="I38" s="55" t="inlineStr">
        <is>
          <t>↓ 2.0 kg</t>
        </is>
      </c>
      <c r="J38" s="21" t="n"/>
    </row>
    <row r="39" ht="15" customHeight="1" s="103">
      <c r="A39" s="44" t="inlineStr">
        <is>
          <t>Wrist</t>
        </is>
      </c>
      <c r="B39" s="45" t="inlineStr">
        <is>
          <t>Wrist Curls Int Roll</t>
        </is>
      </c>
      <c r="C39" s="46" t="n">
        <v>2.5</v>
      </c>
      <c r="D39" s="46" t="n">
        <v>2.5</v>
      </c>
      <c r="E39" s="46" t="n">
        <v>2.5</v>
      </c>
      <c r="F39" s="46" t="n">
        <v>2.5</v>
      </c>
      <c r="G39" s="46" t="n">
        <v>6.03</v>
      </c>
      <c r="H39" s="47" t="n">
        <v>5.33</v>
      </c>
      <c r="I39" s="48" t="inlineStr">
        <is>
          <t>↑ 2.8 kg</t>
        </is>
      </c>
      <c r="J39" s="44" t="n"/>
    </row>
    <row r="40" ht="15" customHeight="1" s="103">
      <c r="A40" s="21" t="inlineStr">
        <is>
          <t>Wrist</t>
        </is>
      </c>
      <c r="B40" s="18" t="inlineStr">
        <is>
          <t>Wrist Curls Ext Roll</t>
        </is>
      </c>
      <c r="C40" s="17" t="n">
        <v>2.5</v>
      </c>
      <c r="D40" s="17" t="n">
        <v>2.5</v>
      </c>
      <c r="E40" s="17" t="n">
        <v>2.5</v>
      </c>
      <c r="F40" s="17" t="n">
        <v>2.5</v>
      </c>
      <c r="G40" s="17" t="n">
        <v>4.25</v>
      </c>
      <c r="H40" s="49" t="n">
        <v>3.75</v>
      </c>
      <c r="I40" s="50" t="inlineStr">
        <is>
          <t>↑ 1.2 kg</t>
        </is>
      </c>
      <c r="J40" s="21" t="n"/>
    </row>
    <row r="41" ht="15" customHeight="1" s="103">
      <c r="A41" s="119" t="inlineStr">
        <is>
          <t>── Fingers ──</t>
        </is>
      </c>
      <c r="B41" s="109" t="n"/>
      <c r="C41" s="109" t="n"/>
      <c r="D41" s="109" t="n"/>
      <c r="E41" s="109" t="n"/>
      <c r="F41" s="109" t="n"/>
      <c r="G41" s="109" t="n"/>
      <c r="H41" s="109" t="n"/>
      <c r="I41" s="109" t="n"/>
      <c r="J41" s="110" t="n"/>
    </row>
    <row r="42" ht="15" customHeight="1" s="103">
      <c r="A42" s="21" t="inlineStr">
        <is>
          <t>Fingers</t>
        </is>
      </c>
      <c r="B42" s="18" t="inlineStr">
        <is>
          <t>Grips w/ Machine</t>
        </is>
      </c>
      <c r="C42" s="17" t="n">
        <v>35</v>
      </c>
      <c r="D42" s="17" t="n">
        <v>35</v>
      </c>
      <c r="E42" s="17" t="n">
        <v>35</v>
      </c>
      <c r="F42" s="17" t="n">
        <v>35</v>
      </c>
      <c r="G42" s="17" t="n">
        <v>35</v>
      </c>
      <c r="H42" s="57" t="inlineStr">
        <is>
          <t>–</t>
        </is>
      </c>
      <c r="I42" s="55" t="inlineStr">
        <is>
          <t>↓ 0.0 kg</t>
        </is>
      </c>
      <c r="J42" s="21" t="n"/>
    </row>
    <row r="44" ht="15" customHeight="1" s="103">
      <c r="A44" s="120" t="inlineStr">
        <is>
          <t>── Body Weight (kg) ──</t>
        </is>
      </c>
      <c r="B44" s="109" t="n"/>
      <c r="C44" s="109" t="n"/>
      <c r="D44" s="109" t="n"/>
      <c r="E44" s="109" t="n"/>
      <c r="F44" s="109" t="n"/>
      <c r="G44" s="109" t="n"/>
      <c r="H44" s="109" t="n"/>
      <c r="I44" s="109" t="n"/>
      <c r="J44" s="110" t="n"/>
    </row>
    <row r="45" ht="15" customHeight="1" s="103">
      <c r="A45" s="9" t="inlineStr">
        <is>
          <t>Body Weight</t>
        </is>
      </c>
      <c r="B45" s="14" t="inlineStr">
        <is>
          <t>Measured at start of session</t>
        </is>
      </c>
      <c r="C45" s="7" t="n">
        <v>48.4</v>
      </c>
      <c r="D45" s="7" t="n">
        <v>48.4</v>
      </c>
      <c r="E45" s="7" t="n">
        <v>48.5</v>
      </c>
      <c r="F45" s="7" t="n">
        <v>48.5</v>
      </c>
      <c r="G45" s="7" t="n">
        <v>48.8</v>
      </c>
      <c r="H45" s="51" t="inlineStr">
        <is>
          <t>–</t>
        </is>
      </c>
      <c r="I45" s="59" t="inlineStr">
        <is>
          <t>↑ 0.4 kg</t>
        </is>
      </c>
    </row>
    <row r="47" ht="15" customHeight="1" s="103">
      <c r="A47" s="138" t="inlineStr">
        <is>
          <t>── NEW Exercises (Jan 2026) ──</t>
        </is>
      </c>
      <c r="B47" s="109" t="n"/>
      <c r="C47" s="109" t="n"/>
      <c r="D47" s="109" t="n"/>
      <c r="E47" s="109" t="n"/>
      <c r="F47" s="109" t="n"/>
      <c r="G47" s="109" t="n"/>
      <c r="H47" s="109" t="n"/>
      <c r="I47" s="109" t="n"/>
      <c r="J47" s="110" t="n"/>
    </row>
    <row r="48" ht="15" customHeight="1" s="103">
      <c r="A48" s="60" t="inlineStr">
        <is>
          <t>Inferior Members</t>
        </is>
      </c>
      <c r="B48" s="61" t="inlineStr">
        <is>
          <t>Leg Extension</t>
        </is>
      </c>
      <c r="C48" s="57" t="inlineStr">
        <is>
          <t>–</t>
        </is>
      </c>
      <c r="D48" s="57" t="inlineStr">
        <is>
          <t>–</t>
        </is>
      </c>
      <c r="E48" s="57" t="inlineStr">
        <is>
          <t>–</t>
        </is>
      </c>
      <c r="F48" s="57" t="inlineStr">
        <is>
          <t>–</t>
        </is>
      </c>
      <c r="G48" s="57" t="inlineStr">
        <is>
          <t>–</t>
        </is>
      </c>
      <c r="H48" s="49" t="n">
        <v>31.95</v>
      </c>
      <c r="I48" s="62" t="inlineStr">
        <is>
          <t>new</t>
        </is>
      </c>
      <c r="J48" s="60" t="inlineStr">
        <is>
          <t>First session Jan 2026</t>
        </is>
      </c>
    </row>
    <row r="49" ht="15" customHeight="1" s="103">
      <c r="A49" s="63" t="inlineStr">
        <is>
          <t>Superior – Machine</t>
        </is>
      </c>
      <c r="B49" s="64" t="inlineStr">
        <is>
          <t>Div. Seated Row</t>
        </is>
      </c>
      <c r="C49" s="51" t="inlineStr">
        <is>
          <t>–</t>
        </is>
      </c>
      <c r="D49" s="51" t="inlineStr">
        <is>
          <t>–</t>
        </is>
      </c>
      <c r="E49" s="51" t="inlineStr">
        <is>
          <t>–</t>
        </is>
      </c>
      <c r="F49" s="51" t="inlineStr">
        <is>
          <t>–</t>
        </is>
      </c>
      <c r="G49" s="51" t="inlineStr">
        <is>
          <t>–</t>
        </is>
      </c>
      <c r="H49" s="47" t="n">
        <v>28.95</v>
      </c>
      <c r="I49" s="65" t="inlineStr">
        <is>
          <t>new</t>
        </is>
      </c>
      <c r="J49" s="63" t="inlineStr">
        <is>
          <t>First session Jan 2026</t>
        </is>
      </c>
    </row>
    <row r="50" ht="15" customHeight="1" s="103">
      <c r="A50" s="60" t="inlineStr">
        <is>
          <t>Superior – Machine</t>
        </is>
      </c>
      <c r="B50" s="61" t="inlineStr">
        <is>
          <t>Arm Curls (Biceps)</t>
        </is>
      </c>
      <c r="C50" s="57" t="inlineStr">
        <is>
          <t>–</t>
        </is>
      </c>
      <c r="D50" s="57" t="inlineStr">
        <is>
          <t>–</t>
        </is>
      </c>
      <c r="E50" s="57" t="inlineStr">
        <is>
          <t>–</t>
        </is>
      </c>
      <c r="F50" s="57" t="inlineStr">
        <is>
          <t>–</t>
        </is>
      </c>
      <c r="G50" s="57" t="inlineStr">
        <is>
          <t>–</t>
        </is>
      </c>
      <c r="H50" s="49" t="n">
        <v>10.95</v>
      </c>
      <c r="I50" s="62" t="inlineStr">
        <is>
          <t>new</t>
        </is>
      </c>
      <c r="J50" s="60" t="inlineStr">
        <is>
          <t>First session Jan 2026</t>
        </is>
      </c>
    </row>
    <row r="51" ht="15" customHeight="1" s="103">
      <c r="A51" s="63" t="inlineStr">
        <is>
          <t>Superior – Machine</t>
        </is>
      </c>
      <c r="B51" s="64" t="inlineStr">
        <is>
          <t>Conv. Shoulder Press</t>
        </is>
      </c>
      <c r="C51" s="51" t="inlineStr">
        <is>
          <t>–</t>
        </is>
      </c>
      <c r="D51" s="51" t="inlineStr">
        <is>
          <t>–</t>
        </is>
      </c>
      <c r="E51" s="51" t="inlineStr">
        <is>
          <t>–</t>
        </is>
      </c>
      <c r="F51" s="51" t="inlineStr">
        <is>
          <t>–</t>
        </is>
      </c>
      <c r="G51" s="51" t="inlineStr">
        <is>
          <t>–</t>
        </is>
      </c>
      <c r="H51" s="47" t="n">
        <v>9</v>
      </c>
      <c r="I51" s="65" t="inlineStr">
        <is>
          <t>new</t>
        </is>
      </c>
      <c r="J51" s="63" t="inlineStr">
        <is>
          <t>First session Jan 2026</t>
        </is>
      </c>
    </row>
    <row r="52" ht="15" customHeight="1" s="103">
      <c r="A52" s="60" t="inlineStr">
        <is>
          <t>Rehab</t>
        </is>
      </c>
      <c r="B52" s="61" t="inlineStr">
        <is>
          <t>Calfs Machine</t>
        </is>
      </c>
      <c r="C52" s="57" t="inlineStr">
        <is>
          <t>–</t>
        </is>
      </c>
      <c r="D52" s="57" t="inlineStr">
        <is>
          <t>–</t>
        </is>
      </c>
      <c r="E52" s="57" t="inlineStr">
        <is>
          <t>–</t>
        </is>
      </c>
      <c r="F52" s="57" t="inlineStr">
        <is>
          <t>–</t>
        </is>
      </c>
      <c r="G52" s="57" t="inlineStr">
        <is>
          <t>–</t>
        </is>
      </c>
      <c r="H52" s="49" t="n">
        <v>12.75</v>
      </c>
      <c r="I52" s="62" t="inlineStr">
        <is>
          <t>new</t>
        </is>
      </c>
      <c r="J52" s="60" t="inlineStr">
        <is>
          <t>First session Jan 2026</t>
        </is>
      </c>
    </row>
    <row r="53" ht="15" customHeight="1" s="103">
      <c r="A53" s="63" t="inlineStr">
        <is>
          <t>Fingers</t>
        </is>
      </c>
      <c r="B53" s="64" t="inlineStr">
        <is>
          <t>Hang 1-Arm Hang</t>
        </is>
      </c>
      <c r="C53" s="51" t="inlineStr">
        <is>
          <t>–</t>
        </is>
      </c>
      <c r="D53" s="51" t="inlineStr">
        <is>
          <t>–</t>
        </is>
      </c>
      <c r="E53" s="51" t="inlineStr">
        <is>
          <t>–</t>
        </is>
      </c>
      <c r="F53" s="51" t="inlineStr">
        <is>
          <t>–</t>
        </is>
      </c>
      <c r="G53" s="51" t="inlineStr">
        <is>
          <t>–</t>
        </is>
      </c>
      <c r="H53" s="47" t="n">
        <v>39.43</v>
      </c>
      <c r="I53" s="65" t="inlineStr">
        <is>
          <t>new</t>
        </is>
      </c>
      <c r="J53" s="63" t="inlineStr">
        <is>
          <t>First session Jan 2026</t>
        </is>
      </c>
    </row>
    <row r="54" ht="15" customHeight="1" s="103">
      <c r="A54" s="60" t="inlineStr">
        <is>
          <t>Fingers</t>
        </is>
      </c>
      <c r="B54" s="61" t="inlineStr">
        <is>
          <t>Edge Iso Holds</t>
        </is>
      </c>
      <c r="C54" s="57" t="inlineStr">
        <is>
          <t>–</t>
        </is>
      </c>
      <c r="D54" s="57" t="inlineStr">
        <is>
          <t>–</t>
        </is>
      </c>
      <c r="E54" s="57" t="inlineStr">
        <is>
          <t>–</t>
        </is>
      </c>
      <c r="F54" s="57" t="inlineStr">
        <is>
          <t>–</t>
        </is>
      </c>
      <c r="G54" s="57" t="inlineStr">
        <is>
          <t>–</t>
        </is>
      </c>
      <c r="H54" s="49" t="n">
        <v>24.3</v>
      </c>
      <c r="I54" s="62" t="inlineStr">
        <is>
          <t>new</t>
        </is>
      </c>
      <c r="J54" s="60" t="inlineStr">
        <is>
          <t>First session Jan 2026</t>
        </is>
      </c>
    </row>
    <row r="55" ht="15" customHeight="1" s="103">
      <c r="A55" s="63" t="inlineStr">
        <is>
          <t>Fingers</t>
        </is>
      </c>
      <c r="B55" s="64" t="inlineStr">
        <is>
          <t>AnaCap FB – Two Arms</t>
        </is>
      </c>
      <c r="C55" s="51" t="inlineStr">
        <is>
          <t>–</t>
        </is>
      </c>
      <c r="D55" s="51" t="inlineStr">
        <is>
          <t>–</t>
        </is>
      </c>
      <c r="E55" s="51" t="inlineStr">
        <is>
          <t>–</t>
        </is>
      </c>
      <c r="F55" s="51" t="inlineStr">
        <is>
          <t>–</t>
        </is>
      </c>
      <c r="G55" s="51" t="inlineStr">
        <is>
          <t>–</t>
        </is>
      </c>
      <c r="H55" s="47" t="n">
        <v>-16.1</v>
      </c>
      <c r="I55" s="65" t="inlineStr">
        <is>
          <t>new</t>
        </is>
      </c>
      <c r="J55" s="63" t="inlineStr">
        <is>
          <t>First session Jan 2026</t>
        </is>
      </c>
    </row>
    <row r="56" ht="15" customHeight="1" s="103">
      <c r="A56" s="60" t="inlineStr">
        <is>
          <t>Fingers</t>
        </is>
      </c>
      <c r="B56" s="61" t="inlineStr">
        <is>
          <t>MS Load Straight</t>
        </is>
      </c>
      <c r="C56" s="57" t="inlineStr">
        <is>
          <t>–</t>
        </is>
      </c>
      <c r="D56" s="57" t="inlineStr">
        <is>
          <t>–</t>
        </is>
      </c>
      <c r="E56" s="57" t="inlineStr">
        <is>
          <t>–</t>
        </is>
      </c>
      <c r="F56" s="57" t="inlineStr">
        <is>
          <t>–</t>
        </is>
      </c>
      <c r="G56" s="57" t="inlineStr">
        <is>
          <t>–</t>
        </is>
      </c>
      <c r="H56" s="49" t="n">
        <v>39.9</v>
      </c>
      <c r="I56" s="62" t="inlineStr">
        <is>
          <t>new</t>
        </is>
      </c>
      <c r="J56" s="60" t="inlineStr">
        <is>
          <t>First session Jan 2026</t>
        </is>
      </c>
    </row>
  </sheetData>
  <mergeCells count="9">
    <mergeCell ref="A47:J47"/>
    <mergeCell ref="A41:I41"/>
    <mergeCell ref="A10:I10"/>
    <mergeCell ref="A36:I36"/>
    <mergeCell ref="A44:I44"/>
    <mergeCell ref="A18:I18"/>
    <mergeCell ref="A1:H1"/>
    <mergeCell ref="A4:I4"/>
    <mergeCell ref="A24:I24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tabColor rgb="FFE67E22"/>
    <outlinePr summaryBelow="1" summaryRight="1"/>
    <pageSetUpPr/>
  </sheetPr>
  <dimension ref="A1:J71"/>
  <sheetViews>
    <sheetView zoomScaleNormal="100" workbookViewId="0">
      <pane ySplit="3" topLeftCell="A4" activePane="bottomLeft" state="frozen"/>
      <selection pane="bottomLeft" activeCell="A1" sqref="A1"/>
    </sheetView>
  </sheetViews>
  <sheetFormatPr baseColWidth="10" defaultColWidth="8.6640625" defaultRowHeight="15" customHeight="1"/>
  <cols>
    <col width="22" customWidth="1" style="103" min="1" max="1"/>
    <col width="35" customWidth="1" style="103" min="2" max="2"/>
    <col width="6" customWidth="1" style="103" min="3" max="4"/>
    <col width="10" customWidth="1" style="103" min="5" max="7"/>
    <col width="12" customWidth="1" style="103" min="8" max="8"/>
    <col width="11" customWidth="1" style="103" min="9" max="9"/>
    <col width="40" customWidth="1" style="103" min="10" max="10"/>
  </cols>
  <sheetData>
    <row r="1" ht="27.75" customHeight="1" s="103">
      <c r="A1" s="121" t="inlineStr">
        <is>
          <t>🦵  Rehab Programme — Calf / FisioHolland (Dyllan)  |  Surgery: 29 Aug 2025</t>
        </is>
      </c>
    </row>
    <row r="2" ht="6" customHeight="1" s="103"/>
    <row r="3" ht="15" customHeight="1" s="103">
      <c r="A3" s="123" t="inlineStr">
        <is>
          <t>Phase / Week</t>
        </is>
      </c>
      <c r="B3" s="123" t="inlineStr">
        <is>
          <t>Exercise</t>
        </is>
      </c>
      <c r="C3" s="123" t="inlineStr">
        <is>
          <t>Sets</t>
        </is>
      </c>
      <c r="D3" s="123" t="inlineStr">
        <is>
          <t>Reps</t>
        </is>
      </c>
      <c r="E3" s="123" t="inlineStr">
        <is>
          <t>Tempo</t>
        </is>
      </c>
      <c r="F3" s="123" t="inlineStr">
        <is>
          <t>Rest (Set)</t>
        </is>
      </c>
      <c r="G3" s="123" t="inlineStr">
        <is>
          <t>Rest (Ex)</t>
        </is>
      </c>
      <c r="H3" s="123" t="inlineStr">
        <is>
          <t>Weight (kg)</t>
        </is>
      </c>
      <c r="I3" s="123" t="inlineStr">
        <is>
          <t>Intensity %</t>
        </is>
      </c>
      <c r="J3" s="123" t="inlineStr">
        <is>
          <t>Notes / Progress</t>
        </is>
      </c>
    </row>
    <row r="4" ht="15" customHeight="1" s="103">
      <c r="A4" s="139" t="inlineStr">
        <is>
          <t>Week 1  (2–3×/week)  ·  2 Jul – 7 Jul 2025</t>
        </is>
      </c>
      <c r="B4" s="109" t="n"/>
      <c r="C4" s="109" t="n"/>
      <c r="D4" s="109" t="n"/>
      <c r="E4" s="109" t="n"/>
      <c r="F4" s="109" t="n"/>
      <c r="G4" s="109" t="n"/>
      <c r="H4" s="109" t="n"/>
      <c r="I4" s="109" t="n"/>
      <c r="J4" s="110" t="n"/>
    </row>
    <row r="5" ht="15" customHeight="1" s="103">
      <c r="A5" s="44" t="n"/>
      <c r="B5" s="44" t="inlineStr">
        <is>
          <t>Leg Press (Calfs)</t>
        </is>
      </c>
      <c r="C5" s="53" t="n">
        <v>3</v>
      </c>
      <c r="D5" s="53" t="n">
        <v>15</v>
      </c>
      <c r="E5" s="53" t="inlineStr">
        <is>
          <t>8''–10''</t>
        </is>
      </c>
      <c r="F5" s="53" t="inlineStr">
        <is>
          <t>1'–2'</t>
        </is>
      </c>
      <c r="G5" s="53" t="inlineStr">
        <is>
          <t>3'–5'</t>
        </is>
      </c>
      <c r="H5" s="53" t="n">
        <v>40</v>
      </c>
      <c r="I5" s="53" t="inlineStr">
        <is>
          <t>60%</t>
        </is>
      </c>
      <c r="J5" s="44" t="n"/>
    </row>
    <row r="6" ht="15" customHeight="1" s="103">
      <c r="A6" s="21" t="n"/>
      <c r="B6" s="21" t="inlineStr">
        <is>
          <t>Calfs Raise (w/ weight)</t>
        </is>
      </c>
      <c r="C6" s="52" t="n">
        <v>3</v>
      </c>
      <c r="D6" s="52" t="n">
        <v>15</v>
      </c>
      <c r="E6" s="52" t="inlineStr">
        <is>
          <t>8''–10''</t>
        </is>
      </c>
      <c r="F6" s="52" t="inlineStr">
        <is>
          <t>1'–2'</t>
        </is>
      </c>
      <c r="G6" s="52" t="inlineStr">
        <is>
          <t>3'–5'</t>
        </is>
      </c>
      <c r="H6" s="52" t="inlineStr">
        <is>
          <t>bw</t>
        </is>
      </c>
      <c r="I6" s="52" t="inlineStr">
        <is>
          <t>60%</t>
        </is>
      </c>
      <c r="J6" s="21" t="n"/>
    </row>
    <row r="7" ht="15" customHeight="1" s="103">
      <c r="A7" s="44" t="n"/>
      <c r="B7" s="44" t="inlineStr">
        <is>
          <t>Leg Curl (Machine)</t>
        </is>
      </c>
      <c r="C7" s="53" t="n">
        <v>3</v>
      </c>
      <c r="D7" s="53" t="n">
        <v>15</v>
      </c>
      <c r="E7" s="53" t="inlineStr">
        <is>
          <t>8''–10''</t>
        </is>
      </c>
      <c r="F7" s="53" t="inlineStr">
        <is>
          <t>1'–2'</t>
        </is>
      </c>
      <c r="G7" s="53" t="inlineStr">
        <is>
          <t>3'–5'</t>
        </is>
      </c>
      <c r="H7" s="53" t="n">
        <v>25</v>
      </c>
      <c r="I7" s="53" t="inlineStr">
        <is>
          <t>60%</t>
        </is>
      </c>
      <c r="J7" s="44" t="n"/>
    </row>
    <row r="8" ht="15" customHeight="1" s="103">
      <c r="A8" s="67" t="inlineStr">
        <is>
          <t>Session dates done:</t>
        </is>
      </c>
      <c r="B8" s="68" t="inlineStr">
        <is>
          <t>1:</t>
        </is>
      </c>
      <c r="C8" s="68" t="n"/>
      <c r="D8" s="68" t="inlineStr">
        <is>
          <t>2:</t>
        </is>
      </c>
      <c r="E8" s="68" t="n"/>
      <c r="F8" s="68" t="inlineStr">
        <is>
          <t>3:</t>
        </is>
      </c>
      <c r="G8" s="68" t="n"/>
      <c r="H8" s="68" t="inlineStr">
        <is>
          <t>RPE:</t>
        </is>
      </c>
      <c r="I8" s="68" t="n"/>
      <c r="J8" s="68" t="n"/>
    </row>
    <row r="10" ht="15" customHeight="1" s="103">
      <c r="A10" s="139" t="inlineStr">
        <is>
          <t>Weeks 2–3  (2–3×/week)  ·  13 Jul – 27 Jul 2025</t>
        </is>
      </c>
      <c r="B10" s="109" t="n"/>
      <c r="C10" s="109" t="n"/>
      <c r="D10" s="109" t="n"/>
      <c r="E10" s="109" t="n"/>
      <c r="F10" s="109" t="n"/>
      <c r="G10" s="109" t="n"/>
      <c r="H10" s="109" t="n"/>
      <c r="I10" s="109" t="n"/>
      <c r="J10" s="110" t="n"/>
    </row>
    <row r="11" ht="15" customHeight="1" s="103">
      <c r="A11" s="44" t="n"/>
      <c r="B11" s="44" t="inlineStr">
        <is>
          <t>Leg Press (Calfs)</t>
        </is>
      </c>
      <c r="C11" s="53" t="n">
        <v>3</v>
      </c>
      <c r="D11" s="53" t="n">
        <v>12</v>
      </c>
      <c r="E11" s="53" t="inlineStr">
        <is>
          <t>8''–10''</t>
        </is>
      </c>
      <c r="F11" s="53" t="inlineStr">
        <is>
          <t>1'–2'</t>
        </is>
      </c>
      <c r="G11" s="53" t="inlineStr">
        <is>
          <t>3'–5'</t>
        </is>
      </c>
      <c r="H11" s="46" t="n">
        <v>42.3</v>
      </c>
      <c r="I11" s="53" t="inlineStr">
        <is>
          <t>65%</t>
        </is>
      </c>
      <c r="J11" s="44" t="n"/>
    </row>
    <row r="12" ht="15" customHeight="1" s="103">
      <c r="A12" s="21" t="n"/>
      <c r="B12" s="21" t="inlineStr">
        <is>
          <t>Calfs Raise (w/ weight)</t>
        </is>
      </c>
      <c r="C12" s="52" t="n">
        <v>3</v>
      </c>
      <c r="D12" s="52" t="n">
        <v>12</v>
      </c>
      <c r="E12" s="52" t="inlineStr">
        <is>
          <t>8''–10''</t>
        </is>
      </c>
      <c r="F12" s="52" t="inlineStr">
        <is>
          <t>1'–2'</t>
        </is>
      </c>
      <c r="G12" s="52" t="inlineStr">
        <is>
          <t>3'–5'</t>
        </is>
      </c>
      <c r="H12" s="52" t="inlineStr">
        <is>
          <t>bw</t>
        </is>
      </c>
      <c r="I12" s="52" t="inlineStr">
        <is>
          <t>65%</t>
        </is>
      </c>
      <c r="J12" s="21" t="n"/>
    </row>
    <row r="13" ht="15" customHeight="1" s="103">
      <c r="A13" s="44" t="n"/>
      <c r="B13" s="44" t="inlineStr">
        <is>
          <t>Leg Curl (Machine)</t>
        </is>
      </c>
      <c r="C13" s="53" t="n">
        <v>3</v>
      </c>
      <c r="D13" s="53" t="n">
        <v>12</v>
      </c>
      <c r="E13" s="53" t="inlineStr">
        <is>
          <t>8''–10''</t>
        </is>
      </c>
      <c r="F13" s="53" t="inlineStr">
        <is>
          <t>1'–2'</t>
        </is>
      </c>
      <c r="G13" s="53" t="inlineStr">
        <is>
          <t>3'–5'</t>
        </is>
      </c>
      <c r="H13" s="46" t="n">
        <v>27.3</v>
      </c>
      <c r="I13" s="53" t="inlineStr">
        <is>
          <t>65%</t>
        </is>
      </c>
      <c r="J13" s="44" t="n"/>
    </row>
    <row r="14" ht="15" customHeight="1" s="103">
      <c r="A14" s="67" t="inlineStr">
        <is>
          <t>Session dates done:</t>
        </is>
      </c>
      <c r="B14" s="68" t="inlineStr">
        <is>
          <t>1:</t>
        </is>
      </c>
      <c r="C14" s="68" t="n"/>
      <c r="D14" s="68" t="inlineStr">
        <is>
          <t>2:</t>
        </is>
      </c>
      <c r="E14" s="68" t="n"/>
      <c r="F14" s="68" t="inlineStr">
        <is>
          <t>3:</t>
        </is>
      </c>
      <c r="G14" s="68" t="n"/>
      <c r="H14" s="68" t="inlineStr">
        <is>
          <t>RPE:</t>
        </is>
      </c>
      <c r="I14" s="68" t="n"/>
      <c r="J14" s="68" t="n"/>
    </row>
    <row r="16" ht="15" customHeight="1" s="103">
      <c r="A16" s="139" t="inlineStr">
        <is>
          <t>Weeks 4–5  (2–3×/week)  ·  31 Jul – 8 Aug 2025  ⚠️ In Portugal</t>
        </is>
      </c>
      <c r="B16" s="109" t="n"/>
      <c r="C16" s="109" t="n"/>
      <c r="D16" s="109" t="n"/>
      <c r="E16" s="109" t="n"/>
      <c r="F16" s="109" t="n"/>
      <c r="G16" s="109" t="n"/>
      <c r="H16" s="109" t="n"/>
      <c r="I16" s="109" t="n"/>
      <c r="J16" s="110" t="n"/>
    </row>
    <row r="17" ht="15" customHeight="1" s="103">
      <c r="A17" s="44" t="n"/>
      <c r="B17" s="44" t="inlineStr">
        <is>
          <t>Leg Press (Calfs)</t>
        </is>
      </c>
      <c r="C17" s="53" t="n">
        <v>4</v>
      </c>
      <c r="D17" s="53" t="n">
        <v>10</v>
      </c>
      <c r="E17" s="53" t="inlineStr">
        <is>
          <t>8''–10''</t>
        </is>
      </c>
      <c r="F17" s="53" t="inlineStr">
        <is>
          <t>1'–2'</t>
        </is>
      </c>
      <c r="G17" s="53" t="inlineStr">
        <is>
          <t>3'–5'</t>
        </is>
      </c>
      <c r="H17" s="53" t="n">
        <v>40</v>
      </c>
      <c r="I17" s="53" t="inlineStr">
        <is>
          <t>70%</t>
        </is>
      </c>
      <c r="J17" s="44" t="n"/>
    </row>
    <row r="18" ht="15" customHeight="1" s="103">
      <c r="A18" s="21" t="n"/>
      <c r="B18" s="21" t="inlineStr">
        <is>
          <t>Calfs Raise (w/ weight)</t>
        </is>
      </c>
      <c r="C18" s="52" t="n">
        <v>4</v>
      </c>
      <c r="D18" s="52" t="n">
        <v>10</v>
      </c>
      <c r="E18" s="52" t="inlineStr">
        <is>
          <t>8''–10''</t>
        </is>
      </c>
      <c r="F18" s="52" t="inlineStr">
        <is>
          <t>1'–2'</t>
        </is>
      </c>
      <c r="G18" s="52" t="inlineStr">
        <is>
          <t>3'–5'</t>
        </is>
      </c>
      <c r="H18" s="52" t="inlineStr">
        <is>
          <t>bw</t>
        </is>
      </c>
      <c r="I18" s="52" t="inlineStr">
        <is>
          <t>70%</t>
        </is>
      </c>
      <c r="J18" s="21" t="n"/>
    </row>
    <row r="19" ht="15" customHeight="1" s="103">
      <c r="A19" s="44" t="n"/>
      <c r="B19" s="44" t="inlineStr">
        <is>
          <t>Leg Curl (Machine)</t>
        </is>
      </c>
      <c r="C19" s="53" t="n">
        <v>4</v>
      </c>
      <c r="D19" s="53" t="n">
        <v>10</v>
      </c>
      <c r="E19" s="53" t="inlineStr">
        <is>
          <t>8''–10''</t>
        </is>
      </c>
      <c r="F19" s="53" t="inlineStr">
        <is>
          <t>1'–2'</t>
        </is>
      </c>
      <c r="G19" s="53" t="inlineStr">
        <is>
          <t>3'–5'</t>
        </is>
      </c>
      <c r="H19" s="53" t="n">
        <v>25</v>
      </c>
      <c r="I19" s="53" t="inlineStr">
        <is>
          <t>70%</t>
        </is>
      </c>
      <c r="J19" s="44" t="n"/>
    </row>
    <row r="20" ht="15" customHeight="1" s="103">
      <c r="A20" s="67" t="inlineStr">
        <is>
          <t>Session dates done:</t>
        </is>
      </c>
      <c r="B20" s="68" t="inlineStr">
        <is>
          <t>1:</t>
        </is>
      </c>
      <c r="C20" s="68" t="n"/>
      <c r="D20" s="68" t="inlineStr">
        <is>
          <t>2:</t>
        </is>
      </c>
      <c r="E20" s="68" t="n"/>
      <c r="F20" s="68" t="inlineStr">
        <is>
          <t>3:</t>
        </is>
      </c>
      <c r="G20" s="68" t="n"/>
      <c r="H20" s="68" t="inlineStr">
        <is>
          <t>RPE:</t>
        </is>
      </c>
      <c r="I20" s="68" t="n"/>
      <c r="J20" s="68" t="n"/>
    </row>
    <row r="22" ht="15" customHeight="1" s="103">
      <c r="A22" s="139" t="inlineStr">
        <is>
          <t>Weeks 6–8  (2–3×/week)  ·  12 Sep – 30 Sep 2025  ⚠️ Surgery 29 Aug — Restarted</t>
        </is>
      </c>
      <c r="B22" s="109" t="n"/>
      <c r="C22" s="109" t="n"/>
      <c r="D22" s="109" t="n"/>
      <c r="E22" s="109" t="n"/>
      <c r="F22" s="109" t="n"/>
      <c r="G22" s="109" t="n"/>
      <c r="H22" s="109" t="n"/>
      <c r="I22" s="109" t="n"/>
      <c r="J22" s="110" t="n"/>
    </row>
    <row r="23" ht="15" customHeight="1" s="103">
      <c r="A23" s="44" t="n"/>
      <c r="B23" s="44" t="inlineStr">
        <is>
          <t>Leg Press (Calfs)</t>
        </is>
      </c>
      <c r="C23" s="53" t="n">
        <v>4</v>
      </c>
      <c r="D23" s="53" t="n">
        <v>8</v>
      </c>
      <c r="E23" s="53" t="inlineStr">
        <is>
          <t>8''–10''</t>
        </is>
      </c>
      <c r="F23" s="53" t="inlineStr">
        <is>
          <t>1'–2'</t>
        </is>
      </c>
      <c r="G23" s="53" t="inlineStr">
        <is>
          <t>3'–5'</t>
        </is>
      </c>
      <c r="H23" s="53" t="n">
        <v>45</v>
      </c>
      <c r="I23" s="53" t="inlineStr">
        <is>
          <t>75%</t>
        </is>
      </c>
      <c r="J23" s="44" t="n"/>
    </row>
    <row r="24" ht="15" customHeight="1" s="103">
      <c r="A24" s="21" t="n"/>
      <c r="B24" s="21" t="inlineStr">
        <is>
          <t>Calfs Raise (w/ weight)</t>
        </is>
      </c>
      <c r="C24" s="52" t="n">
        <v>4</v>
      </c>
      <c r="D24" s="52" t="n">
        <v>8</v>
      </c>
      <c r="E24" s="52" t="inlineStr">
        <is>
          <t>8''–10''</t>
        </is>
      </c>
      <c r="F24" s="52" t="inlineStr">
        <is>
          <t>1'–2'</t>
        </is>
      </c>
      <c r="G24" s="52" t="inlineStr">
        <is>
          <t>3'–5'</t>
        </is>
      </c>
      <c r="H24" s="52" t="n">
        <v>6</v>
      </c>
      <c r="I24" s="52" t="inlineStr">
        <is>
          <t>75%</t>
        </is>
      </c>
      <c r="J24" s="21" t="n"/>
    </row>
    <row r="25" ht="15" customHeight="1" s="103">
      <c r="A25" s="44" t="n"/>
      <c r="B25" s="44" t="inlineStr">
        <is>
          <t>Leg Curl (Machine)</t>
        </is>
      </c>
      <c r="C25" s="53" t="n">
        <v>4</v>
      </c>
      <c r="D25" s="53" t="n">
        <v>8</v>
      </c>
      <c r="E25" s="53" t="inlineStr">
        <is>
          <t>8''–10''</t>
        </is>
      </c>
      <c r="F25" s="53" t="inlineStr">
        <is>
          <t>1'–2'</t>
        </is>
      </c>
      <c r="G25" s="53" t="inlineStr">
        <is>
          <t>3'–5'</t>
        </is>
      </c>
      <c r="H25" s="53" t="n">
        <v>39</v>
      </c>
      <c r="I25" s="53" t="inlineStr">
        <is>
          <t>75%</t>
        </is>
      </c>
      <c r="J25" s="44" t="n"/>
    </row>
    <row r="26" ht="15" customHeight="1" s="103">
      <c r="A26" s="67" t="inlineStr">
        <is>
          <t>Session dates done:</t>
        </is>
      </c>
      <c r="B26" s="68" t="inlineStr">
        <is>
          <t>1:</t>
        </is>
      </c>
      <c r="C26" s="68" t="n"/>
      <c r="D26" s="68" t="inlineStr">
        <is>
          <t>2:</t>
        </is>
      </c>
      <c r="E26" s="68" t="n"/>
      <c r="F26" s="68" t="inlineStr">
        <is>
          <t>3:</t>
        </is>
      </c>
      <c r="G26" s="68" t="n"/>
      <c r="H26" s="68" t="inlineStr">
        <is>
          <t>RPE:</t>
        </is>
      </c>
      <c r="I26" s="68" t="n"/>
      <c r="J26" s="68" t="n"/>
    </row>
    <row r="28" ht="15" customHeight="1" s="103">
      <c r="A28" s="139" t="inlineStr">
        <is>
          <t>Weeks 9–12  (2–3×/week)  ·  TBD — fill in dates below</t>
        </is>
      </c>
      <c r="B28" s="109" t="n"/>
      <c r="C28" s="109" t="n"/>
      <c r="D28" s="109" t="n"/>
      <c r="E28" s="109" t="n"/>
      <c r="F28" s="109" t="n"/>
      <c r="G28" s="109" t="n"/>
      <c r="H28" s="109" t="n"/>
      <c r="I28" s="109" t="n"/>
      <c r="J28" s="110" t="n"/>
    </row>
    <row r="29" ht="15" customHeight="1" s="103">
      <c r="A29" s="44" t="n"/>
      <c r="B29" s="44" t="inlineStr">
        <is>
          <t>Leg Press (Calfs)</t>
        </is>
      </c>
      <c r="C29" s="53" t="n">
        <v>4</v>
      </c>
      <c r="D29" s="53" t="n">
        <v>6</v>
      </c>
      <c r="E29" s="53" t="inlineStr">
        <is>
          <t>8''–10''</t>
        </is>
      </c>
      <c r="F29" s="53" t="inlineStr">
        <is>
          <t>1'–2'</t>
        </is>
      </c>
      <c r="G29" s="53" t="inlineStr">
        <is>
          <t>3'–5'</t>
        </is>
      </c>
      <c r="H29" s="53" t="n">
        <v>45</v>
      </c>
      <c r="I29" s="53" t="inlineStr">
        <is>
          <t>85%</t>
        </is>
      </c>
      <c r="J29" s="44" t="n"/>
    </row>
    <row r="30" ht="15" customHeight="1" s="103">
      <c r="A30" s="21" t="n"/>
      <c r="B30" s="21" t="inlineStr">
        <is>
          <t>Calfs Raise (w/ weight)</t>
        </is>
      </c>
      <c r="C30" s="52" t="n">
        <v>4</v>
      </c>
      <c r="D30" s="52" t="n">
        <v>6</v>
      </c>
      <c r="E30" s="52" t="inlineStr">
        <is>
          <t>8''–10''</t>
        </is>
      </c>
      <c r="F30" s="52" t="inlineStr">
        <is>
          <t>1'–2'</t>
        </is>
      </c>
      <c r="G30" s="52" t="inlineStr">
        <is>
          <t>3'–5'</t>
        </is>
      </c>
      <c r="H30" s="52" t="n">
        <v>6</v>
      </c>
      <c r="I30" s="52" t="inlineStr">
        <is>
          <t>85%</t>
        </is>
      </c>
      <c r="J30" s="21" t="n"/>
    </row>
    <row r="31" ht="15" customHeight="1" s="103">
      <c r="A31" s="44" t="n"/>
      <c r="B31" s="44" t="inlineStr">
        <is>
          <t>Leg Curl (Machine)</t>
        </is>
      </c>
      <c r="C31" s="53" t="n">
        <v>4</v>
      </c>
      <c r="D31" s="53" t="n">
        <v>6</v>
      </c>
      <c r="E31" s="53" t="inlineStr">
        <is>
          <t>8''–10''</t>
        </is>
      </c>
      <c r="F31" s="53" t="inlineStr">
        <is>
          <t>1'–2'</t>
        </is>
      </c>
      <c r="G31" s="53" t="inlineStr">
        <is>
          <t>3'–5'</t>
        </is>
      </c>
      <c r="H31" s="53" t="n">
        <v>39</v>
      </c>
      <c r="I31" s="53" t="inlineStr">
        <is>
          <t>85%</t>
        </is>
      </c>
      <c r="J31" s="44" t="n"/>
    </row>
    <row r="32" ht="15" customHeight="1" s="103">
      <c r="A32" s="67" t="inlineStr">
        <is>
          <t>Session dates done:</t>
        </is>
      </c>
      <c r="B32" s="68" t="inlineStr">
        <is>
          <t>1:</t>
        </is>
      </c>
      <c r="C32" s="68" t="n"/>
      <c r="D32" s="68" t="inlineStr">
        <is>
          <t>2:</t>
        </is>
      </c>
      <c r="E32" s="68" t="n"/>
      <c r="F32" s="68" t="inlineStr">
        <is>
          <t>3:</t>
        </is>
      </c>
      <c r="G32" s="68" t="n"/>
      <c r="H32" s="68" t="inlineStr">
        <is>
          <t>RPE:</t>
        </is>
      </c>
      <c r="I32" s="68" t="n"/>
      <c r="J32" s="68" t="n"/>
    </row>
    <row r="35" ht="15.75" customHeight="1" s="103">
      <c r="A35" s="140" t="inlineStr">
        <is>
          <t>CURRENT GYM PROGRAMME (FH_25 Rehab) — Template from latest Lattice assessment</t>
        </is>
      </c>
      <c r="B35" s="109" t="n"/>
      <c r="C35" s="109" t="n"/>
      <c r="D35" s="109" t="n"/>
      <c r="E35" s="109" t="n"/>
      <c r="F35" s="109" t="n"/>
      <c r="G35" s="109" t="n"/>
      <c r="H35" s="109" t="n"/>
      <c r="I35" s="109" t="n"/>
      <c r="J35" s="110" t="n"/>
    </row>
    <row r="36" ht="15" customHeight="1" s="103">
      <c r="A36" s="141" t="inlineStr">
        <is>
          <t>── Inferior Members ──</t>
        </is>
      </c>
      <c r="B36" s="109" t="n"/>
      <c r="C36" s="109" t="n"/>
      <c r="D36" s="109" t="n"/>
      <c r="E36" s="109" t="n"/>
      <c r="F36" s="109" t="n"/>
      <c r="G36" s="109" t="n"/>
      <c r="H36" s="109" t="n"/>
      <c r="I36" s="109" t="n"/>
      <c r="J36" s="110" t="n"/>
    </row>
    <row r="37" ht="15" customHeight="1" s="103">
      <c r="A37" s="44" t="inlineStr">
        <is>
          <t>Inferior Members</t>
        </is>
      </c>
      <c r="B37" s="44" t="inlineStr">
        <is>
          <t>Hip Abductor N.1</t>
        </is>
      </c>
      <c r="C37" s="53" t="n">
        <v>4</v>
      </c>
      <c r="D37" s="53" t="n">
        <v>6</v>
      </c>
      <c r="E37" s="44" t="n"/>
      <c r="F37" s="44" t="n"/>
      <c r="G37" s="53" t="inlineStr">
        <is>
          <t>3'</t>
        </is>
      </c>
      <c r="H37" s="69" t="n">
        <v>36.55</v>
      </c>
      <c r="I37" s="53" t="inlineStr">
        <is>
          <t>85%</t>
        </is>
      </c>
      <c r="J37" s="44" t="n"/>
    </row>
    <row r="38" ht="15" customHeight="1" s="103">
      <c r="A38" s="21" t="inlineStr">
        <is>
          <t>Inferior Members</t>
        </is>
      </c>
      <c r="B38" s="21" t="inlineStr">
        <is>
          <t>Hip Adductor N.2</t>
        </is>
      </c>
      <c r="C38" s="52" t="n">
        <v>4</v>
      </c>
      <c r="D38" s="52" t="n">
        <v>6</v>
      </c>
      <c r="E38" s="21" t="n"/>
      <c r="F38" s="21" t="n"/>
      <c r="G38" s="52" t="inlineStr">
        <is>
          <t>3'</t>
        </is>
      </c>
      <c r="H38" s="70" t="n">
        <v>31.96</v>
      </c>
      <c r="I38" s="52" t="inlineStr">
        <is>
          <t>85%</t>
        </is>
      </c>
      <c r="J38" s="21" t="n"/>
    </row>
    <row r="39" ht="15" customHeight="1" s="103">
      <c r="A39" s="44" t="inlineStr">
        <is>
          <t>Inferior Members</t>
        </is>
      </c>
      <c r="B39" s="44" t="inlineStr">
        <is>
          <t>Ext. Quadriceps</t>
        </is>
      </c>
      <c r="C39" s="53" t="n">
        <v>4</v>
      </c>
      <c r="D39" s="53" t="n">
        <v>6</v>
      </c>
      <c r="E39" s="44" t="n"/>
      <c r="F39" s="44" t="n"/>
      <c r="G39" s="53" t="inlineStr">
        <is>
          <t>3'</t>
        </is>
      </c>
      <c r="H39" s="69" t="n">
        <v>27.29</v>
      </c>
      <c r="I39" s="53" t="inlineStr">
        <is>
          <t>85%</t>
        </is>
      </c>
      <c r="J39" s="44" t="n"/>
    </row>
    <row r="40" ht="15" customHeight="1" s="103">
      <c r="A40" s="21" t="inlineStr">
        <is>
          <t>Inferior Members</t>
        </is>
      </c>
      <c r="B40" s="21" t="inlineStr">
        <is>
          <t>Prone Leg Curl (P7/P1-2)</t>
        </is>
      </c>
      <c r="C40" s="52" t="n">
        <v>3</v>
      </c>
      <c r="D40" s="52" t="n">
        <v>8</v>
      </c>
      <c r="E40" s="21" t="n"/>
      <c r="F40" s="21" t="n"/>
      <c r="G40" s="52" t="inlineStr">
        <is>
          <t>3'</t>
        </is>
      </c>
      <c r="H40" s="70" t="n">
        <v>18.02</v>
      </c>
      <c r="I40" s="52" t="inlineStr">
        <is>
          <t>85%</t>
        </is>
      </c>
      <c r="J40" s="21" t="n"/>
    </row>
    <row r="41" ht="15" customHeight="1" s="103">
      <c r="A41" s="44" t="inlineStr">
        <is>
          <t>Inferior Members</t>
        </is>
      </c>
      <c r="B41" s="44" t="inlineStr">
        <is>
          <t>Leg Press</t>
        </is>
      </c>
      <c r="C41" s="53" t="n">
        <v>4</v>
      </c>
      <c r="D41" s="53" t="n">
        <v>8</v>
      </c>
      <c r="E41" s="44" t="n"/>
      <c r="F41" s="44" t="n"/>
      <c r="G41" s="53" t="inlineStr">
        <is>
          <t>3'</t>
        </is>
      </c>
      <c r="H41" s="69" t="n">
        <v>33.15</v>
      </c>
      <c r="I41" s="53" t="inlineStr">
        <is>
          <t>85%</t>
        </is>
      </c>
      <c r="J41" s="44" t="n"/>
    </row>
    <row r="42" ht="15" customHeight="1" s="103">
      <c r="A42" s="141" t="inlineStr">
        <is>
          <t>── Core ──</t>
        </is>
      </c>
      <c r="B42" s="109" t="n"/>
      <c r="C42" s="109" t="n"/>
      <c r="D42" s="109" t="n"/>
      <c r="E42" s="109" t="n"/>
      <c r="F42" s="109" t="n"/>
      <c r="G42" s="109" t="n"/>
      <c r="H42" s="109" t="n"/>
      <c r="I42" s="109" t="n"/>
      <c r="J42" s="110" t="n"/>
    </row>
    <row r="43" ht="15" customHeight="1" s="103">
      <c r="A43" s="44" t="inlineStr">
        <is>
          <t>Core</t>
        </is>
      </c>
      <c r="B43" s="44" t="inlineStr">
        <is>
          <t>Plank</t>
        </is>
      </c>
      <c r="C43" s="53" t="n">
        <v>4</v>
      </c>
      <c r="D43" s="53" t="n">
        <v>1</v>
      </c>
      <c r="E43" s="44" t="n"/>
      <c r="F43" s="44" t="n"/>
      <c r="G43" s="53" t="inlineStr">
        <is>
          <t>3'</t>
        </is>
      </c>
      <c r="H43" s="53" t="inlineStr">
        <is>
          <t>btw</t>
        </is>
      </c>
      <c r="I43" s="53" t="inlineStr">
        <is>
          <t>50%</t>
        </is>
      </c>
      <c r="J43" s="44" t="n"/>
    </row>
    <row r="44" ht="15" customHeight="1" s="103">
      <c r="A44" s="21" t="inlineStr">
        <is>
          <t>Core</t>
        </is>
      </c>
      <c r="B44" s="21" t="inlineStr">
        <is>
          <t>Russian Sit-ups</t>
        </is>
      </c>
      <c r="C44" s="52" t="n">
        <v>4</v>
      </c>
      <c r="D44" s="52" t="n">
        <v>30</v>
      </c>
      <c r="E44" s="21" t="n"/>
      <c r="F44" s="21" t="n"/>
      <c r="G44" s="52" t="inlineStr">
        <is>
          <t>3'</t>
        </is>
      </c>
      <c r="H44" s="70" t="n">
        <v>6</v>
      </c>
      <c r="I44" s="52" t="inlineStr">
        <is>
          <t>65%</t>
        </is>
      </c>
      <c r="J44" s="21" t="n"/>
    </row>
    <row r="45" ht="15" customHeight="1" s="103">
      <c r="A45" s="44" t="inlineStr">
        <is>
          <t>Core</t>
        </is>
      </c>
      <c r="B45" s="44" t="inlineStr">
        <is>
          <t>Floor ABS Rotation</t>
        </is>
      </c>
      <c r="C45" s="53" t="n">
        <v>3</v>
      </c>
      <c r="D45" s="53" t="n">
        <v>20</v>
      </c>
      <c r="E45" s="44" t="n"/>
      <c r="F45" s="44" t="n"/>
      <c r="G45" s="53" t="inlineStr">
        <is>
          <t>1'</t>
        </is>
      </c>
      <c r="H45" s="53" t="inlineStr">
        <is>
          <t>2x3kg</t>
        </is>
      </c>
      <c r="I45" s="53" t="inlineStr">
        <is>
          <t>80%</t>
        </is>
      </c>
      <c r="J45" s="44" t="n"/>
    </row>
    <row r="46" ht="15" customHeight="1" s="103">
      <c r="A46" s="21" t="inlineStr">
        <is>
          <t>Core</t>
        </is>
      </c>
      <c r="B46" s="21" t="inlineStr">
        <is>
          <t>Leg + Arms Ups</t>
        </is>
      </c>
      <c r="C46" s="52" t="n">
        <v>3</v>
      </c>
      <c r="D46" s="52" t="n">
        <v>10</v>
      </c>
      <c r="E46" s="21" t="n"/>
      <c r="F46" s="21" t="n"/>
      <c r="G46" s="52" t="inlineStr">
        <is>
          <t>3'</t>
        </is>
      </c>
      <c r="H46" s="70" t="n">
        <v>12</v>
      </c>
      <c r="I46" s="52" t="inlineStr">
        <is>
          <t>95%</t>
        </is>
      </c>
      <c r="J46" s="21" t="n"/>
    </row>
    <row r="47" ht="15" customHeight="1" s="103">
      <c r="A47" s="44" t="inlineStr">
        <is>
          <t>Core</t>
        </is>
      </c>
      <c r="B47" s="44" t="inlineStr">
        <is>
          <t>Matrix Abd. N4</t>
        </is>
      </c>
      <c r="C47" s="53" t="n">
        <v>4</v>
      </c>
      <c r="D47" s="53" t="n">
        <v>8</v>
      </c>
      <c r="E47" s="44" t="n"/>
      <c r="F47" s="44" t="n"/>
      <c r="G47" s="53" t="inlineStr">
        <is>
          <t>3'</t>
        </is>
      </c>
      <c r="H47" s="69" t="n">
        <v>4</v>
      </c>
      <c r="I47" s="53" t="inlineStr">
        <is>
          <t>85%</t>
        </is>
      </c>
      <c r="J47" s="44" t="n"/>
    </row>
    <row r="48" ht="15" customHeight="1" s="103">
      <c r="A48" s="21" t="inlineStr">
        <is>
          <t>Core</t>
        </is>
      </c>
      <c r="B48" s="21" t="inlineStr">
        <is>
          <t>Matrix Abd. Up</t>
        </is>
      </c>
      <c r="C48" s="52" t="n">
        <v>4</v>
      </c>
      <c r="D48" s="52" t="n">
        <v>10</v>
      </c>
      <c r="E48" s="21" t="n"/>
      <c r="F48" s="21" t="n"/>
      <c r="G48" s="52" t="inlineStr">
        <is>
          <t>3'</t>
        </is>
      </c>
      <c r="H48" s="70" t="n">
        <v>10</v>
      </c>
      <c r="I48" s="52" t="inlineStr">
        <is>
          <t>90%</t>
        </is>
      </c>
      <c r="J48" s="21" t="n"/>
    </row>
    <row r="49" ht="15" customHeight="1" s="103">
      <c r="A49" s="44" t="inlineStr">
        <is>
          <t>Core</t>
        </is>
      </c>
      <c r="B49" s="44" t="inlineStr">
        <is>
          <t>Rotary Torso</t>
        </is>
      </c>
      <c r="C49" s="53" t="n">
        <v>4</v>
      </c>
      <c r="D49" s="53" t="n">
        <v>8</v>
      </c>
      <c r="E49" s="44" t="n"/>
      <c r="F49" s="44" t="n"/>
      <c r="G49" s="53" t="inlineStr">
        <is>
          <t>3'</t>
        </is>
      </c>
      <c r="H49" s="69" t="n">
        <v>23.04</v>
      </c>
      <c r="I49" s="53" t="inlineStr">
        <is>
          <t>85%</t>
        </is>
      </c>
      <c r="J49" s="44" t="n"/>
    </row>
    <row r="50" ht="15" customHeight="1" s="103">
      <c r="A50" s="141" t="inlineStr">
        <is>
          <t>── Superior ──</t>
        </is>
      </c>
      <c r="B50" s="109" t="n"/>
      <c r="C50" s="109" t="n"/>
      <c r="D50" s="109" t="n"/>
      <c r="E50" s="109" t="n"/>
      <c r="F50" s="109" t="n"/>
      <c r="G50" s="109" t="n"/>
      <c r="H50" s="109" t="n"/>
      <c r="I50" s="109" t="n"/>
      <c r="J50" s="110" t="n"/>
    </row>
    <row r="51" ht="15" customHeight="1" s="103">
      <c r="A51" s="44" t="inlineStr">
        <is>
          <t>Superior</t>
        </is>
      </c>
      <c r="B51" s="44" t="inlineStr">
        <is>
          <t>Scapular pull up</t>
        </is>
      </c>
      <c r="C51" s="53" t="n">
        <v>3</v>
      </c>
      <c r="D51" s="53" t="n">
        <v>8</v>
      </c>
      <c r="E51" s="44" t="n"/>
      <c r="F51" s="44" t="n"/>
      <c r="G51" s="53" t="inlineStr">
        <is>
          <t>1'</t>
        </is>
      </c>
      <c r="H51" s="53" t="inlineStr">
        <is>
          <t>bw</t>
        </is>
      </c>
      <c r="I51" s="53" t="n"/>
      <c r="J51" s="44" t="n"/>
    </row>
    <row r="52" ht="15" customHeight="1" s="103">
      <c r="A52" s="21" t="inlineStr">
        <is>
          <t>Superior</t>
        </is>
      </c>
      <c r="B52" s="21" t="inlineStr">
        <is>
          <t>ISO Scapular Pull</t>
        </is>
      </c>
      <c r="C52" s="52" t="n">
        <v>3</v>
      </c>
      <c r="D52" s="52" t="n">
        <v>1</v>
      </c>
      <c r="E52" s="21" t="n"/>
      <c r="F52" s="21" t="n"/>
      <c r="G52" s="52" t="inlineStr">
        <is>
          <t>1'</t>
        </is>
      </c>
      <c r="H52" s="52" t="inlineStr">
        <is>
          <t>bw</t>
        </is>
      </c>
      <c r="I52" s="52" t="n"/>
      <c r="J52" s="21" t="n"/>
    </row>
    <row r="53" ht="15" customHeight="1" s="103">
      <c r="A53" s="44" t="inlineStr">
        <is>
          <t>Superior</t>
        </is>
      </c>
      <c r="B53" s="44" t="inlineStr">
        <is>
          <t>1-Arm Scap. Pull-up</t>
        </is>
      </c>
      <c r="C53" s="53" t="n">
        <v>3</v>
      </c>
      <c r="D53" s="53" t="n">
        <v>4</v>
      </c>
      <c r="E53" s="44" t="n"/>
      <c r="F53" s="44" t="n"/>
      <c r="G53" s="53" t="inlineStr">
        <is>
          <t>1'</t>
        </is>
      </c>
      <c r="H53" s="53" t="inlineStr">
        <is>
          <t>bw</t>
        </is>
      </c>
      <c r="I53" s="53" t="n"/>
      <c r="J53" s="44" t="n"/>
    </row>
    <row r="54" ht="15" customHeight="1" s="103">
      <c r="A54" s="21" t="inlineStr">
        <is>
          <t>Superior</t>
        </is>
      </c>
      <c r="B54" s="21" t="inlineStr">
        <is>
          <t>Pull-up</t>
        </is>
      </c>
      <c r="C54" s="52" t="n">
        <v>4</v>
      </c>
      <c r="D54" s="52" t="n">
        <v>2</v>
      </c>
      <c r="E54" s="21" t="n"/>
      <c r="F54" s="21" t="n"/>
      <c r="G54" s="52" t="inlineStr">
        <is>
          <t>3'</t>
        </is>
      </c>
      <c r="H54" s="52" t="inlineStr">
        <is>
          <t>bw</t>
        </is>
      </c>
      <c r="I54" s="52" t="inlineStr">
        <is>
          <t>100%</t>
        </is>
      </c>
      <c r="J54" s="21" t="n"/>
    </row>
    <row r="55" ht="15" customHeight="1" s="103">
      <c r="A55" s="44" t="inlineStr">
        <is>
          <t>Superior</t>
        </is>
      </c>
      <c r="B55" s="44" t="inlineStr">
        <is>
          <t>Pull-up + Weight</t>
        </is>
      </c>
      <c r="C55" s="53" t="n">
        <v>4</v>
      </c>
      <c r="D55" s="53" t="n">
        <v>2</v>
      </c>
      <c r="E55" s="44" t="n"/>
      <c r="F55" s="44" t="n"/>
      <c r="G55" s="53" t="inlineStr">
        <is>
          <t>3'</t>
        </is>
      </c>
      <c r="H55" s="53" t="inlineStr">
        <is>
          <t>+5kg</t>
        </is>
      </c>
      <c r="I55" s="53" t="inlineStr">
        <is>
          <t>100%</t>
        </is>
      </c>
      <c r="J55" s="44" t="n"/>
    </row>
    <row r="56" ht="15" customHeight="1" s="103">
      <c r="A56" s="21" t="inlineStr">
        <is>
          <t>Superior</t>
        </is>
      </c>
      <c r="B56" s="21" t="inlineStr">
        <is>
          <t>Lat Pulldown / Pull-up Bar</t>
        </is>
      </c>
      <c r="C56" s="52" t="n">
        <v>4</v>
      </c>
      <c r="D56" s="52" t="n">
        <v>8</v>
      </c>
      <c r="E56" s="21" t="n"/>
      <c r="F56" s="21" t="n"/>
      <c r="G56" s="52" t="inlineStr">
        <is>
          <t>3'</t>
        </is>
      </c>
      <c r="H56" s="70" t="n">
        <v>39.02</v>
      </c>
      <c r="I56" s="52" t="inlineStr">
        <is>
          <t>85%</t>
        </is>
      </c>
      <c r="J56" s="21" t="n"/>
    </row>
    <row r="57" ht="15" customHeight="1" s="103">
      <c r="A57" s="44" t="inlineStr">
        <is>
          <t>Superior</t>
        </is>
      </c>
      <c r="B57" s="44" t="inlineStr">
        <is>
          <t>Rear Deltoid N1</t>
        </is>
      </c>
      <c r="C57" s="53" t="n">
        <v>4</v>
      </c>
      <c r="D57" s="53" t="n">
        <v>8</v>
      </c>
      <c r="E57" s="44" t="n"/>
      <c r="F57" s="44" t="n"/>
      <c r="G57" s="53" t="inlineStr">
        <is>
          <t>3'</t>
        </is>
      </c>
      <c r="H57" s="69" t="n">
        <v>24.99</v>
      </c>
      <c r="I57" s="53" t="inlineStr">
        <is>
          <t>85%</t>
        </is>
      </c>
      <c r="J57" s="44" t="n"/>
    </row>
    <row r="58" ht="15" customHeight="1" s="103">
      <c r="A58" s="21" t="inlineStr">
        <is>
          <t>Superior</t>
        </is>
      </c>
      <c r="B58" s="21" t="inlineStr">
        <is>
          <t>Fly Deltoid N2</t>
        </is>
      </c>
      <c r="C58" s="52" t="n">
        <v>4</v>
      </c>
      <c r="D58" s="52" t="n">
        <v>8</v>
      </c>
      <c r="E58" s="21" t="n"/>
      <c r="F58" s="21" t="n"/>
      <c r="G58" s="52" t="inlineStr">
        <is>
          <t>3'</t>
        </is>
      </c>
      <c r="H58" s="70" t="n">
        <v>32.05</v>
      </c>
      <c r="I58" s="52" t="inlineStr">
        <is>
          <t>85%</t>
        </is>
      </c>
      <c r="J58" s="21" t="n"/>
    </row>
    <row r="59" ht="15" customHeight="1" s="103">
      <c r="A59" s="44" t="inlineStr">
        <is>
          <t>Superior</t>
        </is>
      </c>
      <c r="B59" s="44" t="inlineStr">
        <is>
          <t>Shoulder Press</t>
        </is>
      </c>
      <c r="C59" s="53" t="n">
        <v>4</v>
      </c>
      <c r="D59" s="53" t="n">
        <v>8</v>
      </c>
      <c r="E59" s="44" t="n"/>
      <c r="F59" s="44" t="n"/>
      <c r="G59" s="53" t="inlineStr">
        <is>
          <t>3'</t>
        </is>
      </c>
      <c r="H59" s="69" t="n">
        <v>18.02</v>
      </c>
      <c r="I59" s="53" t="inlineStr">
        <is>
          <t>85%</t>
        </is>
      </c>
      <c r="J59" s="44" t="n"/>
    </row>
    <row r="60" ht="15" customHeight="1" s="103">
      <c r="A60" s="21" t="inlineStr">
        <is>
          <t>Superior</t>
        </is>
      </c>
      <c r="B60" s="21" t="inlineStr">
        <is>
          <t>Chest Press</t>
        </is>
      </c>
      <c r="C60" s="52" t="n">
        <v>4</v>
      </c>
      <c r="D60" s="52" t="n">
        <v>6</v>
      </c>
      <c r="E60" s="21" t="n"/>
      <c r="F60" s="21" t="n"/>
      <c r="G60" s="52" t="inlineStr">
        <is>
          <t>3'</t>
        </is>
      </c>
      <c r="H60" s="70" t="n">
        <v>25.08</v>
      </c>
      <c r="I60" s="52" t="inlineStr">
        <is>
          <t>85%</t>
        </is>
      </c>
      <c r="J60" s="21" t="n"/>
    </row>
    <row r="61" ht="15" customHeight="1" s="103">
      <c r="A61" s="44" t="inlineStr">
        <is>
          <t>Superior</t>
        </is>
      </c>
      <c r="B61" s="44" t="inlineStr">
        <is>
          <t>Cable Cross Over</t>
        </is>
      </c>
      <c r="C61" s="53" t="n">
        <v>4</v>
      </c>
      <c r="D61" s="53" t="n">
        <v>8</v>
      </c>
      <c r="E61" s="44" t="n"/>
      <c r="F61" s="44" t="n"/>
      <c r="G61" s="53" t="inlineStr">
        <is>
          <t>1'</t>
        </is>
      </c>
      <c r="H61" s="69" t="n">
        <v>11.9</v>
      </c>
      <c r="I61" s="53" t="inlineStr">
        <is>
          <t>85%</t>
        </is>
      </c>
      <c r="J61" s="44" t="n"/>
    </row>
    <row r="62" ht="15" customHeight="1" s="103">
      <c r="A62" s="21" t="inlineStr">
        <is>
          <t>Superior</t>
        </is>
      </c>
      <c r="B62" s="21" t="inlineStr">
        <is>
          <t>Low Row</t>
        </is>
      </c>
      <c r="C62" s="52" t="n">
        <v>3</v>
      </c>
      <c r="D62" s="52" t="n">
        <v>8</v>
      </c>
      <c r="E62" s="21" t="n"/>
      <c r="F62" s="21" t="n"/>
      <c r="G62" s="52" t="inlineStr">
        <is>
          <t>3'</t>
        </is>
      </c>
      <c r="H62" s="70" t="n">
        <v>27.2</v>
      </c>
      <c r="I62" s="52" t="inlineStr">
        <is>
          <t>85%</t>
        </is>
      </c>
      <c r="J62" s="21" t="n"/>
    </row>
    <row r="63" ht="15" customHeight="1" s="103">
      <c r="A63" s="44" t="inlineStr">
        <is>
          <t>Superior</t>
        </is>
      </c>
      <c r="B63" s="44" t="inlineStr">
        <is>
          <t>Biceps</t>
        </is>
      </c>
      <c r="C63" s="53" t="n">
        <v>4</v>
      </c>
      <c r="D63" s="53" t="n">
        <v>8</v>
      </c>
      <c r="E63" s="44" t="n"/>
      <c r="F63" s="44" t="n"/>
      <c r="G63" s="53" t="inlineStr">
        <is>
          <t>1'</t>
        </is>
      </c>
      <c r="H63" s="69" t="n">
        <v>8.08</v>
      </c>
      <c r="I63" s="53" t="inlineStr">
        <is>
          <t>85%</t>
        </is>
      </c>
      <c r="J63" s="44" t="n"/>
    </row>
    <row r="64" ht="15" customHeight="1" s="103">
      <c r="A64" s="21" t="inlineStr">
        <is>
          <t>Superior</t>
        </is>
      </c>
      <c r="B64" s="21" t="inlineStr">
        <is>
          <t>Seated Triceps Press</t>
        </is>
      </c>
      <c r="C64" s="52" t="n">
        <v>4</v>
      </c>
      <c r="D64" s="52" t="n">
        <v>8</v>
      </c>
      <c r="E64" s="21" t="n"/>
      <c r="F64" s="21" t="n"/>
      <c r="G64" s="52" t="inlineStr">
        <is>
          <t>3'</t>
        </is>
      </c>
      <c r="H64" s="70" t="n">
        <v>34.51</v>
      </c>
      <c r="I64" s="52" t="inlineStr">
        <is>
          <t>85%</t>
        </is>
      </c>
      <c r="J64" s="21" t="n"/>
    </row>
    <row r="65" ht="15" customHeight="1" s="103">
      <c r="A65" s="141" t="inlineStr">
        <is>
          <t>── Wrist ──</t>
        </is>
      </c>
      <c r="B65" s="109" t="n"/>
      <c r="C65" s="109" t="n"/>
      <c r="D65" s="109" t="n"/>
      <c r="E65" s="109" t="n"/>
      <c r="F65" s="109" t="n"/>
      <c r="G65" s="109" t="n"/>
      <c r="H65" s="109" t="n"/>
      <c r="I65" s="109" t="n"/>
      <c r="J65" s="110" t="n"/>
    </row>
    <row r="66" ht="15" customHeight="1" s="103">
      <c r="A66" s="21" t="inlineStr">
        <is>
          <t>Wrist</t>
        </is>
      </c>
      <c r="B66" s="21" t="inlineStr">
        <is>
          <t>Wrist Extension</t>
        </is>
      </c>
      <c r="C66" s="52" t="n">
        <v>3</v>
      </c>
      <c r="D66" s="52" t="n">
        <v>12</v>
      </c>
      <c r="E66" s="21" t="n"/>
      <c r="F66" s="21" t="n"/>
      <c r="G66" s="52" t="inlineStr">
        <is>
          <t>1'</t>
        </is>
      </c>
      <c r="H66" s="70" t="n">
        <v>8.08</v>
      </c>
      <c r="I66" s="52" t="inlineStr">
        <is>
          <t>85%</t>
        </is>
      </c>
      <c r="J66" s="21" t="n"/>
    </row>
    <row r="67" ht="15" customHeight="1" s="103">
      <c r="A67" s="44" t="inlineStr">
        <is>
          <t>Wrist</t>
        </is>
      </c>
      <c r="B67" s="44" t="inlineStr">
        <is>
          <t>Wrist Internal</t>
        </is>
      </c>
      <c r="C67" s="53" t="n">
        <v>3</v>
      </c>
      <c r="D67" s="53" t="n">
        <v>12</v>
      </c>
      <c r="E67" s="44" t="n"/>
      <c r="F67" s="44" t="n"/>
      <c r="G67" s="53" t="inlineStr">
        <is>
          <t>1'</t>
        </is>
      </c>
      <c r="H67" s="69" t="n">
        <v>6.03</v>
      </c>
      <c r="I67" s="53" t="inlineStr">
        <is>
          <t>85%</t>
        </is>
      </c>
      <c r="J67" s="44" t="n"/>
    </row>
    <row r="68" ht="15" customHeight="1" s="103">
      <c r="A68" s="21" t="inlineStr">
        <is>
          <t>Wrist</t>
        </is>
      </c>
      <c r="B68" s="21" t="inlineStr">
        <is>
          <t>Wrist Curls Int Roll</t>
        </is>
      </c>
      <c r="C68" s="52" t="n">
        <v>3</v>
      </c>
      <c r="D68" s="52" t="n">
        <v>3</v>
      </c>
      <c r="E68" s="21" t="n"/>
      <c r="F68" s="21" t="n"/>
      <c r="G68" s="52" t="inlineStr">
        <is>
          <t>3'</t>
        </is>
      </c>
      <c r="H68" s="70" t="n">
        <v>6.03</v>
      </c>
      <c r="I68" s="52" t="inlineStr">
        <is>
          <t>85%</t>
        </is>
      </c>
      <c r="J68" s="21" t="n"/>
    </row>
    <row r="69" ht="15" customHeight="1" s="103">
      <c r="A69" s="44" t="inlineStr">
        <is>
          <t>Wrist</t>
        </is>
      </c>
      <c r="B69" s="44" t="inlineStr">
        <is>
          <t>Wrist Curls Ext Roll</t>
        </is>
      </c>
      <c r="C69" s="53" t="n">
        <v>3</v>
      </c>
      <c r="D69" s="53" t="n">
        <v>3</v>
      </c>
      <c r="E69" s="44" t="n"/>
      <c r="F69" s="44" t="n"/>
      <c r="G69" s="53" t="inlineStr">
        <is>
          <t>3'</t>
        </is>
      </c>
      <c r="H69" s="69" t="n">
        <v>4.25</v>
      </c>
      <c r="I69" s="53" t="inlineStr">
        <is>
          <t>85%</t>
        </is>
      </c>
      <c r="J69" s="44" t="n"/>
    </row>
    <row r="70" ht="15" customHeight="1" s="103">
      <c r="A70" s="141" t="inlineStr">
        <is>
          <t>── Fingers ──</t>
        </is>
      </c>
      <c r="B70" s="109" t="n"/>
      <c r="C70" s="109" t="n"/>
      <c r="D70" s="109" t="n"/>
      <c r="E70" s="109" t="n"/>
      <c r="F70" s="109" t="n"/>
      <c r="G70" s="109" t="n"/>
      <c r="H70" s="109" t="n"/>
      <c r="I70" s="109" t="n"/>
      <c r="J70" s="110" t="n"/>
    </row>
    <row r="71" ht="15" customHeight="1" s="103">
      <c r="A71" s="44" t="inlineStr">
        <is>
          <t>Fingers</t>
        </is>
      </c>
      <c r="B71" s="44" t="inlineStr">
        <is>
          <t>Grips w/ Machine</t>
        </is>
      </c>
      <c r="C71" s="53" t="n">
        <v>3</v>
      </c>
      <c r="D71" s="53" t="n">
        <v>3</v>
      </c>
      <c r="E71" s="44" t="n"/>
      <c r="F71" s="44" t="n"/>
      <c r="G71" s="53" t="inlineStr">
        <is>
          <t>5'</t>
        </is>
      </c>
      <c r="H71" s="69" t="n">
        <v>35</v>
      </c>
      <c r="I71" s="53" t="inlineStr">
        <is>
          <t>100%</t>
        </is>
      </c>
      <c r="J71" s="44" t="n"/>
    </row>
  </sheetData>
  <mergeCells count="12">
    <mergeCell ref="A1:J1"/>
    <mergeCell ref="A36:J36"/>
    <mergeCell ref="A22:J22"/>
    <mergeCell ref="A70:J70"/>
    <mergeCell ref="A28:J28"/>
    <mergeCell ref="A35:J35"/>
    <mergeCell ref="A4:J4"/>
    <mergeCell ref="A50:J50"/>
    <mergeCell ref="A65:J65"/>
    <mergeCell ref="A16:J16"/>
    <mergeCell ref="A10:J10"/>
    <mergeCell ref="A42:J42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tabColor rgb="FF8E44AD"/>
    <outlinePr summaryBelow="1" summaryRight="1"/>
    <pageSetUpPr/>
  </sheetPr>
  <dimension ref="A1:W80"/>
  <sheetViews>
    <sheetView tabSelected="1" zoomScaleNormal="100" workbookViewId="0">
      <pane ySplit="4" topLeftCell="A5" activePane="bottomLeft" state="frozen"/>
      <selection pane="bottomLeft" activeCell="J22" sqref="J22"/>
    </sheetView>
  </sheetViews>
  <sheetFormatPr baseColWidth="10" defaultColWidth="8.6640625" defaultRowHeight="15" customHeight="1"/>
  <cols>
    <col width="12" customWidth="1" style="103" min="1" max="1"/>
    <col width="18" customWidth="1" style="103" min="2" max="2"/>
    <col width="10" customWidth="1" style="103" min="3" max="4"/>
    <col width="7" customWidth="1" style="103" min="5" max="12"/>
    <col width="10" customWidth="1" style="103" min="13" max="13"/>
    <col width="11" customWidth="1" style="103" min="14" max="14"/>
    <col width="32" customWidth="1" style="103" min="15" max="15"/>
    <col width="9" customWidth="1" style="103" min="16" max="23"/>
  </cols>
  <sheetData>
    <row r="1" ht="25.5" customHeight="1" s="103">
      <c r="A1" s="126" t="inlineStr">
        <is>
          <t>🧗  Climbing Log — meters auto-calculated from gym wall height</t>
        </is>
      </c>
    </row>
    <row r="2" ht="15" customHeight="1" s="103">
      <c r="A2" s="130" t="inlineStr">
        <is>
          <t xml:space="preserve">  ✏️  Fill: Date · Gym (dropdown) · Duration · Route counts per grade     |  ⚡ Auto: Wall Height · Total Routes · Total Meters · Meters per Grade</t>
        </is>
      </c>
    </row>
    <row r="3" ht="6" customHeight="1" s="103">
      <c r="P3" s="128" t="inlineStr">
        <is>
          <t>⬇  Meters per Grade Band  (auto)</t>
        </is>
      </c>
    </row>
    <row r="4" ht="27.75" customHeight="1" s="103">
      <c r="A4" s="71" t="inlineStr">
        <is>
          <t>Date</t>
        </is>
      </c>
      <c r="B4" s="71" t="inlineStr">
        <is>
          <t>Gym</t>
        </is>
      </c>
      <c r="C4" s="72" t="inlineStr">
        <is>
          <t>Wall
Ht (m)</t>
        </is>
      </c>
      <c r="D4" s="71" t="inlineStr">
        <is>
          <t>Duration
(min)</t>
        </is>
      </c>
      <c r="E4" s="71" t="inlineStr">
        <is>
          <t>3–4c</t>
        </is>
      </c>
      <c r="F4" s="71" t="inlineStr">
        <is>
          <t>5a–5b+</t>
        </is>
      </c>
      <c r="G4" s="71" t="inlineStr">
        <is>
          <t>5c–5c+</t>
        </is>
      </c>
      <c r="H4" s="71" t="inlineStr">
        <is>
          <t>6a–6a+</t>
        </is>
      </c>
      <c r="I4" s="71" t="inlineStr">
        <is>
          <t>6b–6b+</t>
        </is>
      </c>
      <c r="J4" s="71" t="inlineStr">
        <is>
          <t>6c–6c+</t>
        </is>
      </c>
      <c r="K4" s="71" t="inlineStr">
        <is>
          <t>7a–7a+</t>
        </is>
      </c>
      <c r="L4" s="71" t="inlineStr">
        <is>
          <t>7b–7b+</t>
        </is>
      </c>
      <c r="M4" s="72" t="inlineStr">
        <is>
          <t>Total
Routes</t>
        </is>
      </c>
      <c r="N4" s="72" t="inlineStr">
        <is>
          <t>Total
Meters</t>
        </is>
      </c>
      <c r="O4" s="71" t="inlineStr">
        <is>
          <t>Notes</t>
        </is>
      </c>
      <c r="P4" s="72" t="inlineStr">
        <is>
          <t>m @ 3–4c</t>
        </is>
      </c>
      <c r="Q4" s="72" t="inlineStr">
        <is>
          <t>m @ 5a–5b+</t>
        </is>
      </c>
      <c r="R4" s="72" t="inlineStr">
        <is>
          <t>m @ 5c–5c+</t>
        </is>
      </c>
      <c r="S4" s="72" t="inlineStr">
        <is>
          <t>m @ 6a–6a+</t>
        </is>
      </c>
      <c r="T4" s="72" t="inlineStr">
        <is>
          <t>m @ 6b–6b+</t>
        </is>
      </c>
      <c r="U4" s="72" t="inlineStr">
        <is>
          <t>m @ 6c–6c+</t>
        </is>
      </c>
      <c r="V4" s="72" t="inlineStr">
        <is>
          <t>m @ 7a–7a+</t>
        </is>
      </c>
      <c r="W4" s="72" t="inlineStr">
        <is>
          <t>m @ 7b–7b+</t>
        </is>
      </c>
    </row>
    <row r="5" ht="15" customHeight="1" s="103">
      <c r="A5" s="73" t="n">
        <v>45609</v>
      </c>
      <c r="B5" s="74" t="inlineStr">
        <is>
          <t>Neoliet</t>
        </is>
      </c>
      <c r="C5" s="125">
        <f>IFERROR(INDEX('🧗 Climbing Log'!$B$75:$B$80,MATCH(B5,'🧗 Climbing Log'!$A$75:$A$80,0)),"")</f>
        <v/>
      </c>
      <c r="D5" s="76" t="n">
        <v>90</v>
      </c>
      <c r="E5" s="76" t="n"/>
      <c r="F5" s="76" t="n">
        <v>6</v>
      </c>
      <c r="G5" s="76" t="n">
        <v>8</v>
      </c>
      <c r="H5" s="76" t="n"/>
      <c r="I5" s="76" t="n"/>
      <c r="J5" s="76" t="n"/>
      <c r="K5" s="76" t="n"/>
      <c r="L5" s="76" t="n"/>
      <c r="M5" s="77">
        <f>IFERROR(SUM(E5:L5),0)</f>
        <v/>
      </c>
      <c r="N5" s="78">
        <f>IFERROR(IF(OR(C5="",M5=0),"",M5*C5),"")</f>
        <v/>
      </c>
      <c r="O5" s="79" t="inlineStr">
        <is>
          <t>Week 46 – session 1</t>
        </is>
      </c>
      <c r="P5" s="125">
        <f>IFERROR(IF(OR(C5="",E5=0),"",E5*C5),"")</f>
        <v/>
      </c>
      <c r="Q5" s="125">
        <f>IFERROR(IF(OR(C5="",F5=0),"",F5*C5),"")</f>
        <v/>
      </c>
      <c r="R5" s="125">
        <f>IFERROR(IF(OR(C5="",G5=0),"",G5*C5),"")</f>
        <v/>
      </c>
      <c r="S5" s="125">
        <f>IFERROR(IF(OR(C5="",H5=0),"",H5*C5),"")</f>
        <v/>
      </c>
      <c r="T5" s="125">
        <f>IFERROR(IF(OR(C5="",I5=0),"",I5*C5),"")</f>
        <v/>
      </c>
      <c r="U5" s="125">
        <f>IFERROR(IF(OR(C5="",J5=0),"",J5*C5),"")</f>
        <v/>
      </c>
      <c r="V5" s="125">
        <f>IFERROR(IF(OR(C5="",K5=0),"",K5*C5),"")</f>
        <v/>
      </c>
      <c r="W5" s="125">
        <f>IFERROR(IF(OR(C5="",L5=0),"",L5*C5),"")</f>
        <v/>
      </c>
    </row>
    <row r="6" ht="15" customHeight="1" s="103">
      <c r="A6" s="80" t="n">
        <v>45616</v>
      </c>
      <c r="B6" s="81" t="inlineStr">
        <is>
          <t>Neoliet</t>
        </is>
      </c>
      <c r="C6" s="125">
        <f>IFERROR(INDEX('🧗 Climbing Log'!$B$75:$B$80,MATCH(B6,'🧗 Climbing Log'!$A$75:$A$80,0)),"")</f>
        <v/>
      </c>
      <c r="D6" s="82" t="n">
        <v>90</v>
      </c>
      <c r="E6" s="82" t="n"/>
      <c r="F6" s="82" t="n">
        <v>10</v>
      </c>
      <c r="G6" s="82" t="n"/>
      <c r="H6" s="82" t="n">
        <v>2</v>
      </c>
      <c r="I6" s="82" t="n"/>
      <c r="J6" s="82" t="n"/>
      <c r="K6" s="82" t="n"/>
      <c r="L6" s="82" t="n"/>
      <c r="M6" s="77">
        <f>IFERROR(SUM(E6:L6),0)</f>
        <v/>
      </c>
      <c r="N6" s="78">
        <f>IFERROR(IF(OR(C6="",M6=0),"",M6*C6),"")</f>
        <v/>
      </c>
      <c r="O6" s="83" t="inlineStr">
        <is>
          <t>Week 46 – session 2</t>
        </is>
      </c>
      <c r="P6" s="125">
        <f>IFERROR(IF(OR(C6="",E6=0),"",E6*C6),"")</f>
        <v/>
      </c>
      <c r="Q6" s="125">
        <f>IFERROR(IF(OR(C6="",F6=0),"",F6*C6),"")</f>
        <v/>
      </c>
      <c r="R6" s="125">
        <f>IFERROR(IF(OR(C6="",G6=0),"",G6*C6),"")</f>
        <v/>
      </c>
      <c r="S6" s="125">
        <f>IFERROR(IF(OR(C6="",H6=0),"",H6*C6),"")</f>
        <v/>
      </c>
      <c r="T6" s="125">
        <f>IFERROR(IF(OR(C6="",I6=0),"",I6*C6),"")</f>
        <v/>
      </c>
      <c r="U6" s="125">
        <f>IFERROR(IF(OR(C6="",J6=0),"",J6*C6),"")</f>
        <v/>
      </c>
      <c r="V6" s="125">
        <f>IFERROR(IF(OR(C6="",K6=0),"",K6*C6),"")</f>
        <v/>
      </c>
      <c r="W6" s="125">
        <f>IFERROR(IF(OR(C6="",L6=0),"",L6*C6),"")</f>
        <v/>
      </c>
    </row>
    <row r="7" ht="15" customHeight="1" s="103">
      <c r="A7" s="73" t="n">
        <v>45623</v>
      </c>
      <c r="B7" s="74" t="inlineStr">
        <is>
          <t>Neoliet</t>
        </is>
      </c>
      <c r="C7" s="125">
        <f>IFERROR(INDEX('🧗 Climbing Log'!$B$75:$B$80,MATCH(B7,'🧗 Climbing Log'!$A$75:$A$80,0)),"")</f>
        <v/>
      </c>
      <c r="D7" s="76" t="n">
        <v>90</v>
      </c>
      <c r="E7" s="76" t="n"/>
      <c r="F7" s="76" t="n">
        <v>10</v>
      </c>
      <c r="G7" s="76" t="n">
        <v>7</v>
      </c>
      <c r="H7" s="76" t="n">
        <v>2</v>
      </c>
      <c r="I7" s="76" t="n"/>
      <c r="J7" s="76" t="n"/>
      <c r="K7" s="76" t="n"/>
      <c r="L7" s="76" t="n"/>
      <c r="M7" s="77">
        <f>IFERROR(SUM(E7:L7),0)</f>
        <v/>
      </c>
      <c r="N7" s="78">
        <f>IFERROR(IF(OR(C7="",M7=0),"",M7*C7),"")</f>
        <v/>
      </c>
      <c r="O7" s="79" t="inlineStr">
        <is>
          <t>Week 47</t>
        </is>
      </c>
      <c r="P7" s="125">
        <f>IFERROR(IF(OR(C7="",E7=0),"",E7*C7),"")</f>
        <v/>
      </c>
      <c r="Q7" s="125">
        <f>IFERROR(IF(OR(C7="",F7=0),"",F7*C7),"")</f>
        <v/>
      </c>
      <c r="R7" s="125">
        <f>IFERROR(IF(OR(C7="",G7=0),"",G7*C7),"")</f>
        <v/>
      </c>
      <c r="S7" s="125">
        <f>IFERROR(IF(OR(C7="",H7=0),"",H7*C7),"")</f>
        <v/>
      </c>
      <c r="T7" s="125">
        <f>IFERROR(IF(OR(C7="",I7=0),"",I7*C7),"")</f>
        <v/>
      </c>
      <c r="U7" s="125">
        <f>IFERROR(IF(OR(C7="",J7=0),"",J7*C7),"")</f>
        <v/>
      </c>
      <c r="V7" s="125">
        <f>IFERROR(IF(OR(C7="",K7=0),"",K7*C7),"")</f>
        <v/>
      </c>
      <c r="W7" s="125">
        <f>IFERROR(IF(OR(C7="",L7=0),"",L7*C7),"")</f>
        <v/>
      </c>
    </row>
    <row r="8" ht="15" customHeight="1" s="103">
      <c r="A8" s="80" t="n">
        <v>45630</v>
      </c>
      <c r="B8" s="81" t="inlineStr">
        <is>
          <t>Neoliet</t>
        </is>
      </c>
      <c r="C8" s="125">
        <f>IFERROR(INDEX('🧗 Climbing Log'!$B$75:$B$80,MATCH(B8,'🧗 Climbing Log'!$A$75:$A$80,0)),"")</f>
        <v/>
      </c>
      <c r="D8" s="82" t="n">
        <v>90</v>
      </c>
      <c r="E8" s="82" t="n"/>
      <c r="F8" s="82" t="n">
        <v>10</v>
      </c>
      <c r="G8" s="82" t="n">
        <v>7</v>
      </c>
      <c r="H8" s="82" t="n">
        <v>2</v>
      </c>
      <c r="I8" s="82" t="n"/>
      <c r="J8" s="82" t="n"/>
      <c r="K8" s="82" t="n"/>
      <c r="L8" s="82" t="n"/>
      <c r="M8" s="77">
        <f>IFERROR(SUM(E8:L8),0)</f>
        <v/>
      </c>
      <c r="N8" s="78">
        <f>IFERROR(IF(OR(C8="",M8=0),"",M8*C8),"")</f>
        <v/>
      </c>
      <c r="O8" s="83" t="inlineStr">
        <is>
          <t>Week 48</t>
        </is>
      </c>
      <c r="P8" s="125">
        <f>IFERROR(IF(OR(C8="",E8=0),"",E8*C8),"")</f>
        <v/>
      </c>
      <c r="Q8" s="125">
        <f>IFERROR(IF(OR(C8="",F8=0),"",F8*C8),"")</f>
        <v/>
      </c>
      <c r="R8" s="125">
        <f>IFERROR(IF(OR(C8="",G8=0),"",G8*C8),"")</f>
        <v/>
      </c>
      <c r="S8" s="125">
        <f>IFERROR(IF(OR(C8="",H8=0),"",H8*C8),"")</f>
        <v/>
      </c>
      <c r="T8" s="125">
        <f>IFERROR(IF(OR(C8="",I8=0),"",I8*C8),"")</f>
        <v/>
      </c>
      <c r="U8" s="125">
        <f>IFERROR(IF(OR(C8="",J8=0),"",J8*C8),"")</f>
        <v/>
      </c>
      <c r="V8" s="125">
        <f>IFERROR(IF(OR(C8="",K8=0),"",K8*C8),"")</f>
        <v/>
      </c>
      <c r="W8" s="125">
        <f>IFERROR(IF(OR(C8="",L8=0),"",L8*C8),"")</f>
        <v/>
      </c>
    </row>
    <row r="9" ht="15" customHeight="1" s="103">
      <c r="A9" s="73" t="n">
        <v>45665</v>
      </c>
      <c r="B9" s="74" t="inlineStr">
        <is>
          <t>Neoliet</t>
        </is>
      </c>
      <c r="C9" s="125">
        <f>IFERROR(INDEX('🧗 Climbing Log'!$B$75:$B$80,MATCH(B9,'🧗 Climbing Log'!$A$75:$A$80,0)),"")</f>
        <v/>
      </c>
      <c r="D9" s="76" t="n">
        <v>90</v>
      </c>
      <c r="E9" s="76" t="n"/>
      <c r="F9" s="76" t="n"/>
      <c r="G9" s="76" t="n"/>
      <c r="H9" s="76" t="n"/>
      <c r="I9" s="76" t="n"/>
      <c r="J9" s="76" t="n"/>
      <c r="K9" s="76" t="n"/>
      <c r="L9" s="76" t="n"/>
      <c r="M9" s="77">
        <f>IFERROR(SUM(E9:L9),0)</f>
        <v/>
      </c>
      <c r="N9" s="78">
        <f>IFERROR(IF(OR(C9="",M9=0),"",M9*C9),"")</f>
        <v/>
      </c>
      <c r="O9" s="79" t="inlineStr">
        <is>
          <t>OS 6a+/6b (Lattice ref)</t>
        </is>
      </c>
      <c r="P9" s="125">
        <f>IFERROR(IF(OR(C9="",E9=0),"",E9*C9),"")</f>
        <v/>
      </c>
      <c r="Q9" s="125">
        <f>IFERROR(IF(OR(C9="",F9=0),"",F9*C9),"")</f>
        <v/>
      </c>
      <c r="R9" s="125">
        <f>IFERROR(IF(OR(C9="",G9=0),"",G9*C9),"")</f>
        <v/>
      </c>
      <c r="S9" s="125">
        <f>IFERROR(IF(OR(C9="",H9=0),"",H9*C9),"")</f>
        <v/>
      </c>
      <c r="T9" s="125">
        <f>IFERROR(IF(OR(C9="",I9=0),"",I9*C9),"")</f>
        <v/>
      </c>
      <c r="U9" s="125">
        <f>IFERROR(IF(OR(C9="",J9=0),"",J9*C9),"")</f>
        <v/>
      </c>
      <c r="V9" s="125">
        <f>IFERROR(IF(OR(C9="",K9=0),"",K9*C9),"")</f>
        <v/>
      </c>
      <c r="W9" s="125">
        <f>IFERROR(IF(OR(C9="",L9=0),"",L9*C9),"")</f>
        <v/>
      </c>
    </row>
    <row r="10" ht="15" customHeight="1" s="103">
      <c r="A10" s="80" t="n">
        <v>45889</v>
      </c>
      <c r="B10" s="81" t="inlineStr">
        <is>
          <t>Neoliet</t>
        </is>
      </c>
      <c r="C10" s="125">
        <f>IFERROR(INDEX('🧗 Climbing Log'!$B$75:$B$80,MATCH(B10,'🧗 Climbing Log'!$A$75:$A$80,0)),"")</f>
        <v/>
      </c>
      <c r="D10" s="82" t="n">
        <v>90</v>
      </c>
      <c r="E10" s="82" t="n"/>
      <c r="F10" s="82" t="n"/>
      <c r="G10" s="82" t="n"/>
      <c r="H10" s="82" t="n"/>
      <c r="I10" s="82" t="n"/>
      <c r="J10" s="82" t="n"/>
      <c r="K10" s="82" t="n"/>
      <c r="L10" s="82" t="n"/>
      <c r="M10" s="77">
        <f>IFERROR(SUM(E10:L10),0)</f>
        <v/>
      </c>
      <c r="N10" s="78">
        <f>IFERROR(IF(OR(C10="",M10=0),"",M10*C10),"")</f>
        <v/>
      </c>
      <c r="O10" s="83" t="n"/>
      <c r="P10" s="125">
        <f>IFERROR(IF(OR(C10="",E10=0),"",E10*C10),"")</f>
        <v/>
      </c>
      <c r="Q10" s="125">
        <f>IFERROR(IF(OR(C10="",F10=0),"",F10*C10),"")</f>
        <v/>
      </c>
      <c r="R10" s="125">
        <f>IFERROR(IF(OR(C10="",G10=0),"",G10*C10),"")</f>
        <v/>
      </c>
      <c r="S10" s="125">
        <f>IFERROR(IF(OR(C10="",H10=0),"",H10*C10),"")</f>
        <v/>
      </c>
      <c r="T10" s="125">
        <f>IFERROR(IF(OR(C10="",I10=0),"",I10*C10),"")</f>
        <v/>
      </c>
      <c r="U10" s="125">
        <f>IFERROR(IF(OR(C10="",J10=0),"",J10*C10),"")</f>
        <v/>
      </c>
      <c r="V10" s="125">
        <f>IFERROR(IF(OR(C10="",K10=0),"",K10*C10),"")</f>
        <v/>
      </c>
      <c r="W10" s="125">
        <f>IFERROR(IF(OR(C10="",L10=0),"",L10*C10),"")</f>
        <v/>
      </c>
    </row>
    <row r="11"/>
    <row r="12" ht="15" customHeight="1" s="103">
      <c r="A12" s="142" t="inlineStr">
        <is>
          <t>── January–February 2026  ·  Sport OS: 6c+  ·  RP target: 7a ──</t>
        </is>
      </c>
      <c r="B12" s="109" t="n"/>
      <c r="C12" s="109" t="n"/>
      <c r="D12" s="109" t="n"/>
      <c r="E12" s="109" t="n"/>
      <c r="F12" s="109" t="n"/>
      <c r="G12" s="109" t="n"/>
      <c r="H12" s="109" t="n"/>
      <c r="I12" s="109" t="n"/>
      <c r="J12" s="109" t="n"/>
      <c r="K12" s="109" t="n"/>
      <c r="L12" s="109" t="n"/>
      <c r="M12" s="109" t="n"/>
      <c r="N12" s="109" t="n"/>
      <c r="O12" s="109" t="n"/>
      <c r="P12" s="109" t="n"/>
      <c r="Q12" s="109" t="n"/>
      <c r="R12" s="109" t="n"/>
      <c r="S12" s="109" t="n"/>
      <c r="T12" s="109" t="n"/>
      <c r="U12" s="109" t="n"/>
      <c r="V12" s="109" t="n"/>
      <c r="W12" s="110" t="n"/>
    </row>
    <row r="13" ht="15" customHeight="1" s="103">
      <c r="A13" s="158" t="n">
        <v>46030</v>
      </c>
      <c r="B13" s="144" t="inlineStr">
        <is>
          <t>Neoliet (Outdoor)</t>
        </is>
      </c>
      <c r="C13" s="145">
        <f>IFERROR(INDEX('🧗 Climbing Log'!$B$75:$B$80,MATCH(B13,'🧗 Climbing Log'!$A$75:$A$80,0)),"")</f>
        <v/>
      </c>
      <c r="D13" s="146" t="n">
        <v>120</v>
      </c>
      <c r="E13" s="147" t="n">
        <v>2</v>
      </c>
      <c r="F13" s="147" t="n">
        <v>4</v>
      </c>
      <c r="G13" s="147" t="n">
        <v>3</v>
      </c>
      <c r="H13" s="147" t="n">
        <v>5</v>
      </c>
      <c r="I13" s="146" t="n"/>
      <c r="J13" s="146" t="n"/>
      <c r="K13" s="146" t="n"/>
      <c r="L13" s="146" t="n"/>
      <c r="M13" s="148">
        <f>IFERROR(SUM(E13:L13),0)</f>
        <v/>
      </c>
      <c r="N13" s="148">
        <f>IFERROR(IF(OR(C13="",M13=0),"",M13*C13),"")</f>
        <v/>
      </c>
      <c r="O13" s="149" t="inlineStr">
        <is>
          <t>Wk1 – Neoliet Outdoor, 20m, base building</t>
        </is>
      </c>
      <c r="P13" s="150">
        <f>IFERROR(IF(OR(C13="",E13=0),"",E13*C13),"")</f>
        <v/>
      </c>
      <c r="Q13" s="150">
        <f>IFERROR(IF(OR(C13="",F13=0),"",F13*C13),"")</f>
        <v/>
      </c>
      <c r="R13" s="150">
        <f>IFERROR(IF(OR(C13="",G13=0),"",G13*C13),"")</f>
        <v/>
      </c>
      <c r="S13" s="150">
        <f>IFERROR(IF(OR(C13="",H13=0),"",H13*C13),"")</f>
        <v/>
      </c>
      <c r="T13" s="150">
        <f>IFERROR(IF(OR(C13="",I13=0),"",I13*C13),"")</f>
        <v/>
      </c>
      <c r="U13" s="150">
        <f>IFERROR(IF(OR(C13="",J13=0),"",J13*C13),"")</f>
        <v/>
      </c>
      <c r="V13" s="150">
        <f>IFERROR(IF(OR(C13="",K13=0),"",K13*C13),"")</f>
        <v/>
      </c>
      <c r="W13" s="150">
        <f>IFERROR(IF(OR(C13="",L13=0),"",L13*C13),"")</f>
        <v/>
      </c>
    </row>
    <row r="14" ht="15" customHeight="1" s="103">
      <c r="A14" s="159" t="n">
        <v>46035</v>
      </c>
      <c r="B14" s="144" t="inlineStr">
        <is>
          <t>Sterk</t>
        </is>
      </c>
      <c r="C14" s="145">
        <f>IFERROR(INDEX('🧗 Climbing Log'!$B$75:$B$80,MATCH(B14,'🧗 Climbing Log'!$A$75:$A$80,0)),"")</f>
        <v/>
      </c>
      <c r="D14" s="152" t="n">
        <v>120</v>
      </c>
      <c r="E14" s="147" t="n">
        <v>2</v>
      </c>
      <c r="F14" s="147" t="n">
        <v>2</v>
      </c>
      <c r="G14" s="147" t="n">
        <v>2</v>
      </c>
      <c r="H14" s="147" t="n">
        <v>2</v>
      </c>
      <c r="I14" s="152" t="n"/>
      <c r="J14" s="152" t="n"/>
      <c r="K14" s="152" t="n"/>
      <c r="L14" s="152" t="n"/>
      <c r="M14" s="148">
        <f>IFERROR(SUM(E14:L14),0)</f>
        <v/>
      </c>
      <c r="N14" s="148">
        <f>IFERROR(IF(OR(C14="",M14=0),"",M14*C14),"")</f>
        <v/>
      </c>
      <c r="O14" s="153" t="inlineStr">
        <is>
          <t>Wk2 S1 – Sterk bouldering</t>
        </is>
      </c>
      <c r="P14" s="150">
        <f>IFERROR(IF(OR(C14="",E14=0),"",E14*C14),"")</f>
        <v/>
      </c>
      <c r="Q14" s="150">
        <f>IFERROR(IF(OR(C14="",F14=0),"",F14*C14),"")</f>
        <v/>
      </c>
      <c r="R14" s="150">
        <f>IFERROR(IF(OR(C14="",G14=0),"",G14*C14),"")</f>
        <v/>
      </c>
      <c r="S14" s="150">
        <f>IFERROR(IF(OR(C14="",H14=0),"",H14*C14),"")</f>
        <v/>
      </c>
      <c r="T14" s="150">
        <f>IFERROR(IF(OR(C14="",I14=0),"",I14*C14),"")</f>
        <v/>
      </c>
      <c r="U14" s="150">
        <f>IFERROR(IF(OR(C14="",J14=0),"",J14*C14),"")</f>
        <v/>
      </c>
      <c r="V14" s="150">
        <f>IFERROR(IF(OR(C14="",K14=0),"",K14*C14),"")</f>
        <v/>
      </c>
      <c r="W14" s="150">
        <f>IFERROR(IF(OR(C14="",L14=0),"",L14*C14),"")</f>
        <v/>
      </c>
    </row>
    <row r="15" ht="15" customHeight="1" s="103">
      <c r="A15" s="158" t="n">
        <v>46038</v>
      </c>
      <c r="B15" s="144" t="inlineStr">
        <is>
          <t>Sterk</t>
        </is>
      </c>
      <c r="C15" s="145">
        <f>IFERROR(INDEX('🧗 Climbing Log'!$B$75:$B$80,MATCH(B15,'🧗 Climbing Log'!$A$75:$A$80,0)),"")</f>
        <v/>
      </c>
      <c r="D15" s="146" t="n">
        <v>105</v>
      </c>
      <c r="E15" s="147" t="n">
        <v>4</v>
      </c>
      <c r="F15" s="147" t="n">
        <v>5</v>
      </c>
      <c r="G15" s="147" t="n">
        <v>4</v>
      </c>
      <c r="H15" s="147" t="n">
        <v>1</v>
      </c>
      <c r="I15" s="146" t="n"/>
      <c r="J15" s="146" t="n"/>
      <c r="K15" s="146" t="n"/>
      <c r="L15" s="146" t="n"/>
      <c r="M15" s="148">
        <f>IFERROR(SUM(E15:L15),0)</f>
        <v/>
      </c>
      <c r="N15" s="148">
        <f>IFERROR(IF(OR(C15="",M15=0),"",M15*C15),"")</f>
        <v/>
      </c>
      <c r="O15" s="149" t="inlineStr">
        <is>
          <t>Wk2 S2 – Sterk bouldering</t>
        </is>
      </c>
      <c r="P15" s="150">
        <f>IFERROR(IF(OR(C15="",E15=0),"",E15*C15),"")</f>
        <v/>
      </c>
      <c r="Q15" s="150">
        <f>IFERROR(IF(OR(C15="",F15=0),"",F15*C15),"")</f>
        <v/>
      </c>
      <c r="R15" s="150">
        <f>IFERROR(IF(OR(C15="",G15=0),"",G15*C15),"")</f>
        <v/>
      </c>
      <c r="S15" s="150">
        <f>IFERROR(IF(OR(C15="",H15=0),"",H15*C15),"")</f>
        <v/>
      </c>
      <c r="T15" s="150">
        <f>IFERROR(IF(OR(C15="",I15=0),"",I15*C15),"")</f>
        <v/>
      </c>
      <c r="U15" s="150">
        <f>IFERROR(IF(OR(C15="",J15=0),"",J15*C15),"")</f>
        <v/>
      </c>
      <c r="V15" s="150">
        <f>IFERROR(IF(OR(C15="",K15=0),"",K15*C15),"")</f>
        <v/>
      </c>
      <c r="W15" s="150">
        <f>IFERROR(IF(OR(C15="",L15=0),"",L15*C15),"")</f>
        <v/>
      </c>
    </row>
    <row r="16" ht="15" customHeight="1" s="103">
      <c r="A16" s="159" t="n">
        <v>46042</v>
      </c>
      <c r="B16" s="144" t="inlineStr">
        <is>
          <t>Neoliet</t>
        </is>
      </c>
      <c r="C16" s="145">
        <f>IFERROR(INDEX('🧗 Climbing Log'!$B$75:$B$80,MATCH(B16,'🧗 Climbing Log'!$A$75:$A$80,0)),"")</f>
        <v/>
      </c>
      <c r="D16" s="152" t="n">
        <v>105</v>
      </c>
      <c r="E16" s="147" t="n">
        <v>2</v>
      </c>
      <c r="F16" s="147" t="n">
        <v>3</v>
      </c>
      <c r="G16" s="147" t="n">
        <v>6</v>
      </c>
      <c r="H16" s="147" t="n">
        <v>6</v>
      </c>
      <c r="I16" s="152" t="n"/>
      <c r="J16" s="152" t="n"/>
      <c r="K16" s="152" t="n"/>
      <c r="L16" s="152" t="n"/>
      <c r="M16" s="148">
        <f>IFERROR(SUM(E16:L16),0)</f>
        <v/>
      </c>
      <c r="N16" s="148">
        <f>IFERROR(IF(OR(C16="",M16=0),"",M16*C16),"")</f>
        <v/>
      </c>
      <c r="O16" s="153" t="inlineStr">
        <is>
          <t>Wk3 S1 – Neoliet 13m</t>
        </is>
      </c>
      <c r="P16" s="150">
        <f>IFERROR(IF(OR(C16="",E16=0),"",E16*C16),"")</f>
        <v/>
      </c>
      <c r="Q16" s="150">
        <f>IFERROR(IF(OR(C16="",F16=0),"",F16*C16),"")</f>
        <v/>
      </c>
      <c r="R16" s="150">
        <f>IFERROR(IF(OR(C16="",G16=0),"",G16*C16),"")</f>
        <v/>
      </c>
      <c r="S16" s="150">
        <f>IFERROR(IF(OR(C16="",H16=0),"",H16*C16),"")</f>
        <v/>
      </c>
      <c r="T16" s="150">
        <f>IFERROR(IF(OR(C16="",I16=0),"",I16*C16),"")</f>
        <v/>
      </c>
      <c r="U16" s="150">
        <f>IFERROR(IF(OR(C16="",J16=0),"",J16*C16),"")</f>
        <v/>
      </c>
      <c r="V16" s="150">
        <f>IFERROR(IF(OR(C16="",K16=0),"",K16*C16),"")</f>
        <v/>
      </c>
      <c r="W16" s="150">
        <f>IFERROR(IF(OR(C16="",L16=0),"",L16*C16),"")</f>
        <v/>
      </c>
    </row>
    <row r="17" ht="15" customHeight="1" s="103">
      <c r="A17" s="158" t="n">
        <v>46044</v>
      </c>
      <c r="B17" s="144" t="inlineStr">
        <is>
          <t>Neoliet</t>
        </is>
      </c>
      <c r="C17" s="145">
        <f>IFERROR(INDEX('🧗 Climbing Log'!$B$75:$B$80,MATCH(B17,'🧗 Climbing Log'!$A$75:$A$80,0)),"")</f>
        <v/>
      </c>
      <c r="D17" s="146" t="n">
        <v>150</v>
      </c>
      <c r="E17" s="147" t="n">
        <v>3</v>
      </c>
      <c r="F17" s="147" t="n">
        <v>3</v>
      </c>
      <c r="G17" s="147" t="n">
        <v>2</v>
      </c>
      <c r="H17" s="147" t="n">
        <v>11</v>
      </c>
      <c r="I17" s="147" t="n">
        <v>1</v>
      </c>
      <c r="J17" s="146" t="n"/>
      <c r="K17" s="146" t="n"/>
      <c r="L17" s="146" t="n"/>
      <c r="M17" s="148">
        <f>IFERROR(SUM(E17:L17),0)</f>
        <v/>
      </c>
      <c r="N17" s="148">
        <f>IFERROR(IF(OR(C17="",M17=0),"",M17*C17),"")</f>
        <v/>
      </c>
      <c r="O17" s="149" t="inlineStr">
        <is>
          <t>Wk3 S2 – Neoliet 13m, pushing 6b</t>
        </is>
      </c>
      <c r="P17" s="150">
        <f>IFERROR(IF(OR(C17="",E17=0),"",E17*C17),"")</f>
        <v/>
      </c>
      <c r="Q17" s="150">
        <f>IFERROR(IF(OR(C17="",F17=0),"",F17*C17),"")</f>
        <v/>
      </c>
      <c r="R17" s="150">
        <f>IFERROR(IF(OR(C17="",G17=0),"",G17*C17),"")</f>
        <v/>
      </c>
      <c r="S17" s="150">
        <f>IFERROR(IF(OR(C17="",H17=0),"",H17*C17),"")</f>
        <v/>
      </c>
      <c r="T17" s="150">
        <f>IFERROR(IF(OR(C17="",I17=0),"",I17*C17),"")</f>
        <v/>
      </c>
      <c r="U17" s="150">
        <f>IFERROR(IF(OR(C17="",J17=0),"",J17*C17),"")</f>
        <v/>
      </c>
      <c r="V17" s="150">
        <f>IFERROR(IF(OR(C17="",K17=0),"",K17*C17),"")</f>
        <v/>
      </c>
      <c r="W17" s="150">
        <f>IFERROR(IF(OR(C17="",L17=0),"",L17*C17),"")</f>
        <v/>
      </c>
    </row>
    <row r="18" ht="15" customHeight="1" s="103">
      <c r="A18" s="159" t="n">
        <v>46046</v>
      </c>
      <c r="B18" s="144" t="inlineStr">
        <is>
          <t>Sterk</t>
        </is>
      </c>
      <c r="C18" s="145">
        <f>IFERROR(INDEX('🧗 Climbing Log'!$B$75:$B$80,MATCH(B18,'🧗 Climbing Log'!$A$75:$A$80,0)),"")</f>
        <v/>
      </c>
      <c r="D18" s="152" t="n">
        <v>60</v>
      </c>
      <c r="E18" s="147" t="n">
        <v>6</v>
      </c>
      <c r="F18" s="147" t="n">
        <v>6</v>
      </c>
      <c r="G18" s="147" t="n">
        <v>6</v>
      </c>
      <c r="H18" s="147" t="n">
        <v>2</v>
      </c>
      <c r="I18" s="152" t="n"/>
      <c r="J18" s="152" t="n"/>
      <c r="K18" s="152" t="n"/>
      <c r="L18" s="152" t="n"/>
      <c r="M18" s="148">
        <f>IFERROR(SUM(E18:L18),0)</f>
        <v/>
      </c>
      <c r="N18" s="148">
        <f>IFERROR(IF(OR(C18="",M18=0),"",M18*C18),"")</f>
        <v/>
      </c>
      <c r="O18" s="153" t="inlineStr">
        <is>
          <t>Wk3 S3 – Sterk bouldering</t>
        </is>
      </c>
      <c r="P18" s="150">
        <f>IFERROR(IF(OR(C18="",E18=0),"",E18*C18),"")</f>
        <v/>
      </c>
      <c r="Q18" s="150">
        <f>IFERROR(IF(OR(C18="",F18=0),"",F18*C18),"")</f>
        <v/>
      </c>
      <c r="R18" s="150">
        <f>IFERROR(IF(OR(C18="",G18=0),"",G18*C18),"")</f>
        <v/>
      </c>
      <c r="S18" s="150">
        <f>IFERROR(IF(OR(C18="",H18=0),"",H18*C18),"")</f>
        <v/>
      </c>
      <c r="T18" s="150">
        <f>IFERROR(IF(OR(C18="",I18=0),"",I18*C18),"")</f>
        <v/>
      </c>
      <c r="U18" s="150">
        <f>IFERROR(IF(OR(C18="",J18=0),"",J18*C18),"")</f>
        <v/>
      </c>
      <c r="V18" s="150">
        <f>IFERROR(IF(OR(C18="",K18=0),"",K18*C18),"")</f>
        <v/>
      </c>
      <c r="W18" s="150">
        <f>IFERROR(IF(OR(C18="",L18=0),"",L18*C18),"")</f>
        <v/>
      </c>
    </row>
    <row r="19" ht="15" customHeight="1" s="103">
      <c r="A19" s="158" t="n">
        <v>46049</v>
      </c>
      <c r="B19" s="144" t="inlineStr">
        <is>
          <t>Neoliet</t>
        </is>
      </c>
      <c r="C19" s="145">
        <f>IFERROR(INDEX('🧗 Climbing Log'!$B$75:$B$80,MATCH(B19,'🧗 Climbing Log'!$A$75:$A$80,0)),"")</f>
        <v/>
      </c>
      <c r="D19" s="146" t="n">
        <v>120</v>
      </c>
      <c r="E19" s="147" t="n">
        <v>2</v>
      </c>
      <c r="F19" s="147" t="n">
        <v>4</v>
      </c>
      <c r="G19" s="147" t="n">
        <v>5</v>
      </c>
      <c r="H19" s="147" t="n">
        <v>5</v>
      </c>
      <c r="I19" s="147" t="n">
        <v>4</v>
      </c>
      <c r="J19" s="146" t="n"/>
      <c r="K19" s="146" t="n"/>
      <c r="L19" s="146" t="n"/>
      <c r="M19" s="148">
        <f>IFERROR(SUM(E19:L19),0)</f>
        <v/>
      </c>
      <c r="N19" s="148">
        <f>IFERROR(IF(OR(C19="",M19=0),"",M19*C19),"")</f>
        <v/>
      </c>
      <c r="O19" s="149" t="inlineStr">
        <is>
          <t>Wk4 – Neoliet 13m</t>
        </is>
      </c>
      <c r="P19" s="150">
        <f>IFERROR(IF(OR(C19="",E19=0),"",E19*C19),"")</f>
        <v/>
      </c>
      <c r="Q19" s="150">
        <f>IFERROR(IF(OR(C19="",F19=0),"",F19*C19),"")</f>
        <v/>
      </c>
      <c r="R19" s="150">
        <f>IFERROR(IF(OR(C19="",G19=0),"",G19*C19),"")</f>
        <v/>
      </c>
      <c r="S19" s="150">
        <f>IFERROR(IF(OR(C19="",H19=0),"",H19*C19),"")</f>
        <v/>
      </c>
      <c r="T19" s="150">
        <f>IFERROR(IF(OR(C19="",I19=0),"",I19*C19),"")</f>
        <v/>
      </c>
      <c r="U19" s="150">
        <f>IFERROR(IF(OR(C19="",J19=0),"",J19*C19),"")</f>
        <v/>
      </c>
      <c r="V19" s="150">
        <f>IFERROR(IF(OR(C19="",K19=0),"",K19*C19),"")</f>
        <v/>
      </c>
      <c r="W19" s="150">
        <f>IFERROR(IF(OR(C19="",L19=0),"",L19*C19),"")</f>
        <v/>
      </c>
    </row>
    <row r="20" ht="15" customHeight="1" s="103">
      <c r="A20" s="84" t="inlineStr">
        <is>
          <t>↓  LOG YOUR NEXT SESSION HERE — select gym from dropdown, fill yellow cells  ↓</t>
        </is>
      </c>
      <c r="B20" s="109" t="n"/>
      <c r="C20" s="109" t="n"/>
      <c r="D20" s="109" t="n"/>
      <c r="E20" s="109" t="n"/>
      <c r="F20" s="109" t="n"/>
      <c r="G20" s="109" t="n"/>
      <c r="H20" s="109" t="n"/>
      <c r="I20" s="109" t="n"/>
      <c r="J20" s="109" t="n"/>
      <c r="K20" s="109" t="n"/>
      <c r="L20" s="109" t="n"/>
      <c r="M20" s="109" t="n"/>
      <c r="N20" s="109" t="n"/>
      <c r="O20" s="109" t="n"/>
      <c r="P20" s="109" t="n"/>
      <c r="Q20" s="109" t="n"/>
      <c r="R20" s="109" t="n"/>
      <c r="S20" s="109" t="n"/>
      <c r="T20" s="109" t="n"/>
      <c r="U20" s="109" t="n"/>
      <c r="V20" s="109" t="n"/>
      <c r="W20" s="110" t="n"/>
    </row>
    <row r="21" ht="15" customHeight="1" s="103">
      <c r="A21" s="127" t="n"/>
      <c r="B21" s="86" t="n"/>
      <c r="C21" s="125">
        <f>IFERROR(INDEX('🧗 Climbing Log'!$B$75:$B$80,MATCH(B13,'🧗 Climbing Log'!$A$75:$A$80,0)),"")</f>
        <v/>
      </c>
      <c r="D21" s="87" t="n"/>
      <c r="E21" s="87" t="n"/>
      <c r="F21" s="87" t="n"/>
      <c r="G21" s="87" t="n"/>
      <c r="H21" s="87" t="n"/>
      <c r="I21" s="87" t="n"/>
      <c r="J21" s="87" t="n"/>
      <c r="K21" s="87" t="n"/>
      <c r="L21" s="87" t="n"/>
      <c r="M21" s="77">
        <f>IFERROR(SUM(E13:L13),0)</f>
        <v/>
      </c>
      <c r="N21" s="78">
        <f>IFERROR(IF(OR(C13="",M13=0),"",M13*C13),"")</f>
        <v/>
      </c>
      <c r="O21" s="86" t="n"/>
      <c r="P21" s="125">
        <f>IFERROR(IF(OR(C13="",E13=0),"",E13*C13),"")</f>
        <v/>
      </c>
      <c r="Q21" s="125">
        <f>IFERROR(IF(OR(C13="",F13=0),"",F13*C13),"")</f>
        <v/>
      </c>
      <c r="R21" s="125">
        <f>IFERROR(IF(OR(C13="",G13=0),"",G13*C13),"")</f>
        <v/>
      </c>
      <c r="S21" s="125">
        <f>IFERROR(IF(OR(C13="",H13=0),"",H13*C13),"")</f>
        <v/>
      </c>
      <c r="T21" s="125">
        <f>IFERROR(IF(OR(C13="",I13=0),"",I13*C13),"")</f>
        <v/>
      </c>
      <c r="U21" s="125">
        <f>IFERROR(IF(OR(C13="",J13=0),"",J13*C13),"")</f>
        <v/>
      </c>
      <c r="V21" s="125">
        <f>IFERROR(IF(OR(C13="",K13=0),"",K13*C13),"")</f>
        <v/>
      </c>
      <c r="W21" s="125">
        <f>IFERROR(IF(OR(C13="",L13=0),"",L13*C13),"")</f>
        <v/>
      </c>
    </row>
    <row r="22" ht="15" customHeight="1" s="103">
      <c r="A22" s="127" t="n"/>
      <c r="B22" s="86" t="n"/>
      <c r="C22" s="125">
        <f>IFERROR(INDEX('🧗 Climbing Log'!$B$75:$B$80,MATCH(B14,'🧗 Climbing Log'!$A$75:$A$80,0)),"")</f>
        <v/>
      </c>
      <c r="D22" s="87" t="n"/>
      <c r="E22" s="87" t="n"/>
      <c r="F22" s="87" t="n"/>
      <c r="G22" s="87" t="n"/>
      <c r="H22" s="87" t="n"/>
      <c r="I22" s="87" t="n"/>
      <c r="J22" s="87" t="n"/>
      <c r="K22" s="87" t="n"/>
      <c r="L22" s="87" t="n"/>
      <c r="M22" s="77">
        <f>IFERROR(SUM(E14:L14),0)</f>
        <v/>
      </c>
      <c r="N22" s="78">
        <f>IFERROR(IF(OR(C14="",M14=0),"",M14*C14),"")</f>
        <v/>
      </c>
      <c r="O22" s="86" t="n"/>
      <c r="P22" s="125">
        <f>IFERROR(IF(OR(C14="",E14=0),"",E14*C14),"")</f>
        <v/>
      </c>
      <c r="Q22" s="125">
        <f>IFERROR(IF(OR(C14="",F14=0),"",F14*C14),"")</f>
        <v/>
      </c>
      <c r="R22" s="125">
        <f>IFERROR(IF(OR(C14="",G14=0),"",G14*C14),"")</f>
        <v/>
      </c>
      <c r="S22" s="125">
        <f>IFERROR(IF(OR(C14="",H14=0),"",H14*C14),"")</f>
        <v/>
      </c>
      <c r="T22" s="125">
        <f>IFERROR(IF(OR(C14="",I14=0),"",I14*C14),"")</f>
        <v/>
      </c>
      <c r="U22" s="125">
        <f>IFERROR(IF(OR(C14="",J14=0),"",J14*C14),"")</f>
        <v/>
      </c>
      <c r="V22" s="125">
        <f>IFERROR(IF(OR(C14="",K14=0),"",K14*C14),"")</f>
        <v/>
      </c>
      <c r="W22" s="125">
        <f>IFERROR(IF(OR(C14="",L14=0),"",L14*C14),"")</f>
        <v/>
      </c>
    </row>
    <row r="23" ht="15" customHeight="1" s="103">
      <c r="A23" s="127" t="n"/>
      <c r="B23" s="86" t="n"/>
      <c r="C23" s="125">
        <f>IFERROR(INDEX('🧗 Climbing Log'!$B$75:$B$80,MATCH(B15,'🧗 Climbing Log'!$A$75:$A$80,0)),"")</f>
        <v/>
      </c>
      <c r="D23" s="87" t="n"/>
      <c r="E23" s="87" t="n"/>
      <c r="F23" s="87" t="n"/>
      <c r="G23" s="87" t="n"/>
      <c r="H23" s="87" t="n"/>
      <c r="I23" s="87" t="n"/>
      <c r="J23" s="87" t="n"/>
      <c r="K23" s="87" t="n"/>
      <c r="L23" s="87" t="n"/>
      <c r="M23" s="77">
        <f>IFERROR(SUM(E15:L15),0)</f>
        <v/>
      </c>
      <c r="N23" s="78">
        <f>IFERROR(IF(OR(C15="",M15=0),"",M15*C15),"")</f>
        <v/>
      </c>
      <c r="O23" s="86" t="n"/>
      <c r="P23" s="125">
        <f>IFERROR(IF(OR(C15="",E15=0),"",E15*C15),"")</f>
        <v/>
      </c>
      <c r="Q23" s="125">
        <f>IFERROR(IF(OR(C15="",F15=0),"",F15*C15),"")</f>
        <v/>
      </c>
      <c r="R23" s="125">
        <f>IFERROR(IF(OR(C15="",G15=0),"",G15*C15),"")</f>
        <v/>
      </c>
      <c r="S23" s="125">
        <f>IFERROR(IF(OR(C15="",H15=0),"",H15*C15),"")</f>
        <v/>
      </c>
      <c r="T23" s="125">
        <f>IFERROR(IF(OR(C15="",I15=0),"",I15*C15),"")</f>
        <v/>
      </c>
      <c r="U23" s="125">
        <f>IFERROR(IF(OR(C15="",J15=0),"",J15*C15),"")</f>
        <v/>
      </c>
      <c r="V23" s="125">
        <f>IFERROR(IF(OR(C15="",K15=0),"",K15*C15),"")</f>
        <v/>
      </c>
      <c r="W23" s="125">
        <f>IFERROR(IF(OR(C15="",L15=0),"",L15*C15),"")</f>
        <v/>
      </c>
    </row>
    <row r="24" ht="15" customHeight="1" s="103">
      <c r="A24" s="127" t="n"/>
      <c r="B24" s="86" t="n"/>
      <c r="C24" s="125">
        <f>IFERROR(INDEX('🧗 Climbing Log'!$B$75:$B$80,MATCH(B16,'🧗 Climbing Log'!$A$75:$A$80,0)),"")</f>
        <v/>
      </c>
      <c r="D24" s="87" t="n"/>
      <c r="E24" s="87" t="n"/>
      <c r="F24" s="87" t="n"/>
      <c r="G24" s="87" t="n"/>
      <c r="H24" s="87" t="n"/>
      <c r="I24" s="87" t="n"/>
      <c r="J24" s="87" t="n"/>
      <c r="K24" s="87" t="n"/>
      <c r="L24" s="87" t="n"/>
      <c r="M24" s="77">
        <f>IFERROR(SUM(E16:L16),0)</f>
        <v/>
      </c>
      <c r="N24" s="78">
        <f>IFERROR(IF(OR(C16="",M16=0),"",M16*C16),"")</f>
        <v/>
      </c>
      <c r="O24" s="86" t="n"/>
      <c r="P24" s="125">
        <f>IFERROR(IF(OR(C16="",E16=0),"",E16*C16),"")</f>
        <v/>
      </c>
      <c r="Q24" s="125">
        <f>IFERROR(IF(OR(C16="",F16=0),"",F16*C16),"")</f>
        <v/>
      </c>
      <c r="R24" s="125">
        <f>IFERROR(IF(OR(C16="",G16=0),"",G16*C16),"")</f>
        <v/>
      </c>
      <c r="S24" s="125">
        <f>IFERROR(IF(OR(C16="",H16=0),"",H16*C16),"")</f>
        <v/>
      </c>
      <c r="T24" s="125">
        <f>IFERROR(IF(OR(C16="",I16=0),"",I16*C16),"")</f>
        <v/>
      </c>
      <c r="U24" s="125">
        <f>IFERROR(IF(OR(C16="",J16=0),"",J16*C16),"")</f>
        <v/>
      </c>
      <c r="V24" s="125">
        <f>IFERROR(IF(OR(C16="",K16=0),"",K16*C16),"")</f>
        <v/>
      </c>
      <c r="W24" s="125">
        <f>IFERROR(IF(OR(C16="",L16=0),"",L16*C16),"")</f>
        <v/>
      </c>
    </row>
    <row r="25" ht="15" customHeight="1" s="103">
      <c r="A25" s="127" t="n"/>
      <c r="B25" s="86" t="n"/>
      <c r="C25" s="125">
        <f>IFERROR(INDEX('🧗 Climbing Log'!$B$75:$B$80,MATCH(B17,'🧗 Climbing Log'!$A$75:$A$80,0)),"")</f>
        <v/>
      </c>
      <c r="D25" s="87" t="n"/>
      <c r="E25" s="87" t="n"/>
      <c r="F25" s="87" t="n"/>
      <c r="G25" s="87" t="n"/>
      <c r="H25" s="87" t="n"/>
      <c r="I25" s="87" t="n"/>
      <c r="J25" s="87" t="n"/>
      <c r="K25" s="87" t="n"/>
      <c r="L25" s="87" t="n"/>
      <c r="M25" s="77">
        <f>IFERROR(SUM(E17:L17),0)</f>
        <v/>
      </c>
      <c r="N25" s="78">
        <f>IFERROR(IF(OR(C17="",M17=0),"",M17*C17),"")</f>
        <v/>
      </c>
      <c r="O25" s="86" t="n"/>
      <c r="P25" s="125">
        <f>IFERROR(IF(OR(C17="",E17=0),"",E17*C17),"")</f>
        <v/>
      </c>
      <c r="Q25" s="125">
        <f>IFERROR(IF(OR(C17="",F17=0),"",F17*C17),"")</f>
        <v/>
      </c>
      <c r="R25" s="125">
        <f>IFERROR(IF(OR(C17="",G17=0),"",G17*C17),"")</f>
        <v/>
      </c>
      <c r="S25" s="125">
        <f>IFERROR(IF(OR(C17="",H17=0),"",H17*C17),"")</f>
        <v/>
      </c>
      <c r="T25" s="125">
        <f>IFERROR(IF(OR(C17="",I17=0),"",I17*C17),"")</f>
        <v/>
      </c>
      <c r="U25" s="125">
        <f>IFERROR(IF(OR(C17="",J17=0),"",J17*C17),"")</f>
        <v/>
      </c>
      <c r="V25" s="125">
        <f>IFERROR(IF(OR(C17="",K17=0),"",K17*C17),"")</f>
        <v/>
      </c>
      <c r="W25" s="125">
        <f>IFERROR(IF(OR(C17="",L17=0),"",L17*C17),"")</f>
        <v/>
      </c>
    </row>
    <row r="26" ht="15" customHeight="1" s="103">
      <c r="A26" s="127" t="n"/>
      <c r="B26" s="86" t="n"/>
      <c r="C26" s="125">
        <f>IFERROR(INDEX('🧗 Climbing Log'!$B$75:$B$80,MATCH(B18,'🧗 Climbing Log'!$A$75:$A$80,0)),"")</f>
        <v/>
      </c>
      <c r="D26" s="87" t="n"/>
      <c r="E26" s="87" t="n"/>
      <c r="F26" s="87" t="n"/>
      <c r="G26" s="87" t="n"/>
      <c r="H26" s="87" t="n"/>
      <c r="I26" s="87" t="n"/>
      <c r="J26" s="87" t="n"/>
      <c r="K26" s="87" t="n"/>
      <c r="L26" s="87" t="n"/>
      <c r="M26" s="77">
        <f>IFERROR(SUM(E18:L18),0)</f>
        <v/>
      </c>
      <c r="N26" s="78">
        <f>IFERROR(IF(OR(C18="",M18=0),"",M18*C18),"")</f>
        <v/>
      </c>
      <c r="O26" s="86" t="n"/>
      <c r="P26" s="125">
        <f>IFERROR(IF(OR(C18="",E18=0),"",E18*C18),"")</f>
        <v/>
      </c>
      <c r="Q26" s="125">
        <f>IFERROR(IF(OR(C18="",F18=0),"",F18*C18),"")</f>
        <v/>
      </c>
      <c r="R26" s="125">
        <f>IFERROR(IF(OR(C18="",G18=0),"",G18*C18),"")</f>
        <v/>
      </c>
      <c r="S26" s="125">
        <f>IFERROR(IF(OR(C18="",H18=0),"",H18*C18),"")</f>
        <v/>
      </c>
      <c r="T26" s="125">
        <f>IFERROR(IF(OR(C18="",I18=0),"",I18*C18),"")</f>
        <v/>
      </c>
      <c r="U26" s="125">
        <f>IFERROR(IF(OR(C18="",J18=0),"",J18*C18),"")</f>
        <v/>
      </c>
      <c r="V26" s="125">
        <f>IFERROR(IF(OR(C18="",K18=0),"",K18*C18),"")</f>
        <v/>
      </c>
      <c r="W26" s="125">
        <f>IFERROR(IF(OR(C18="",L18=0),"",L18*C18),"")</f>
        <v/>
      </c>
    </row>
    <row r="27" ht="15" customHeight="1" s="103">
      <c r="A27" s="127" t="n"/>
      <c r="B27" s="86" t="n"/>
      <c r="C27" s="125">
        <f>IFERROR(INDEX('🧗 Climbing Log'!$B$75:$B$80,MATCH(B19,'🧗 Climbing Log'!$A$75:$A$80,0)),"")</f>
        <v/>
      </c>
      <c r="D27" s="87" t="n"/>
      <c r="E27" s="87" t="n"/>
      <c r="F27" s="87" t="n"/>
      <c r="G27" s="87" t="n"/>
      <c r="H27" s="87" t="n"/>
      <c r="I27" s="87" t="n"/>
      <c r="J27" s="87" t="n"/>
      <c r="K27" s="87" t="n"/>
      <c r="L27" s="87" t="n"/>
      <c r="M27" s="77">
        <f>IFERROR(SUM(E19:L19),0)</f>
        <v/>
      </c>
      <c r="N27" s="78">
        <f>IFERROR(IF(OR(C19="",M19=0),"",M19*C19),"")</f>
        <v/>
      </c>
      <c r="O27" s="86" t="n"/>
      <c r="P27" s="125">
        <f>IFERROR(IF(OR(C19="",E19=0),"",E19*C19),"")</f>
        <v/>
      </c>
      <c r="Q27" s="125">
        <f>IFERROR(IF(OR(C19="",F19=0),"",F19*C19),"")</f>
        <v/>
      </c>
      <c r="R27" s="125">
        <f>IFERROR(IF(OR(C19="",G19=0),"",G19*C19),"")</f>
        <v/>
      </c>
      <c r="S27" s="125">
        <f>IFERROR(IF(OR(C19="",H19=0),"",H19*C19),"")</f>
        <v/>
      </c>
      <c r="T27" s="125">
        <f>IFERROR(IF(OR(C19="",I19=0),"",I19*C19),"")</f>
        <v/>
      </c>
      <c r="U27" s="125">
        <f>IFERROR(IF(OR(C19="",J19=0),"",J19*C19),"")</f>
        <v/>
      </c>
      <c r="V27" s="125">
        <f>IFERROR(IF(OR(C19="",K19=0),"",K19*C19),"")</f>
        <v/>
      </c>
      <c r="W27" s="125">
        <f>IFERROR(IF(OR(C19="",L19=0),"",L19*C19),"")</f>
        <v/>
      </c>
    </row>
    <row r="28" ht="15" customHeight="1" s="103">
      <c r="A28" s="127" t="n"/>
      <c r="B28" s="86" t="n"/>
      <c r="C28" s="125">
        <f>IFERROR(INDEX('🧗 Climbing Log'!$B$75:$B$80,MATCH(B20,'🧗 Climbing Log'!$A$75:$A$80,0)),"")</f>
        <v/>
      </c>
      <c r="D28" s="87" t="n"/>
      <c r="E28" s="87" t="n"/>
      <c r="F28" s="87" t="n"/>
      <c r="G28" s="87" t="n"/>
      <c r="H28" s="87" t="n"/>
      <c r="I28" s="87" t="n"/>
      <c r="J28" s="87" t="n"/>
      <c r="K28" s="87" t="n"/>
      <c r="L28" s="87" t="n"/>
      <c r="M28" s="77">
        <f>IFERROR(SUM(E20:L20),0)</f>
        <v/>
      </c>
      <c r="N28" s="78">
        <f>IFERROR(IF(OR(C20="",M20=0),"",M20*C20),"")</f>
        <v/>
      </c>
      <c r="O28" s="86" t="n"/>
      <c r="P28" s="125">
        <f>IFERROR(IF(OR(C20="",E20=0),"",E20*C20),"")</f>
        <v/>
      </c>
      <c r="Q28" s="125">
        <f>IFERROR(IF(OR(C20="",F20=0),"",F20*C20),"")</f>
        <v/>
      </c>
      <c r="R28" s="125">
        <f>IFERROR(IF(OR(C20="",G20=0),"",G20*C20),"")</f>
        <v/>
      </c>
      <c r="S28" s="125">
        <f>IFERROR(IF(OR(C20="",H20=0),"",H20*C20),"")</f>
        <v/>
      </c>
      <c r="T28" s="125">
        <f>IFERROR(IF(OR(C20="",I20=0),"",I20*C20),"")</f>
        <v/>
      </c>
      <c r="U28" s="125">
        <f>IFERROR(IF(OR(C20="",J20=0),"",J20*C20),"")</f>
        <v/>
      </c>
      <c r="V28" s="125">
        <f>IFERROR(IF(OR(C20="",K20=0),"",K20*C20),"")</f>
        <v/>
      </c>
      <c r="W28" s="125">
        <f>IFERROR(IF(OR(C20="",L20=0),"",L20*C20),"")</f>
        <v/>
      </c>
    </row>
    <row r="29" ht="15" customHeight="1" s="103">
      <c r="A29" s="127" t="n"/>
      <c r="B29" s="86" t="n"/>
      <c r="C29" s="125">
        <f>IFERROR(INDEX('🧗 Climbing Log'!$B$75:$B$80,MATCH(B21,'🧗 Climbing Log'!$A$75:$A$80,0)),"")</f>
        <v/>
      </c>
      <c r="D29" s="87" t="n"/>
      <c r="E29" s="87" t="n"/>
      <c r="F29" s="87" t="n"/>
      <c r="G29" s="87" t="n"/>
      <c r="H29" s="87" t="n"/>
      <c r="I29" s="87" t="n"/>
      <c r="J29" s="87" t="n"/>
      <c r="K29" s="87" t="n"/>
      <c r="L29" s="87" t="n"/>
      <c r="M29" s="77">
        <f>IFERROR(SUM(E21:L21),0)</f>
        <v/>
      </c>
      <c r="N29" s="78">
        <f>IFERROR(IF(OR(C21="",M21=0),"",M21*C21),"")</f>
        <v/>
      </c>
      <c r="O29" s="86" t="n"/>
      <c r="P29" s="125">
        <f>IFERROR(IF(OR(C21="",E21=0),"",E21*C21),"")</f>
        <v/>
      </c>
      <c r="Q29" s="125">
        <f>IFERROR(IF(OR(C21="",F21=0),"",F21*C21),"")</f>
        <v/>
      </c>
      <c r="R29" s="125">
        <f>IFERROR(IF(OR(C21="",G21=0),"",G21*C21),"")</f>
        <v/>
      </c>
      <c r="S29" s="125">
        <f>IFERROR(IF(OR(C21="",H21=0),"",H21*C21),"")</f>
        <v/>
      </c>
      <c r="T29" s="125">
        <f>IFERROR(IF(OR(C21="",I21=0),"",I21*C21),"")</f>
        <v/>
      </c>
      <c r="U29" s="125">
        <f>IFERROR(IF(OR(C21="",J21=0),"",J21*C21),"")</f>
        <v/>
      </c>
      <c r="V29" s="125">
        <f>IFERROR(IF(OR(C21="",K21=0),"",K21*C21),"")</f>
        <v/>
      </c>
      <c r="W29" s="125">
        <f>IFERROR(IF(OR(C21="",L21=0),"",L21*C21),"")</f>
        <v/>
      </c>
    </row>
    <row r="30" ht="15" customHeight="1" s="103">
      <c r="A30" s="127" t="n"/>
      <c r="B30" s="86" t="n"/>
      <c r="C30" s="125">
        <f>IFERROR(INDEX('🧗 Climbing Log'!$B$75:$B$80,MATCH(B22,'🧗 Climbing Log'!$A$75:$A$80,0)),"")</f>
        <v/>
      </c>
      <c r="D30" s="87" t="n"/>
      <c r="E30" s="87" t="n"/>
      <c r="F30" s="87" t="n"/>
      <c r="G30" s="87" t="n"/>
      <c r="H30" s="87" t="n"/>
      <c r="I30" s="87" t="n"/>
      <c r="J30" s="87" t="n"/>
      <c r="K30" s="87" t="n"/>
      <c r="L30" s="87" t="n"/>
      <c r="M30" s="77">
        <f>IFERROR(SUM(E22:L22),0)</f>
        <v/>
      </c>
      <c r="N30" s="78">
        <f>IFERROR(IF(OR(C22="",M22=0),"",M22*C22),"")</f>
        <v/>
      </c>
      <c r="O30" s="86" t="n"/>
      <c r="P30" s="125">
        <f>IFERROR(IF(OR(C22="",E22=0),"",E22*C22),"")</f>
        <v/>
      </c>
      <c r="Q30" s="125">
        <f>IFERROR(IF(OR(C22="",F22=0),"",F22*C22),"")</f>
        <v/>
      </c>
      <c r="R30" s="125">
        <f>IFERROR(IF(OR(C22="",G22=0),"",G22*C22),"")</f>
        <v/>
      </c>
      <c r="S30" s="125">
        <f>IFERROR(IF(OR(C22="",H22=0),"",H22*C22),"")</f>
        <v/>
      </c>
      <c r="T30" s="125">
        <f>IFERROR(IF(OR(C22="",I22=0),"",I22*C22),"")</f>
        <v/>
      </c>
      <c r="U30" s="125">
        <f>IFERROR(IF(OR(C22="",J22=0),"",J22*C22),"")</f>
        <v/>
      </c>
      <c r="V30" s="125">
        <f>IFERROR(IF(OR(C22="",K22=0),"",K22*C22),"")</f>
        <v/>
      </c>
      <c r="W30" s="125">
        <f>IFERROR(IF(OR(C22="",L22=0),"",L22*C22),"")</f>
        <v/>
      </c>
    </row>
    <row r="31" ht="15" customHeight="1" s="103">
      <c r="A31" s="127" t="n"/>
      <c r="B31" s="86" t="n"/>
      <c r="C31" s="125">
        <f>IFERROR(INDEX('🧗 Climbing Log'!$B$75:$B$80,MATCH(B23,'🧗 Climbing Log'!$A$75:$A$80,0)),"")</f>
        <v/>
      </c>
      <c r="D31" s="87" t="n"/>
      <c r="E31" s="87" t="n"/>
      <c r="F31" s="87" t="n"/>
      <c r="G31" s="87" t="n"/>
      <c r="H31" s="87" t="n"/>
      <c r="I31" s="87" t="n"/>
      <c r="J31" s="87" t="n"/>
      <c r="K31" s="87" t="n"/>
      <c r="L31" s="87" t="n"/>
      <c r="M31" s="77">
        <f>IFERROR(SUM(E23:L23),0)</f>
        <v/>
      </c>
      <c r="N31" s="78">
        <f>IFERROR(IF(OR(C23="",M23=0),"",M23*C23),"")</f>
        <v/>
      </c>
      <c r="O31" s="86" t="n"/>
      <c r="P31" s="125">
        <f>IFERROR(IF(OR(C23="",E23=0),"",E23*C23),"")</f>
        <v/>
      </c>
      <c r="Q31" s="125">
        <f>IFERROR(IF(OR(C23="",F23=0),"",F23*C23),"")</f>
        <v/>
      </c>
      <c r="R31" s="125">
        <f>IFERROR(IF(OR(C23="",G23=0),"",G23*C23),"")</f>
        <v/>
      </c>
      <c r="S31" s="125">
        <f>IFERROR(IF(OR(C23="",H23=0),"",H23*C23),"")</f>
        <v/>
      </c>
      <c r="T31" s="125">
        <f>IFERROR(IF(OR(C23="",I23=0),"",I23*C23),"")</f>
        <v/>
      </c>
      <c r="U31" s="125">
        <f>IFERROR(IF(OR(C23="",J23=0),"",J23*C23),"")</f>
        <v/>
      </c>
      <c r="V31" s="125">
        <f>IFERROR(IF(OR(C23="",K23=0),"",K23*C23),"")</f>
        <v/>
      </c>
      <c r="W31" s="125">
        <f>IFERROR(IF(OR(C23="",L23=0),"",L23*C23),"")</f>
        <v/>
      </c>
    </row>
    <row r="32" ht="15" customHeight="1" s="103">
      <c r="A32" s="127" t="n"/>
      <c r="B32" s="86" t="n"/>
      <c r="C32" s="125">
        <f>IFERROR(INDEX('🧗 Climbing Log'!$B$75:$B$80,MATCH(B24,'🧗 Climbing Log'!$A$75:$A$80,0)),"")</f>
        <v/>
      </c>
      <c r="D32" s="87" t="n"/>
      <c r="E32" s="87" t="n"/>
      <c r="F32" s="87" t="n"/>
      <c r="G32" s="87" t="n"/>
      <c r="H32" s="87" t="n"/>
      <c r="I32" s="87" t="n"/>
      <c r="J32" s="87" t="n"/>
      <c r="K32" s="87" t="n"/>
      <c r="L32" s="87" t="n"/>
      <c r="M32" s="77">
        <f>IFERROR(SUM(E24:L24),0)</f>
        <v/>
      </c>
      <c r="N32" s="78">
        <f>IFERROR(IF(OR(C24="",M24=0),"",M24*C24),"")</f>
        <v/>
      </c>
      <c r="O32" s="86" t="n"/>
      <c r="P32" s="125">
        <f>IFERROR(IF(OR(C24="",E24=0),"",E24*C24),"")</f>
        <v/>
      </c>
      <c r="Q32" s="125">
        <f>IFERROR(IF(OR(C24="",F24=0),"",F24*C24),"")</f>
        <v/>
      </c>
      <c r="R32" s="125">
        <f>IFERROR(IF(OR(C24="",G24=0),"",G24*C24),"")</f>
        <v/>
      </c>
      <c r="S32" s="125">
        <f>IFERROR(IF(OR(C24="",H24=0),"",H24*C24),"")</f>
        <v/>
      </c>
      <c r="T32" s="125">
        <f>IFERROR(IF(OR(C24="",I24=0),"",I24*C24),"")</f>
        <v/>
      </c>
      <c r="U32" s="125">
        <f>IFERROR(IF(OR(C24="",J24=0),"",J24*C24),"")</f>
        <v/>
      </c>
      <c r="V32" s="125">
        <f>IFERROR(IF(OR(C24="",K24=0),"",K24*C24),"")</f>
        <v/>
      </c>
      <c r="W32" s="125">
        <f>IFERROR(IF(OR(C24="",L24=0),"",L24*C24),"")</f>
        <v/>
      </c>
    </row>
    <row r="33" ht="15" customHeight="1" s="103">
      <c r="A33" s="127" t="n"/>
      <c r="B33" s="86" t="n"/>
      <c r="C33" s="125">
        <f>IFERROR(INDEX('🧗 Climbing Log'!$B$75:$B$80,MATCH(B25,'🧗 Climbing Log'!$A$75:$A$80,0)),"")</f>
        <v/>
      </c>
      <c r="D33" s="87" t="n"/>
      <c r="E33" s="87" t="n"/>
      <c r="F33" s="87" t="n"/>
      <c r="G33" s="87" t="n"/>
      <c r="H33" s="87" t="n"/>
      <c r="I33" s="87" t="n"/>
      <c r="J33" s="87" t="n"/>
      <c r="K33" s="87" t="n"/>
      <c r="L33" s="87" t="n"/>
      <c r="M33" s="77">
        <f>IFERROR(SUM(E25:L25),0)</f>
        <v/>
      </c>
      <c r="N33" s="78">
        <f>IFERROR(IF(OR(C25="",M25=0),"",M25*C25),"")</f>
        <v/>
      </c>
      <c r="O33" s="86" t="n"/>
      <c r="P33" s="125">
        <f>IFERROR(IF(OR(C25="",E25=0),"",E25*C25),"")</f>
        <v/>
      </c>
      <c r="Q33" s="125">
        <f>IFERROR(IF(OR(C25="",F25=0),"",F25*C25),"")</f>
        <v/>
      </c>
      <c r="R33" s="125">
        <f>IFERROR(IF(OR(C25="",G25=0),"",G25*C25),"")</f>
        <v/>
      </c>
      <c r="S33" s="125">
        <f>IFERROR(IF(OR(C25="",H25=0),"",H25*C25),"")</f>
        <v/>
      </c>
      <c r="T33" s="125">
        <f>IFERROR(IF(OR(C25="",I25=0),"",I25*C25),"")</f>
        <v/>
      </c>
      <c r="U33" s="125">
        <f>IFERROR(IF(OR(C25="",J25=0),"",J25*C25),"")</f>
        <v/>
      </c>
      <c r="V33" s="125">
        <f>IFERROR(IF(OR(C25="",K25=0),"",K25*C25),"")</f>
        <v/>
      </c>
      <c r="W33" s="125">
        <f>IFERROR(IF(OR(C25="",L25=0),"",L25*C25),"")</f>
        <v/>
      </c>
    </row>
    <row r="34" ht="15" customHeight="1" s="103">
      <c r="A34" s="127" t="n"/>
      <c r="B34" s="86" t="n"/>
      <c r="C34" s="125">
        <f>IFERROR(INDEX('🧗 Climbing Log'!$B$75:$B$80,MATCH(B26,'🧗 Climbing Log'!$A$75:$A$80,0)),"")</f>
        <v/>
      </c>
      <c r="D34" s="87" t="n"/>
      <c r="E34" s="87" t="n"/>
      <c r="F34" s="87" t="n"/>
      <c r="G34" s="87" t="n"/>
      <c r="H34" s="87" t="n"/>
      <c r="I34" s="87" t="n"/>
      <c r="J34" s="87" t="n"/>
      <c r="K34" s="87" t="n"/>
      <c r="L34" s="87" t="n"/>
      <c r="M34" s="77">
        <f>IFERROR(SUM(E26:L26),0)</f>
        <v/>
      </c>
      <c r="N34" s="78">
        <f>IFERROR(IF(OR(C26="",M26=0),"",M26*C26),"")</f>
        <v/>
      </c>
      <c r="O34" s="86" t="n"/>
      <c r="P34" s="125">
        <f>IFERROR(IF(OR(C26="",E26=0),"",E26*C26),"")</f>
        <v/>
      </c>
      <c r="Q34" s="125">
        <f>IFERROR(IF(OR(C26="",F26=0),"",F26*C26),"")</f>
        <v/>
      </c>
      <c r="R34" s="125">
        <f>IFERROR(IF(OR(C26="",G26=0),"",G26*C26),"")</f>
        <v/>
      </c>
      <c r="S34" s="125">
        <f>IFERROR(IF(OR(C26="",H26=0),"",H26*C26),"")</f>
        <v/>
      </c>
      <c r="T34" s="125">
        <f>IFERROR(IF(OR(C26="",I26=0),"",I26*C26),"")</f>
        <v/>
      </c>
      <c r="U34" s="125">
        <f>IFERROR(IF(OR(C26="",J26=0),"",J26*C26),"")</f>
        <v/>
      </c>
      <c r="V34" s="125">
        <f>IFERROR(IF(OR(C26="",K26=0),"",K26*C26),"")</f>
        <v/>
      </c>
      <c r="W34" s="125">
        <f>IFERROR(IF(OR(C26="",L26=0),"",L26*C26),"")</f>
        <v/>
      </c>
    </row>
    <row r="35" ht="15" customHeight="1" s="103">
      <c r="A35" s="127" t="n"/>
      <c r="B35" s="86" t="n"/>
      <c r="C35" s="125">
        <f>IFERROR(INDEX('🧗 Climbing Log'!$B$75:$B$80,MATCH(B27,'🧗 Climbing Log'!$A$75:$A$80,0)),"")</f>
        <v/>
      </c>
      <c r="D35" s="87" t="n"/>
      <c r="E35" s="87" t="n"/>
      <c r="F35" s="87" t="n"/>
      <c r="G35" s="87" t="n"/>
      <c r="H35" s="87" t="n"/>
      <c r="I35" s="87" t="n"/>
      <c r="J35" s="87" t="n"/>
      <c r="K35" s="87" t="n"/>
      <c r="L35" s="87" t="n"/>
      <c r="M35" s="77">
        <f>IFERROR(SUM(E27:L27),0)</f>
        <v/>
      </c>
      <c r="N35" s="78">
        <f>IFERROR(IF(OR(C27="",M27=0),"",M27*C27),"")</f>
        <v/>
      </c>
      <c r="O35" s="86" t="n"/>
      <c r="P35" s="125">
        <f>IFERROR(IF(OR(C27="",E27=0),"",E27*C27),"")</f>
        <v/>
      </c>
      <c r="Q35" s="125">
        <f>IFERROR(IF(OR(C27="",F27=0),"",F27*C27),"")</f>
        <v/>
      </c>
      <c r="R35" s="125">
        <f>IFERROR(IF(OR(C27="",G27=0),"",G27*C27),"")</f>
        <v/>
      </c>
      <c r="S35" s="125">
        <f>IFERROR(IF(OR(C27="",H27=0),"",H27*C27),"")</f>
        <v/>
      </c>
      <c r="T35" s="125">
        <f>IFERROR(IF(OR(C27="",I27=0),"",I27*C27),"")</f>
        <v/>
      </c>
      <c r="U35" s="125">
        <f>IFERROR(IF(OR(C27="",J27=0),"",J27*C27),"")</f>
        <v/>
      </c>
      <c r="V35" s="125">
        <f>IFERROR(IF(OR(C27="",K27=0),"",K27*C27),"")</f>
        <v/>
      </c>
      <c r="W35" s="125">
        <f>IFERROR(IF(OR(C27="",L27=0),"",L27*C27),"")</f>
        <v/>
      </c>
    </row>
    <row r="36" ht="15" customHeight="1" s="103">
      <c r="A36" s="127" t="n"/>
      <c r="B36" s="86" t="n"/>
      <c r="C36" s="125">
        <f>IFERROR(INDEX('🧗 Climbing Log'!$B$75:$B$80,MATCH(B28,'🧗 Climbing Log'!$A$75:$A$80,0)),"")</f>
        <v/>
      </c>
      <c r="D36" s="87" t="n"/>
      <c r="E36" s="87" t="n"/>
      <c r="F36" s="87" t="n"/>
      <c r="G36" s="87" t="n"/>
      <c r="H36" s="87" t="n"/>
      <c r="I36" s="87" t="n"/>
      <c r="J36" s="87" t="n"/>
      <c r="K36" s="87" t="n"/>
      <c r="L36" s="87" t="n"/>
      <c r="M36" s="77">
        <f>IFERROR(SUM(E28:L28),0)</f>
        <v/>
      </c>
      <c r="N36" s="78">
        <f>IFERROR(IF(OR(C28="",M28=0),"",M28*C28),"")</f>
        <v/>
      </c>
      <c r="O36" s="86" t="n"/>
      <c r="P36" s="125">
        <f>IFERROR(IF(OR(C28="",E28=0),"",E28*C28),"")</f>
        <v/>
      </c>
      <c r="Q36" s="125">
        <f>IFERROR(IF(OR(C28="",F28=0),"",F28*C28),"")</f>
        <v/>
      </c>
      <c r="R36" s="125">
        <f>IFERROR(IF(OR(C28="",G28=0),"",G28*C28),"")</f>
        <v/>
      </c>
      <c r="S36" s="125">
        <f>IFERROR(IF(OR(C28="",H28=0),"",H28*C28),"")</f>
        <v/>
      </c>
      <c r="T36" s="125">
        <f>IFERROR(IF(OR(C28="",I28=0),"",I28*C28),"")</f>
        <v/>
      </c>
      <c r="U36" s="125">
        <f>IFERROR(IF(OR(C28="",J28=0),"",J28*C28),"")</f>
        <v/>
      </c>
      <c r="V36" s="125">
        <f>IFERROR(IF(OR(C28="",K28=0),"",K28*C28),"")</f>
        <v/>
      </c>
      <c r="W36" s="125">
        <f>IFERROR(IF(OR(C28="",L28=0),"",L28*C28),"")</f>
        <v/>
      </c>
    </row>
    <row r="37" ht="15" customHeight="1" s="103">
      <c r="A37" s="127" t="n"/>
      <c r="B37" s="86" t="n"/>
      <c r="C37" s="125">
        <f>IFERROR(INDEX('🧗 Climbing Log'!$B$75:$B$80,MATCH(B29,'🧗 Climbing Log'!$A$75:$A$80,0)),"")</f>
        <v/>
      </c>
      <c r="D37" s="87" t="n"/>
      <c r="E37" s="87" t="n"/>
      <c r="F37" s="87" t="n"/>
      <c r="G37" s="87" t="n"/>
      <c r="H37" s="87" t="n"/>
      <c r="I37" s="87" t="n"/>
      <c r="J37" s="87" t="n"/>
      <c r="K37" s="87" t="n"/>
      <c r="L37" s="87" t="n"/>
      <c r="M37" s="77">
        <f>IFERROR(SUM(E29:L29),0)</f>
        <v/>
      </c>
      <c r="N37" s="78">
        <f>IFERROR(IF(OR(C29="",M29=0),"",M29*C29),"")</f>
        <v/>
      </c>
      <c r="O37" s="86" t="n"/>
      <c r="P37" s="125">
        <f>IFERROR(IF(OR(C29="",E29=0),"",E29*C29),"")</f>
        <v/>
      </c>
      <c r="Q37" s="125">
        <f>IFERROR(IF(OR(C29="",F29=0),"",F29*C29),"")</f>
        <v/>
      </c>
      <c r="R37" s="125">
        <f>IFERROR(IF(OR(C29="",G29=0),"",G29*C29),"")</f>
        <v/>
      </c>
      <c r="S37" s="125">
        <f>IFERROR(IF(OR(C29="",H29=0),"",H29*C29),"")</f>
        <v/>
      </c>
      <c r="T37" s="125">
        <f>IFERROR(IF(OR(C29="",I29=0),"",I29*C29),"")</f>
        <v/>
      </c>
      <c r="U37" s="125">
        <f>IFERROR(IF(OR(C29="",J29=0),"",J29*C29),"")</f>
        <v/>
      </c>
      <c r="V37" s="125">
        <f>IFERROR(IF(OR(C29="",K29=0),"",K29*C29),"")</f>
        <v/>
      </c>
      <c r="W37" s="125">
        <f>IFERROR(IF(OR(C29="",L29=0),"",L29*C29),"")</f>
        <v/>
      </c>
    </row>
    <row r="38" ht="15" customHeight="1" s="103">
      <c r="A38" s="127" t="n"/>
      <c r="B38" s="86" t="n"/>
      <c r="C38" s="125">
        <f>IFERROR(INDEX('🧗 Climbing Log'!$B$75:$B$80,MATCH(B30,'🧗 Climbing Log'!$A$75:$A$80,0)),"")</f>
        <v/>
      </c>
      <c r="D38" s="87" t="n"/>
      <c r="E38" s="87" t="n"/>
      <c r="F38" s="87" t="n"/>
      <c r="G38" s="87" t="n"/>
      <c r="H38" s="87" t="n"/>
      <c r="I38" s="87" t="n"/>
      <c r="J38" s="87" t="n"/>
      <c r="K38" s="87" t="n"/>
      <c r="L38" s="87" t="n"/>
      <c r="M38" s="77">
        <f>IFERROR(SUM(E30:L30),0)</f>
        <v/>
      </c>
      <c r="N38" s="78">
        <f>IFERROR(IF(OR(C30="",M30=0),"",M30*C30),"")</f>
        <v/>
      </c>
      <c r="O38" s="86" t="n"/>
      <c r="P38" s="125">
        <f>IFERROR(IF(OR(C30="",E30=0),"",E30*C30),"")</f>
        <v/>
      </c>
      <c r="Q38" s="125">
        <f>IFERROR(IF(OR(C30="",F30=0),"",F30*C30),"")</f>
        <v/>
      </c>
      <c r="R38" s="125">
        <f>IFERROR(IF(OR(C30="",G30=0),"",G30*C30),"")</f>
        <v/>
      </c>
      <c r="S38" s="125">
        <f>IFERROR(IF(OR(C30="",H30=0),"",H30*C30),"")</f>
        <v/>
      </c>
      <c r="T38" s="125">
        <f>IFERROR(IF(OR(C30="",I30=0),"",I30*C30),"")</f>
        <v/>
      </c>
      <c r="U38" s="125">
        <f>IFERROR(IF(OR(C30="",J30=0),"",J30*C30),"")</f>
        <v/>
      </c>
      <c r="V38" s="125">
        <f>IFERROR(IF(OR(C30="",K30=0),"",K30*C30),"")</f>
        <v/>
      </c>
      <c r="W38" s="125">
        <f>IFERROR(IF(OR(C30="",L30=0),"",L30*C30),"")</f>
        <v/>
      </c>
    </row>
    <row r="39" ht="15" customHeight="1" s="103">
      <c r="A39" s="127" t="n"/>
      <c r="B39" s="86" t="n"/>
      <c r="C39" s="125">
        <f>IFERROR(INDEX('🧗 Climbing Log'!$B$75:$B$80,MATCH(B31,'🧗 Climbing Log'!$A$75:$A$80,0)),"")</f>
        <v/>
      </c>
      <c r="D39" s="87" t="n"/>
      <c r="E39" s="87" t="n"/>
      <c r="F39" s="87" t="n"/>
      <c r="G39" s="87" t="n"/>
      <c r="H39" s="87" t="n"/>
      <c r="I39" s="87" t="n"/>
      <c r="J39" s="87" t="n"/>
      <c r="K39" s="87" t="n"/>
      <c r="L39" s="87" t="n"/>
      <c r="M39" s="77">
        <f>IFERROR(SUM(E31:L31),0)</f>
        <v/>
      </c>
      <c r="N39" s="78">
        <f>IFERROR(IF(OR(C31="",M31=0),"",M31*C31),"")</f>
        <v/>
      </c>
      <c r="O39" s="86" t="n"/>
      <c r="P39" s="125">
        <f>IFERROR(IF(OR(C31="",E31=0),"",E31*C31),"")</f>
        <v/>
      </c>
      <c r="Q39" s="125">
        <f>IFERROR(IF(OR(C31="",F31=0),"",F31*C31),"")</f>
        <v/>
      </c>
      <c r="R39" s="125">
        <f>IFERROR(IF(OR(C31="",G31=0),"",G31*C31),"")</f>
        <v/>
      </c>
      <c r="S39" s="125">
        <f>IFERROR(IF(OR(C31="",H31=0),"",H31*C31),"")</f>
        <v/>
      </c>
      <c r="T39" s="125">
        <f>IFERROR(IF(OR(C31="",I31=0),"",I31*C31),"")</f>
        <v/>
      </c>
      <c r="U39" s="125">
        <f>IFERROR(IF(OR(C31="",J31=0),"",J31*C31),"")</f>
        <v/>
      </c>
      <c r="V39" s="125">
        <f>IFERROR(IF(OR(C31="",K31=0),"",K31*C31),"")</f>
        <v/>
      </c>
      <c r="W39" s="125">
        <f>IFERROR(IF(OR(C31="",L31=0),"",L31*C31),"")</f>
        <v/>
      </c>
    </row>
    <row r="40" ht="15" customHeight="1" s="103">
      <c r="A40" s="127" t="n"/>
      <c r="B40" s="86" t="n"/>
      <c r="C40" s="125">
        <f>IFERROR(INDEX('🧗 Climbing Log'!$B$75:$B$80,MATCH(B32,'🧗 Climbing Log'!$A$75:$A$80,0)),"")</f>
        <v/>
      </c>
      <c r="D40" s="87" t="n"/>
      <c r="E40" s="87" t="n"/>
      <c r="F40" s="87" t="n"/>
      <c r="G40" s="87" t="n"/>
      <c r="H40" s="87" t="n"/>
      <c r="I40" s="87" t="n"/>
      <c r="J40" s="87" t="n"/>
      <c r="K40" s="87" t="n"/>
      <c r="L40" s="87" t="n"/>
      <c r="M40" s="77">
        <f>IFERROR(SUM(E32:L32),0)</f>
        <v/>
      </c>
      <c r="N40" s="78">
        <f>IFERROR(IF(OR(C32="",M32=0),"",M32*C32),"")</f>
        <v/>
      </c>
      <c r="O40" s="86" t="n"/>
      <c r="P40" s="125">
        <f>IFERROR(IF(OR(C32="",E32=0),"",E32*C32),"")</f>
        <v/>
      </c>
      <c r="Q40" s="125">
        <f>IFERROR(IF(OR(C32="",F32=0),"",F32*C32),"")</f>
        <v/>
      </c>
      <c r="R40" s="125">
        <f>IFERROR(IF(OR(C32="",G32=0),"",G32*C32),"")</f>
        <v/>
      </c>
      <c r="S40" s="125">
        <f>IFERROR(IF(OR(C32="",H32=0),"",H32*C32),"")</f>
        <v/>
      </c>
      <c r="T40" s="125">
        <f>IFERROR(IF(OR(C32="",I32=0),"",I32*C32),"")</f>
        <v/>
      </c>
      <c r="U40" s="125">
        <f>IFERROR(IF(OR(C32="",J32=0),"",J32*C32),"")</f>
        <v/>
      </c>
      <c r="V40" s="125">
        <f>IFERROR(IF(OR(C32="",K32=0),"",K32*C32),"")</f>
        <v/>
      </c>
      <c r="W40" s="125">
        <f>IFERROR(IF(OR(C32="",L32=0),"",L32*C32),"")</f>
        <v/>
      </c>
    </row>
    <row r="41" ht="15" customHeight="1" s="103">
      <c r="A41" s="127" t="n"/>
      <c r="B41" s="86" t="n"/>
      <c r="C41" s="125">
        <f>IFERROR(INDEX('🧗 Climbing Log'!$B$75:$B$80,MATCH(B33,'🧗 Climbing Log'!$A$75:$A$80,0)),"")</f>
        <v/>
      </c>
      <c r="D41" s="87" t="n"/>
      <c r="E41" s="87" t="n"/>
      <c r="F41" s="87" t="n"/>
      <c r="G41" s="87" t="n"/>
      <c r="H41" s="87" t="n"/>
      <c r="I41" s="87" t="n"/>
      <c r="J41" s="87" t="n"/>
      <c r="K41" s="87" t="n"/>
      <c r="L41" s="87" t="n"/>
      <c r="M41" s="77">
        <f>IFERROR(SUM(E33:L33),0)</f>
        <v/>
      </c>
      <c r="N41" s="78">
        <f>IFERROR(IF(OR(C33="",M33=0),"",M33*C33),"")</f>
        <v/>
      </c>
      <c r="O41" s="86" t="n"/>
      <c r="P41" s="125">
        <f>IFERROR(IF(OR(C33="",E33=0),"",E33*C33),"")</f>
        <v/>
      </c>
      <c r="Q41" s="125">
        <f>IFERROR(IF(OR(C33="",F33=0),"",F33*C33),"")</f>
        <v/>
      </c>
      <c r="R41" s="125">
        <f>IFERROR(IF(OR(C33="",G33=0),"",G33*C33),"")</f>
        <v/>
      </c>
      <c r="S41" s="125">
        <f>IFERROR(IF(OR(C33="",H33=0),"",H33*C33),"")</f>
        <v/>
      </c>
      <c r="T41" s="125">
        <f>IFERROR(IF(OR(C33="",I33=0),"",I33*C33),"")</f>
        <v/>
      </c>
      <c r="U41" s="125">
        <f>IFERROR(IF(OR(C33="",J33=0),"",J33*C33),"")</f>
        <v/>
      </c>
      <c r="V41" s="125">
        <f>IFERROR(IF(OR(C33="",K33=0),"",K33*C33),"")</f>
        <v/>
      </c>
      <c r="W41" s="125">
        <f>IFERROR(IF(OR(C33="",L33=0),"",L33*C33),"")</f>
        <v/>
      </c>
    </row>
    <row r="42" ht="15" customHeight="1" s="103">
      <c r="A42" s="127" t="n"/>
      <c r="B42" s="86" t="n"/>
      <c r="C42" s="125">
        <f>IFERROR(INDEX('🧗 Climbing Log'!$B$75:$B$80,MATCH(B34,'🧗 Climbing Log'!$A$75:$A$80,0)),"")</f>
        <v/>
      </c>
      <c r="D42" s="87" t="n"/>
      <c r="E42" s="87" t="n"/>
      <c r="F42" s="87" t="n"/>
      <c r="G42" s="87" t="n"/>
      <c r="H42" s="87" t="n"/>
      <c r="I42" s="87" t="n"/>
      <c r="J42" s="87" t="n"/>
      <c r="K42" s="87" t="n"/>
      <c r="L42" s="87" t="n"/>
      <c r="M42" s="77">
        <f>IFERROR(SUM(E34:L34),0)</f>
        <v/>
      </c>
      <c r="N42" s="78">
        <f>IFERROR(IF(OR(C34="",M34=0),"",M34*C34),"")</f>
        <v/>
      </c>
      <c r="O42" s="86" t="n"/>
      <c r="P42" s="125">
        <f>IFERROR(IF(OR(C34="",E34=0),"",E34*C34),"")</f>
        <v/>
      </c>
      <c r="Q42" s="125">
        <f>IFERROR(IF(OR(C34="",F34=0),"",F34*C34),"")</f>
        <v/>
      </c>
      <c r="R42" s="125">
        <f>IFERROR(IF(OR(C34="",G34=0),"",G34*C34),"")</f>
        <v/>
      </c>
      <c r="S42" s="125">
        <f>IFERROR(IF(OR(C34="",H34=0),"",H34*C34),"")</f>
        <v/>
      </c>
      <c r="T42" s="125">
        <f>IFERROR(IF(OR(C34="",I34=0),"",I34*C34),"")</f>
        <v/>
      </c>
      <c r="U42" s="125">
        <f>IFERROR(IF(OR(C34="",J34=0),"",J34*C34),"")</f>
        <v/>
      </c>
      <c r="V42" s="125">
        <f>IFERROR(IF(OR(C34="",K34=0),"",K34*C34),"")</f>
        <v/>
      </c>
      <c r="W42" s="125">
        <f>IFERROR(IF(OR(C34="",L34=0),"",L34*C34),"")</f>
        <v/>
      </c>
    </row>
    <row r="43" ht="15" customHeight="1" s="103">
      <c r="A43" s="127" t="n"/>
      <c r="B43" s="86" t="n"/>
      <c r="C43" s="125">
        <f>IFERROR(INDEX('🧗 Climbing Log'!$B$75:$B$80,MATCH(B35,'🧗 Climbing Log'!$A$75:$A$80,0)),"")</f>
        <v/>
      </c>
      <c r="D43" s="87" t="n"/>
      <c r="E43" s="87" t="n"/>
      <c r="F43" s="87" t="n"/>
      <c r="G43" s="87" t="n"/>
      <c r="H43" s="87" t="n"/>
      <c r="I43" s="87" t="n"/>
      <c r="J43" s="87" t="n"/>
      <c r="K43" s="87" t="n"/>
      <c r="L43" s="87" t="n"/>
      <c r="M43" s="77">
        <f>IFERROR(SUM(E35:L35),0)</f>
        <v/>
      </c>
      <c r="N43" s="78">
        <f>IFERROR(IF(OR(C35="",M35=0),"",M35*C35),"")</f>
        <v/>
      </c>
      <c r="O43" s="86" t="n"/>
      <c r="P43" s="125">
        <f>IFERROR(IF(OR(C35="",E35=0),"",E35*C35),"")</f>
        <v/>
      </c>
      <c r="Q43" s="125">
        <f>IFERROR(IF(OR(C35="",F35=0),"",F35*C35),"")</f>
        <v/>
      </c>
      <c r="R43" s="125">
        <f>IFERROR(IF(OR(C35="",G35=0),"",G35*C35),"")</f>
        <v/>
      </c>
      <c r="S43" s="125">
        <f>IFERROR(IF(OR(C35="",H35=0),"",H35*C35),"")</f>
        <v/>
      </c>
      <c r="T43" s="125">
        <f>IFERROR(IF(OR(C35="",I35=0),"",I35*C35),"")</f>
        <v/>
      </c>
      <c r="U43" s="125">
        <f>IFERROR(IF(OR(C35="",J35=0),"",J35*C35),"")</f>
        <v/>
      </c>
      <c r="V43" s="125">
        <f>IFERROR(IF(OR(C35="",K35=0),"",K35*C35),"")</f>
        <v/>
      </c>
      <c r="W43" s="125">
        <f>IFERROR(IF(OR(C35="",L35=0),"",L35*C35),"")</f>
        <v/>
      </c>
    </row>
    <row r="44" ht="15" customHeight="1" s="103">
      <c r="A44" s="127" t="n"/>
      <c r="B44" s="86" t="n"/>
      <c r="C44" s="125">
        <f>IFERROR(INDEX('🧗 Climbing Log'!$B$75:$B$80,MATCH(B36,'🧗 Climbing Log'!$A$75:$A$80,0)),"")</f>
        <v/>
      </c>
      <c r="D44" s="87" t="n"/>
      <c r="E44" s="87" t="n"/>
      <c r="F44" s="87" t="n"/>
      <c r="G44" s="87" t="n"/>
      <c r="H44" s="87" t="n"/>
      <c r="I44" s="87" t="n"/>
      <c r="J44" s="87" t="n"/>
      <c r="K44" s="87" t="n"/>
      <c r="L44" s="87" t="n"/>
      <c r="M44" s="77">
        <f>IFERROR(SUM(E36:L36),0)</f>
        <v/>
      </c>
      <c r="N44" s="78">
        <f>IFERROR(IF(OR(C36="",M36=0),"",M36*C36),"")</f>
        <v/>
      </c>
      <c r="O44" s="86" t="n"/>
      <c r="P44" s="125">
        <f>IFERROR(IF(OR(C36="",E36=0),"",E36*C36),"")</f>
        <v/>
      </c>
      <c r="Q44" s="125">
        <f>IFERROR(IF(OR(C36="",F36=0),"",F36*C36),"")</f>
        <v/>
      </c>
      <c r="R44" s="125">
        <f>IFERROR(IF(OR(C36="",G36=0),"",G36*C36),"")</f>
        <v/>
      </c>
      <c r="S44" s="125">
        <f>IFERROR(IF(OR(C36="",H36=0),"",H36*C36),"")</f>
        <v/>
      </c>
      <c r="T44" s="125">
        <f>IFERROR(IF(OR(C36="",I36=0),"",I36*C36),"")</f>
        <v/>
      </c>
      <c r="U44" s="125">
        <f>IFERROR(IF(OR(C36="",J36=0),"",J36*C36),"")</f>
        <v/>
      </c>
      <c r="V44" s="125">
        <f>IFERROR(IF(OR(C36="",K36=0),"",K36*C36),"")</f>
        <v/>
      </c>
      <c r="W44" s="125">
        <f>IFERROR(IF(OR(C36="",L36=0),"",L36*C36),"")</f>
        <v/>
      </c>
    </row>
    <row r="45" ht="15" customHeight="1" s="103">
      <c r="A45" s="127" t="n"/>
      <c r="B45" s="86" t="n"/>
      <c r="C45" s="125">
        <f>IFERROR(INDEX('🧗 Climbing Log'!$B$75:$B$80,MATCH(B37,'🧗 Climbing Log'!$A$75:$A$80,0)),"")</f>
        <v/>
      </c>
      <c r="D45" s="87" t="n"/>
      <c r="E45" s="87" t="n"/>
      <c r="F45" s="87" t="n"/>
      <c r="G45" s="87" t="n"/>
      <c r="H45" s="87" t="n"/>
      <c r="I45" s="87" t="n"/>
      <c r="J45" s="87" t="n"/>
      <c r="K45" s="87" t="n"/>
      <c r="L45" s="87" t="n"/>
      <c r="M45" s="77">
        <f>IFERROR(SUM(E37:L37),0)</f>
        <v/>
      </c>
      <c r="N45" s="78">
        <f>IFERROR(IF(OR(C37="",M37=0),"",M37*C37),"")</f>
        <v/>
      </c>
      <c r="O45" s="86" t="n"/>
      <c r="P45" s="125">
        <f>IFERROR(IF(OR(C37="",E37=0),"",E37*C37),"")</f>
        <v/>
      </c>
      <c r="Q45" s="125">
        <f>IFERROR(IF(OR(C37="",F37=0),"",F37*C37),"")</f>
        <v/>
      </c>
      <c r="R45" s="125">
        <f>IFERROR(IF(OR(C37="",G37=0),"",G37*C37),"")</f>
        <v/>
      </c>
      <c r="S45" s="125">
        <f>IFERROR(IF(OR(C37="",H37=0),"",H37*C37),"")</f>
        <v/>
      </c>
      <c r="T45" s="125">
        <f>IFERROR(IF(OR(C37="",I37=0),"",I37*C37),"")</f>
        <v/>
      </c>
      <c r="U45" s="125">
        <f>IFERROR(IF(OR(C37="",J37=0),"",J37*C37),"")</f>
        <v/>
      </c>
      <c r="V45" s="125">
        <f>IFERROR(IF(OR(C37="",K37=0),"",K37*C37),"")</f>
        <v/>
      </c>
      <c r="W45" s="125">
        <f>IFERROR(IF(OR(C37="",L37=0),"",L37*C37),"")</f>
        <v/>
      </c>
    </row>
    <row r="46" ht="15" customHeight="1" s="103">
      <c r="A46" s="127" t="n"/>
      <c r="B46" s="86" t="n"/>
      <c r="C46" s="125">
        <f>IFERROR(INDEX('🧗 Climbing Log'!$B$75:$B$80,MATCH(B38,'🧗 Climbing Log'!$A$75:$A$80,0)),"")</f>
        <v/>
      </c>
      <c r="D46" s="87" t="n"/>
      <c r="E46" s="87" t="n"/>
      <c r="F46" s="87" t="n"/>
      <c r="G46" s="87" t="n"/>
      <c r="H46" s="87" t="n"/>
      <c r="I46" s="87" t="n"/>
      <c r="J46" s="87" t="n"/>
      <c r="K46" s="87" t="n"/>
      <c r="L46" s="87" t="n"/>
      <c r="M46" s="77">
        <f>IFERROR(SUM(E38:L38),0)</f>
        <v/>
      </c>
      <c r="N46" s="78">
        <f>IFERROR(IF(OR(C38="",M38=0),"",M38*C38),"")</f>
        <v/>
      </c>
      <c r="O46" s="86" t="n"/>
      <c r="P46" s="125">
        <f>IFERROR(IF(OR(C38="",E38=0),"",E38*C38),"")</f>
        <v/>
      </c>
      <c r="Q46" s="125">
        <f>IFERROR(IF(OR(C38="",F38=0),"",F38*C38),"")</f>
        <v/>
      </c>
      <c r="R46" s="125">
        <f>IFERROR(IF(OR(C38="",G38=0),"",G38*C38),"")</f>
        <v/>
      </c>
      <c r="S46" s="125">
        <f>IFERROR(IF(OR(C38="",H38=0),"",H38*C38),"")</f>
        <v/>
      </c>
      <c r="T46" s="125">
        <f>IFERROR(IF(OR(C38="",I38=0),"",I38*C38),"")</f>
        <v/>
      </c>
      <c r="U46" s="125">
        <f>IFERROR(IF(OR(C38="",J38=0),"",J38*C38),"")</f>
        <v/>
      </c>
      <c r="V46" s="125">
        <f>IFERROR(IF(OR(C38="",K38=0),"",K38*C38),"")</f>
        <v/>
      </c>
      <c r="W46" s="125">
        <f>IFERROR(IF(OR(C38="",L38=0),"",L38*C38),"")</f>
        <v/>
      </c>
    </row>
    <row r="47" ht="15" customHeight="1" s="103">
      <c r="A47" s="127" t="n"/>
      <c r="B47" s="86" t="n"/>
      <c r="C47" s="125">
        <f>IFERROR(INDEX('🧗 Climbing Log'!$B$75:$B$80,MATCH(B39,'🧗 Climbing Log'!$A$75:$A$80,0)),"")</f>
        <v/>
      </c>
      <c r="D47" s="87" t="n"/>
      <c r="E47" s="87" t="n"/>
      <c r="F47" s="87" t="n"/>
      <c r="G47" s="87" t="n"/>
      <c r="H47" s="87" t="n"/>
      <c r="I47" s="87" t="n"/>
      <c r="J47" s="87" t="n"/>
      <c r="K47" s="87" t="n"/>
      <c r="L47" s="87" t="n"/>
      <c r="M47" s="77">
        <f>IFERROR(SUM(E39:L39),0)</f>
        <v/>
      </c>
      <c r="N47" s="78">
        <f>IFERROR(IF(OR(C39="",M39=0),"",M39*C39),"")</f>
        <v/>
      </c>
      <c r="O47" s="86" t="n"/>
      <c r="P47" s="125">
        <f>IFERROR(IF(OR(C39="",E39=0),"",E39*C39),"")</f>
        <v/>
      </c>
      <c r="Q47" s="125">
        <f>IFERROR(IF(OR(C39="",F39=0),"",F39*C39),"")</f>
        <v/>
      </c>
      <c r="R47" s="125">
        <f>IFERROR(IF(OR(C39="",G39=0),"",G39*C39),"")</f>
        <v/>
      </c>
      <c r="S47" s="125">
        <f>IFERROR(IF(OR(C39="",H39=0),"",H39*C39),"")</f>
        <v/>
      </c>
      <c r="T47" s="125">
        <f>IFERROR(IF(OR(C39="",I39=0),"",I39*C39),"")</f>
        <v/>
      </c>
      <c r="U47" s="125">
        <f>IFERROR(IF(OR(C39="",J39=0),"",J39*C39),"")</f>
        <v/>
      </c>
      <c r="V47" s="125">
        <f>IFERROR(IF(OR(C39="",K39=0),"",K39*C39),"")</f>
        <v/>
      </c>
      <c r="W47" s="125">
        <f>IFERROR(IF(OR(C39="",L39=0),"",L39*C39),"")</f>
        <v/>
      </c>
    </row>
    <row r="48" ht="15" customHeight="1" s="103">
      <c r="A48" s="127" t="n"/>
      <c r="B48" s="86" t="n"/>
      <c r="C48" s="125">
        <f>IFERROR(INDEX('🧗 Climbing Log'!$B$75:$B$80,MATCH(B40,'🧗 Climbing Log'!$A$75:$A$80,0)),"")</f>
        <v/>
      </c>
      <c r="D48" s="87" t="n"/>
      <c r="E48" s="87" t="n"/>
      <c r="F48" s="87" t="n"/>
      <c r="G48" s="87" t="n"/>
      <c r="H48" s="87" t="n"/>
      <c r="I48" s="87" t="n"/>
      <c r="J48" s="87" t="n"/>
      <c r="K48" s="87" t="n"/>
      <c r="L48" s="87" t="n"/>
      <c r="M48" s="77">
        <f>IFERROR(SUM(E40:L40),0)</f>
        <v/>
      </c>
      <c r="N48" s="78">
        <f>IFERROR(IF(OR(C40="",M40=0),"",M40*C40),"")</f>
        <v/>
      </c>
      <c r="O48" s="86" t="n"/>
      <c r="P48" s="125">
        <f>IFERROR(IF(OR(C40="",E40=0),"",E40*C40),"")</f>
        <v/>
      </c>
      <c r="Q48" s="125">
        <f>IFERROR(IF(OR(C40="",F40=0),"",F40*C40),"")</f>
        <v/>
      </c>
      <c r="R48" s="125">
        <f>IFERROR(IF(OR(C40="",G40=0),"",G40*C40),"")</f>
        <v/>
      </c>
      <c r="S48" s="125">
        <f>IFERROR(IF(OR(C40="",H40=0),"",H40*C40),"")</f>
        <v/>
      </c>
      <c r="T48" s="125">
        <f>IFERROR(IF(OR(C40="",I40=0),"",I40*C40),"")</f>
        <v/>
      </c>
      <c r="U48" s="125">
        <f>IFERROR(IF(OR(C40="",J40=0),"",J40*C40),"")</f>
        <v/>
      </c>
      <c r="V48" s="125">
        <f>IFERROR(IF(OR(C40="",K40=0),"",K40*C40),"")</f>
        <v/>
      </c>
      <c r="W48" s="125">
        <f>IFERROR(IF(OR(C40="",L40=0),"",L40*C40),"")</f>
        <v/>
      </c>
    </row>
    <row r="49" ht="15" customHeight="1" s="103">
      <c r="A49" s="127" t="n"/>
      <c r="B49" s="86" t="n"/>
      <c r="C49" s="125">
        <f>IFERROR(INDEX('🧗 Climbing Log'!$B$75:$B$80,MATCH(B41,'🧗 Climbing Log'!$A$75:$A$80,0)),"")</f>
        <v/>
      </c>
      <c r="D49" s="87" t="n"/>
      <c r="E49" s="87" t="n"/>
      <c r="F49" s="87" t="n"/>
      <c r="G49" s="87" t="n"/>
      <c r="H49" s="87" t="n"/>
      <c r="I49" s="87" t="n"/>
      <c r="J49" s="87" t="n"/>
      <c r="K49" s="87" t="n"/>
      <c r="L49" s="87" t="n"/>
      <c r="M49" s="77">
        <f>IFERROR(SUM(E41:L41),0)</f>
        <v/>
      </c>
      <c r="N49" s="78">
        <f>IFERROR(IF(OR(C41="",M41=0),"",M41*C41),"")</f>
        <v/>
      </c>
      <c r="O49" s="86" t="n"/>
      <c r="P49" s="125">
        <f>IFERROR(IF(OR(C41="",E41=0),"",E41*C41),"")</f>
        <v/>
      </c>
      <c r="Q49" s="125">
        <f>IFERROR(IF(OR(C41="",F41=0),"",F41*C41),"")</f>
        <v/>
      </c>
      <c r="R49" s="125">
        <f>IFERROR(IF(OR(C41="",G41=0),"",G41*C41),"")</f>
        <v/>
      </c>
      <c r="S49" s="125">
        <f>IFERROR(IF(OR(C41="",H41=0),"",H41*C41),"")</f>
        <v/>
      </c>
      <c r="T49" s="125">
        <f>IFERROR(IF(OR(C41="",I41=0),"",I41*C41),"")</f>
        <v/>
      </c>
      <c r="U49" s="125">
        <f>IFERROR(IF(OR(C41="",J41=0),"",J41*C41),"")</f>
        <v/>
      </c>
      <c r="V49" s="125">
        <f>IFERROR(IF(OR(C41="",K41=0),"",K41*C41),"")</f>
        <v/>
      </c>
      <c r="W49" s="125">
        <f>IFERROR(IF(OR(C41="",L41=0),"",L41*C41),"")</f>
        <v/>
      </c>
    </row>
    <row r="50" ht="15" customHeight="1" s="103">
      <c r="A50" s="127" t="n"/>
      <c r="B50" s="86" t="n"/>
      <c r="C50" s="125">
        <f>IFERROR(INDEX('🧗 Climbing Log'!$B$75:$B$80,MATCH(B42,'🧗 Climbing Log'!$A$75:$A$80,0)),"")</f>
        <v/>
      </c>
      <c r="D50" s="87" t="n"/>
      <c r="E50" s="87" t="n"/>
      <c r="F50" s="87" t="n"/>
      <c r="G50" s="87" t="n"/>
      <c r="H50" s="87" t="n"/>
      <c r="I50" s="87" t="n"/>
      <c r="J50" s="87" t="n"/>
      <c r="K50" s="87" t="n"/>
      <c r="L50" s="87" t="n"/>
      <c r="M50" s="77">
        <f>IFERROR(SUM(E42:L42),0)</f>
        <v/>
      </c>
      <c r="N50" s="78">
        <f>IFERROR(IF(OR(C42="",M42=0),"",M42*C42),"")</f>
        <v/>
      </c>
      <c r="O50" s="86" t="n"/>
      <c r="P50" s="125">
        <f>IFERROR(IF(OR(C42="",E42=0),"",E42*C42),"")</f>
        <v/>
      </c>
      <c r="Q50" s="125">
        <f>IFERROR(IF(OR(C42="",F42=0),"",F42*C42),"")</f>
        <v/>
      </c>
      <c r="R50" s="125">
        <f>IFERROR(IF(OR(C42="",G42=0),"",G42*C42),"")</f>
        <v/>
      </c>
      <c r="S50" s="125">
        <f>IFERROR(IF(OR(C42="",H42=0),"",H42*C42),"")</f>
        <v/>
      </c>
      <c r="T50" s="125">
        <f>IFERROR(IF(OR(C42="",I42=0),"",I42*C42),"")</f>
        <v/>
      </c>
      <c r="U50" s="125">
        <f>IFERROR(IF(OR(C42="",J42=0),"",J42*C42),"")</f>
        <v/>
      </c>
      <c r="V50" s="125">
        <f>IFERROR(IF(OR(C42="",K42=0),"",K42*C42),"")</f>
        <v/>
      </c>
      <c r="W50" s="125">
        <f>IFERROR(IF(OR(C42="",L42=0),"",L42*C42),"")</f>
        <v/>
      </c>
    </row>
    <row r="51" ht="15" customHeight="1" s="103">
      <c r="A51" s="127" t="n"/>
      <c r="B51" s="86" t="n"/>
      <c r="C51" s="125">
        <f>IFERROR(INDEX('🧗 Climbing Log'!$B$75:$B$80,MATCH(B43,'🧗 Climbing Log'!$A$75:$A$80,0)),"")</f>
        <v/>
      </c>
      <c r="D51" s="87" t="n"/>
      <c r="E51" s="87" t="n"/>
      <c r="F51" s="87" t="n"/>
      <c r="G51" s="87" t="n"/>
      <c r="H51" s="87" t="n"/>
      <c r="I51" s="87" t="n"/>
      <c r="J51" s="87" t="n"/>
      <c r="K51" s="87" t="n"/>
      <c r="L51" s="87" t="n"/>
      <c r="M51" s="77">
        <f>IFERROR(SUM(E43:L43),0)</f>
        <v/>
      </c>
      <c r="N51" s="78">
        <f>IFERROR(IF(OR(C43="",M43=0),"",M43*C43),"")</f>
        <v/>
      </c>
      <c r="O51" s="86" t="n"/>
      <c r="P51" s="125">
        <f>IFERROR(IF(OR(C43="",E43=0),"",E43*C43),"")</f>
        <v/>
      </c>
      <c r="Q51" s="125">
        <f>IFERROR(IF(OR(C43="",F43=0),"",F43*C43),"")</f>
        <v/>
      </c>
      <c r="R51" s="125">
        <f>IFERROR(IF(OR(C43="",G43=0),"",G43*C43),"")</f>
        <v/>
      </c>
      <c r="S51" s="125">
        <f>IFERROR(IF(OR(C43="",H43=0),"",H43*C43),"")</f>
        <v/>
      </c>
      <c r="T51" s="125">
        <f>IFERROR(IF(OR(C43="",I43=0),"",I43*C43),"")</f>
        <v/>
      </c>
      <c r="U51" s="125">
        <f>IFERROR(IF(OR(C43="",J43=0),"",J43*C43),"")</f>
        <v/>
      </c>
      <c r="V51" s="125">
        <f>IFERROR(IF(OR(C43="",K43=0),"",K43*C43),"")</f>
        <v/>
      </c>
      <c r="W51" s="125">
        <f>IFERROR(IF(OR(C43="",L43=0),"",L43*C43),"")</f>
        <v/>
      </c>
    </row>
    <row r="52" ht="15" customHeight="1" s="103">
      <c r="A52" s="127" t="n"/>
      <c r="B52" s="86" t="n"/>
      <c r="C52" s="125">
        <f>IFERROR(INDEX('🧗 Climbing Log'!$B$75:$B$80,MATCH(B44,'🧗 Climbing Log'!$A$75:$A$80,0)),"")</f>
        <v/>
      </c>
      <c r="D52" s="87" t="n"/>
      <c r="E52" s="87" t="n"/>
      <c r="F52" s="87" t="n"/>
      <c r="G52" s="87" t="n"/>
      <c r="H52" s="87" t="n"/>
      <c r="I52" s="87" t="n"/>
      <c r="J52" s="87" t="n"/>
      <c r="K52" s="87" t="n"/>
      <c r="L52" s="87" t="n"/>
      <c r="M52" s="77">
        <f>IFERROR(SUM(E44:L44),0)</f>
        <v/>
      </c>
      <c r="N52" s="78">
        <f>IFERROR(IF(OR(C44="",M44=0),"",M44*C44),"")</f>
        <v/>
      </c>
      <c r="O52" s="86" t="n"/>
      <c r="P52" s="125">
        <f>IFERROR(IF(OR(C44="",E44=0),"",E44*C44),"")</f>
        <v/>
      </c>
      <c r="Q52" s="125">
        <f>IFERROR(IF(OR(C44="",F44=0),"",F44*C44),"")</f>
        <v/>
      </c>
      <c r="R52" s="125">
        <f>IFERROR(IF(OR(C44="",G44=0),"",G44*C44),"")</f>
        <v/>
      </c>
      <c r="S52" s="125">
        <f>IFERROR(IF(OR(C44="",H44=0),"",H44*C44),"")</f>
        <v/>
      </c>
      <c r="T52" s="125">
        <f>IFERROR(IF(OR(C44="",I44=0),"",I44*C44),"")</f>
        <v/>
      </c>
      <c r="U52" s="125">
        <f>IFERROR(IF(OR(C44="",J44=0),"",J44*C44),"")</f>
        <v/>
      </c>
      <c r="V52" s="125">
        <f>IFERROR(IF(OR(C44="",K44=0),"",K44*C44),"")</f>
        <v/>
      </c>
      <c r="W52" s="125">
        <f>IFERROR(IF(OR(C44="",L44=0),"",L44*C44),"")</f>
        <v/>
      </c>
    </row>
    <row r="53" ht="15" customHeight="1" s="103">
      <c r="A53" s="127" t="n"/>
      <c r="B53" s="86" t="n"/>
      <c r="C53" s="125">
        <f>IFERROR(INDEX('🧗 Climbing Log'!$B$75:$B$80,MATCH(B45,'🧗 Climbing Log'!$A$75:$A$80,0)),"")</f>
        <v/>
      </c>
      <c r="D53" s="87" t="n"/>
      <c r="E53" s="87" t="n"/>
      <c r="F53" s="87" t="n"/>
      <c r="G53" s="87" t="n"/>
      <c r="H53" s="87" t="n"/>
      <c r="I53" s="87" t="n"/>
      <c r="J53" s="87" t="n"/>
      <c r="K53" s="87" t="n"/>
      <c r="L53" s="87" t="n"/>
      <c r="M53" s="77">
        <f>IFERROR(SUM(E45:L45),0)</f>
        <v/>
      </c>
      <c r="N53" s="78">
        <f>IFERROR(IF(OR(C45="",M45=0),"",M45*C45),"")</f>
        <v/>
      </c>
      <c r="O53" s="86" t="n"/>
      <c r="P53" s="125">
        <f>IFERROR(IF(OR(C45="",E45=0),"",E45*C45),"")</f>
        <v/>
      </c>
      <c r="Q53" s="125">
        <f>IFERROR(IF(OR(C45="",F45=0),"",F45*C45),"")</f>
        <v/>
      </c>
      <c r="R53" s="125">
        <f>IFERROR(IF(OR(C45="",G45=0),"",G45*C45),"")</f>
        <v/>
      </c>
      <c r="S53" s="125">
        <f>IFERROR(IF(OR(C45="",H45=0),"",H45*C45),"")</f>
        <v/>
      </c>
      <c r="T53" s="125">
        <f>IFERROR(IF(OR(C45="",I45=0),"",I45*C45),"")</f>
        <v/>
      </c>
      <c r="U53" s="125">
        <f>IFERROR(IF(OR(C45="",J45=0),"",J45*C45),"")</f>
        <v/>
      </c>
      <c r="V53" s="125">
        <f>IFERROR(IF(OR(C45="",K45=0),"",K45*C45),"")</f>
        <v/>
      </c>
      <c r="W53" s="125">
        <f>IFERROR(IF(OR(C45="",L45=0),"",L45*C45),"")</f>
        <v/>
      </c>
    </row>
    <row r="54" ht="15" customHeight="1" s="103">
      <c r="A54" s="127" t="n"/>
      <c r="B54" s="86" t="n"/>
      <c r="C54" s="125">
        <f>IFERROR(INDEX('🧗 Climbing Log'!$B$75:$B$80,MATCH(B46,'🧗 Climbing Log'!$A$75:$A$80,0)),"")</f>
        <v/>
      </c>
      <c r="D54" s="87" t="n"/>
      <c r="E54" s="87" t="n"/>
      <c r="F54" s="87" t="n"/>
      <c r="G54" s="87" t="n"/>
      <c r="H54" s="87" t="n"/>
      <c r="I54" s="87" t="n"/>
      <c r="J54" s="87" t="n"/>
      <c r="K54" s="87" t="n"/>
      <c r="L54" s="87" t="n"/>
      <c r="M54" s="77">
        <f>IFERROR(SUM(E46:L46),0)</f>
        <v/>
      </c>
      <c r="N54" s="78">
        <f>IFERROR(IF(OR(C46="",M46=0),"",M46*C46),"")</f>
        <v/>
      </c>
      <c r="O54" s="86" t="n"/>
      <c r="P54" s="125">
        <f>IFERROR(IF(OR(C46="",E46=0),"",E46*C46),"")</f>
        <v/>
      </c>
      <c r="Q54" s="125">
        <f>IFERROR(IF(OR(C46="",F46=0),"",F46*C46),"")</f>
        <v/>
      </c>
      <c r="R54" s="125">
        <f>IFERROR(IF(OR(C46="",G46=0),"",G46*C46),"")</f>
        <v/>
      </c>
      <c r="S54" s="125">
        <f>IFERROR(IF(OR(C46="",H46=0),"",H46*C46),"")</f>
        <v/>
      </c>
      <c r="T54" s="125">
        <f>IFERROR(IF(OR(C46="",I46=0),"",I46*C46),"")</f>
        <v/>
      </c>
      <c r="U54" s="125">
        <f>IFERROR(IF(OR(C46="",J46=0),"",J46*C46),"")</f>
        <v/>
      </c>
      <c r="V54" s="125">
        <f>IFERROR(IF(OR(C46="",K46=0),"",K46*C46),"")</f>
        <v/>
      </c>
      <c r="W54" s="125">
        <f>IFERROR(IF(OR(C46="",L46=0),"",L46*C46),"")</f>
        <v/>
      </c>
    </row>
    <row r="55" ht="15" customHeight="1" s="103">
      <c r="A55" s="127" t="n"/>
      <c r="B55" s="86" t="n"/>
      <c r="C55" s="125">
        <f>IFERROR(INDEX('🧗 Climbing Log'!$B$75:$B$80,MATCH(B47,'🧗 Climbing Log'!$A$75:$A$80,0)),"")</f>
        <v/>
      </c>
      <c r="D55" s="87" t="n"/>
      <c r="E55" s="87" t="n"/>
      <c r="F55" s="87" t="n"/>
      <c r="G55" s="87" t="n"/>
      <c r="H55" s="87" t="n"/>
      <c r="I55" s="87" t="n"/>
      <c r="J55" s="87" t="n"/>
      <c r="K55" s="87" t="n"/>
      <c r="L55" s="87" t="n"/>
      <c r="M55" s="77">
        <f>IFERROR(SUM(E47:L47),0)</f>
        <v/>
      </c>
      <c r="N55" s="78">
        <f>IFERROR(IF(OR(C47="",M47=0),"",M47*C47),"")</f>
        <v/>
      </c>
      <c r="O55" s="86" t="n"/>
      <c r="P55" s="125">
        <f>IFERROR(IF(OR(C47="",E47=0),"",E47*C47),"")</f>
        <v/>
      </c>
      <c r="Q55" s="125">
        <f>IFERROR(IF(OR(C47="",F47=0),"",F47*C47),"")</f>
        <v/>
      </c>
      <c r="R55" s="125">
        <f>IFERROR(IF(OR(C47="",G47=0),"",G47*C47),"")</f>
        <v/>
      </c>
      <c r="S55" s="125">
        <f>IFERROR(IF(OR(C47="",H47=0),"",H47*C47),"")</f>
        <v/>
      </c>
      <c r="T55" s="125">
        <f>IFERROR(IF(OR(C47="",I47=0),"",I47*C47),"")</f>
        <v/>
      </c>
      <c r="U55" s="125">
        <f>IFERROR(IF(OR(C47="",J47=0),"",J47*C47),"")</f>
        <v/>
      </c>
      <c r="V55" s="125">
        <f>IFERROR(IF(OR(C47="",K47=0),"",K47*C47),"")</f>
        <v/>
      </c>
      <c r="W55" s="125">
        <f>IFERROR(IF(OR(C47="",L47=0),"",L47*C47),"")</f>
        <v/>
      </c>
    </row>
    <row r="56" ht="15" customHeight="1" s="103">
      <c r="A56" s="127" t="n"/>
      <c r="B56" s="86" t="n"/>
      <c r="C56" s="125">
        <f>IFERROR(INDEX('🧗 Climbing Log'!$B$75:$B$80,MATCH(B48,'🧗 Climbing Log'!$A$75:$A$80,0)),"")</f>
        <v/>
      </c>
      <c r="D56" s="87" t="n"/>
      <c r="E56" s="87" t="n"/>
      <c r="F56" s="87" t="n"/>
      <c r="G56" s="87" t="n"/>
      <c r="H56" s="87" t="n"/>
      <c r="I56" s="87" t="n"/>
      <c r="J56" s="87" t="n"/>
      <c r="K56" s="87" t="n"/>
      <c r="L56" s="87" t="n"/>
      <c r="M56" s="77">
        <f>IFERROR(SUM(E48:L48),0)</f>
        <v/>
      </c>
      <c r="N56" s="78">
        <f>IFERROR(IF(OR(C48="",M48=0),"",M48*C48),"")</f>
        <v/>
      </c>
      <c r="O56" s="86" t="n"/>
      <c r="P56" s="125">
        <f>IFERROR(IF(OR(C48="",E48=0),"",E48*C48),"")</f>
        <v/>
      </c>
      <c r="Q56" s="125">
        <f>IFERROR(IF(OR(C48="",F48=0),"",F48*C48),"")</f>
        <v/>
      </c>
      <c r="R56" s="125">
        <f>IFERROR(IF(OR(C48="",G48=0),"",G48*C48),"")</f>
        <v/>
      </c>
      <c r="S56" s="125">
        <f>IFERROR(IF(OR(C48="",H48=0),"",H48*C48),"")</f>
        <v/>
      </c>
      <c r="T56" s="125">
        <f>IFERROR(IF(OR(C48="",I48=0),"",I48*C48),"")</f>
        <v/>
      </c>
      <c r="U56" s="125">
        <f>IFERROR(IF(OR(C48="",J48=0),"",J48*C48),"")</f>
        <v/>
      </c>
      <c r="V56" s="125">
        <f>IFERROR(IF(OR(C48="",K48=0),"",K48*C48),"")</f>
        <v/>
      </c>
      <c r="W56" s="125">
        <f>IFERROR(IF(OR(C48="",L48=0),"",L48*C48),"")</f>
        <v/>
      </c>
    </row>
    <row r="57" ht="15" customHeight="1" s="103">
      <c r="A57" s="127" t="n"/>
      <c r="B57" s="86" t="n"/>
      <c r="C57" s="125">
        <f>IFERROR(INDEX('🧗 Climbing Log'!$B$75:$B$80,MATCH(B49,'🧗 Climbing Log'!$A$75:$A$80,0)),"")</f>
        <v/>
      </c>
      <c r="D57" s="87" t="n"/>
      <c r="E57" s="87" t="n"/>
      <c r="F57" s="87" t="n"/>
      <c r="G57" s="87" t="n"/>
      <c r="H57" s="87" t="n"/>
      <c r="I57" s="87" t="n"/>
      <c r="J57" s="87" t="n"/>
      <c r="K57" s="87" t="n"/>
      <c r="L57" s="87" t="n"/>
      <c r="M57" s="77">
        <f>IFERROR(SUM(E49:L49),0)</f>
        <v/>
      </c>
      <c r="N57" s="78">
        <f>IFERROR(IF(OR(C49="",M49=0),"",M49*C49),"")</f>
        <v/>
      </c>
      <c r="O57" s="86" t="n"/>
      <c r="P57" s="125">
        <f>IFERROR(IF(OR(C49="",E49=0),"",E49*C49),"")</f>
        <v/>
      </c>
      <c r="Q57" s="125">
        <f>IFERROR(IF(OR(C49="",F49=0),"",F49*C49),"")</f>
        <v/>
      </c>
      <c r="R57" s="125">
        <f>IFERROR(IF(OR(C49="",G49=0),"",G49*C49),"")</f>
        <v/>
      </c>
      <c r="S57" s="125">
        <f>IFERROR(IF(OR(C49="",H49=0),"",H49*C49),"")</f>
        <v/>
      </c>
      <c r="T57" s="125">
        <f>IFERROR(IF(OR(C49="",I49=0),"",I49*C49),"")</f>
        <v/>
      </c>
      <c r="U57" s="125">
        <f>IFERROR(IF(OR(C49="",J49=0),"",J49*C49),"")</f>
        <v/>
      </c>
      <c r="V57" s="125">
        <f>IFERROR(IF(OR(C49="",K49=0),"",K49*C49),"")</f>
        <v/>
      </c>
      <c r="W57" s="125">
        <f>IFERROR(IF(OR(C49="",L49=0),"",L49*C49),"")</f>
        <v/>
      </c>
    </row>
    <row r="58" ht="15" customHeight="1" s="103">
      <c r="A58" s="127" t="n"/>
      <c r="B58" s="86" t="n"/>
      <c r="C58" s="125">
        <f>IFERROR(INDEX('🧗 Climbing Log'!$B$75:$B$80,MATCH(B50,'🧗 Climbing Log'!$A$75:$A$80,0)),"")</f>
        <v/>
      </c>
      <c r="D58" s="87" t="n"/>
      <c r="E58" s="87" t="n"/>
      <c r="F58" s="87" t="n"/>
      <c r="G58" s="87" t="n"/>
      <c r="H58" s="87" t="n"/>
      <c r="I58" s="87" t="n"/>
      <c r="J58" s="87" t="n"/>
      <c r="K58" s="87" t="n"/>
      <c r="L58" s="87" t="n"/>
      <c r="M58" s="77">
        <f>IFERROR(SUM(E50:L50),0)</f>
        <v/>
      </c>
      <c r="N58" s="78">
        <f>IFERROR(IF(OR(C50="",M50=0),"",M50*C50),"")</f>
        <v/>
      </c>
      <c r="O58" s="86" t="n"/>
      <c r="P58" s="125">
        <f>IFERROR(IF(OR(C50="",E50=0),"",E50*C50),"")</f>
        <v/>
      </c>
      <c r="Q58" s="125">
        <f>IFERROR(IF(OR(C50="",F50=0),"",F50*C50),"")</f>
        <v/>
      </c>
      <c r="R58" s="125">
        <f>IFERROR(IF(OR(C50="",G50=0),"",G50*C50),"")</f>
        <v/>
      </c>
      <c r="S58" s="125">
        <f>IFERROR(IF(OR(C50="",H50=0),"",H50*C50),"")</f>
        <v/>
      </c>
      <c r="T58" s="125">
        <f>IFERROR(IF(OR(C50="",I50=0),"",I50*C50),"")</f>
        <v/>
      </c>
      <c r="U58" s="125">
        <f>IFERROR(IF(OR(C50="",J50=0),"",J50*C50),"")</f>
        <v/>
      </c>
      <c r="V58" s="125">
        <f>IFERROR(IF(OR(C50="",K50=0),"",K50*C50),"")</f>
        <v/>
      </c>
      <c r="W58" s="125">
        <f>IFERROR(IF(OR(C50="",L50=0),"",L50*C50),"")</f>
        <v/>
      </c>
    </row>
    <row r="59" ht="15" customHeight="1" s="103">
      <c r="A59" s="127" t="n"/>
      <c r="B59" s="86" t="n"/>
      <c r="C59" s="125">
        <f>IFERROR(INDEX('🧗 Climbing Log'!$B$75:$B$80,MATCH(B51,'🧗 Climbing Log'!$A$75:$A$80,0)),"")</f>
        <v/>
      </c>
      <c r="D59" s="87" t="n"/>
      <c r="E59" s="87" t="n"/>
      <c r="F59" s="87" t="n"/>
      <c r="G59" s="87" t="n"/>
      <c r="H59" s="87" t="n"/>
      <c r="I59" s="87" t="n"/>
      <c r="J59" s="87" t="n"/>
      <c r="K59" s="87" t="n"/>
      <c r="L59" s="87" t="n"/>
      <c r="M59" s="77">
        <f>IFERROR(SUM(E51:L51),0)</f>
        <v/>
      </c>
      <c r="N59" s="78">
        <f>IFERROR(IF(OR(C51="",M51=0),"",M51*C51),"")</f>
        <v/>
      </c>
      <c r="O59" s="86" t="n"/>
      <c r="P59" s="125">
        <f>IFERROR(IF(OR(C51="",E51=0),"",E51*C51),"")</f>
        <v/>
      </c>
      <c r="Q59" s="125">
        <f>IFERROR(IF(OR(C51="",F51=0),"",F51*C51),"")</f>
        <v/>
      </c>
      <c r="R59" s="125">
        <f>IFERROR(IF(OR(C51="",G51=0),"",G51*C51),"")</f>
        <v/>
      </c>
      <c r="S59" s="125">
        <f>IFERROR(IF(OR(C51="",H51=0),"",H51*C51),"")</f>
        <v/>
      </c>
      <c r="T59" s="125">
        <f>IFERROR(IF(OR(C51="",I51=0),"",I51*C51),"")</f>
        <v/>
      </c>
      <c r="U59" s="125">
        <f>IFERROR(IF(OR(C51="",J51=0),"",J51*C51),"")</f>
        <v/>
      </c>
      <c r="V59" s="125">
        <f>IFERROR(IF(OR(C51="",K51=0),"",K51*C51),"")</f>
        <v/>
      </c>
      <c r="W59" s="125">
        <f>IFERROR(IF(OR(C51="",L51=0),"",L51*C51),"")</f>
        <v/>
      </c>
    </row>
    <row r="60" ht="15" customHeight="1" s="103">
      <c r="A60" s="127" t="n"/>
      <c r="B60" s="86" t="n"/>
      <c r="C60" s="125">
        <f>IFERROR(INDEX('🧗 Climbing Log'!$B$75:$B$80,MATCH(B52,'🧗 Climbing Log'!$A$75:$A$80,0)),"")</f>
        <v/>
      </c>
      <c r="D60" s="87" t="n"/>
      <c r="E60" s="87" t="n"/>
      <c r="F60" s="87" t="n"/>
      <c r="G60" s="87" t="n"/>
      <c r="H60" s="87" t="n"/>
      <c r="I60" s="87" t="n"/>
      <c r="J60" s="87" t="n"/>
      <c r="K60" s="87" t="n"/>
      <c r="L60" s="87" t="n"/>
      <c r="M60" s="77">
        <f>IFERROR(SUM(E52:L52),0)</f>
        <v/>
      </c>
      <c r="N60" s="78">
        <f>IFERROR(IF(OR(C52="",M52=0),"",M52*C52),"")</f>
        <v/>
      </c>
      <c r="O60" s="86" t="n"/>
      <c r="P60" s="125">
        <f>IFERROR(IF(OR(C52="",E52=0),"",E52*C52),"")</f>
        <v/>
      </c>
      <c r="Q60" s="125">
        <f>IFERROR(IF(OR(C52="",F52=0),"",F52*C52),"")</f>
        <v/>
      </c>
      <c r="R60" s="125">
        <f>IFERROR(IF(OR(C52="",G52=0),"",G52*C52),"")</f>
        <v/>
      </c>
      <c r="S60" s="125">
        <f>IFERROR(IF(OR(C52="",H52=0),"",H52*C52),"")</f>
        <v/>
      </c>
      <c r="T60" s="125">
        <f>IFERROR(IF(OR(C52="",I52=0),"",I52*C52),"")</f>
        <v/>
      </c>
      <c r="U60" s="125">
        <f>IFERROR(IF(OR(C52="",J52=0),"",J52*C52),"")</f>
        <v/>
      </c>
      <c r="V60" s="125">
        <f>IFERROR(IF(OR(C52="",K52=0),"",K52*C52),"")</f>
        <v/>
      </c>
      <c r="W60" s="125">
        <f>IFERROR(IF(OR(C52="",L52=0),"",L52*C52),"")</f>
        <v/>
      </c>
    </row>
    <row r="61" ht="15" customHeight="1" s="103">
      <c r="A61" s="127" t="n"/>
      <c r="B61" s="86" t="n"/>
      <c r="C61" s="125">
        <f>IFERROR(INDEX('🧗 Climbing Log'!$B$75:$B$80,MATCH(B53,'🧗 Climbing Log'!$A$75:$A$80,0)),"")</f>
        <v/>
      </c>
      <c r="D61" s="87" t="n"/>
      <c r="E61" s="87" t="n"/>
      <c r="F61" s="87" t="n"/>
      <c r="G61" s="87" t="n"/>
      <c r="H61" s="87" t="n"/>
      <c r="I61" s="87" t="n"/>
      <c r="J61" s="87" t="n"/>
      <c r="K61" s="87" t="n"/>
      <c r="L61" s="87" t="n"/>
      <c r="M61" s="77">
        <f>IFERROR(SUM(E53:L53),0)</f>
        <v/>
      </c>
      <c r="N61" s="78">
        <f>IFERROR(IF(OR(C53="",M53=0),"",M53*C53),"")</f>
        <v/>
      </c>
      <c r="O61" s="86" t="n"/>
      <c r="P61" s="125">
        <f>IFERROR(IF(OR(C53="",E53=0),"",E53*C53),"")</f>
        <v/>
      </c>
      <c r="Q61" s="125">
        <f>IFERROR(IF(OR(C53="",F53=0),"",F53*C53),"")</f>
        <v/>
      </c>
      <c r="R61" s="125">
        <f>IFERROR(IF(OR(C53="",G53=0),"",G53*C53),"")</f>
        <v/>
      </c>
      <c r="S61" s="125">
        <f>IFERROR(IF(OR(C53="",H53=0),"",H53*C53),"")</f>
        <v/>
      </c>
      <c r="T61" s="125">
        <f>IFERROR(IF(OR(C53="",I53=0),"",I53*C53),"")</f>
        <v/>
      </c>
      <c r="U61" s="125">
        <f>IFERROR(IF(OR(C53="",J53=0),"",J53*C53),"")</f>
        <v/>
      </c>
      <c r="V61" s="125">
        <f>IFERROR(IF(OR(C53="",K53=0),"",K53*C53),"")</f>
        <v/>
      </c>
      <c r="W61" s="125">
        <f>IFERROR(IF(OR(C53="",L53=0),"",L53*C53),"")</f>
        <v/>
      </c>
    </row>
    <row r="62" ht="15" customHeight="1" s="103">
      <c r="A62" s="127" t="n"/>
      <c r="B62" s="86" t="n"/>
      <c r="C62" s="125">
        <f>IFERROR(INDEX('🧗 Climbing Log'!$B$75:$B$80,MATCH(B54,'🧗 Climbing Log'!$A$75:$A$80,0)),"")</f>
        <v/>
      </c>
      <c r="D62" s="87" t="n"/>
      <c r="E62" s="87" t="n"/>
      <c r="F62" s="87" t="n"/>
      <c r="G62" s="87" t="n"/>
      <c r="H62" s="87" t="n"/>
      <c r="I62" s="87" t="n"/>
      <c r="J62" s="87" t="n"/>
      <c r="K62" s="87" t="n"/>
      <c r="L62" s="87" t="n"/>
      <c r="M62" s="77">
        <f>IFERROR(SUM(E54:L54),0)</f>
        <v/>
      </c>
      <c r="N62" s="78">
        <f>IFERROR(IF(OR(C54="",M54=0),"",M54*C54),"")</f>
        <v/>
      </c>
      <c r="O62" s="86" t="n"/>
      <c r="P62" s="125">
        <f>IFERROR(IF(OR(C54="",E54=0),"",E54*C54),"")</f>
        <v/>
      </c>
      <c r="Q62" s="125">
        <f>IFERROR(IF(OR(C54="",F54=0),"",F54*C54),"")</f>
        <v/>
      </c>
      <c r="R62" s="125">
        <f>IFERROR(IF(OR(C54="",G54=0),"",G54*C54),"")</f>
        <v/>
      </c>
      <c r="S62" s="125">
        <f>IFERROR(IF(OR(C54="",H54=0),"",H54*C54),"")</f>
        <v/>
      </c>
      <c r="T62" s="125">
        <f>IFERROR(IF(OR(C54="",I54=0),"",I54*C54),"")</f>
        <v/>
      </c>
      <c r="U62" s="125">
        <f>IFERROR(IF(OR(C54="",J54=0),"",J54*C54),"")</f>
        <v/>
      </c>
      <c r="V62" s="125">
        <f>IFERROR(IF(OR(C54="",K54=0),"",K54*C54),"")</f>
        <v/>
      </c>
      <c r="W62" s="125">
        <f>IFERROR(IF(OR(C54="",L54=0),"",L54*C54),"")</f>
        <v/>
      </c>
    </row>
    <row r="63" ht="15" customHeight="1" s="103">
      <c r="A63" s="127" t="n"/>
      <c r="B63" s="86" t="n"/>
      <c r="C63" s="125">
        <f>IFERROR(INDEX('🧗 Climbing Log'!$B$75:$B$80,MATCH(B55,'🧗 Climbing Log'!$A$75:$A$80,0)),"")</f>
        <v/>
      </c>
      <c r="D63" s="87" t="n"/>
      <c r="E63" s="87" t="n"/>
      <c r="F63" s="87" t="n"/>
      <c r="G63" s="87" t="n"/>
      <c r="H63" s="87" t="n"/>
      <c r="I63" s="87" t="n"/>
      <c r="J63" s="87" t="n"/>
      <c r="K63" s="87" t="n"/>
      <c r="L63" s="87" t="n"/>
      <c r="M63" s="77">
        <f>IFERROR(SUM(E55:L55),0)</f>
        <v/>
      </c>
      <c r="N63" s="78">
        <f>IFERROR(IF(OR(C55="",M55=0),"",M55*C55),"")</f>
        <v/>
      </c>
      <c r="O63" s="86" t="n"/>
      <c r="P63" s="125">
        <f>IFERROR(IF(OR(C55="",E55=0),"",E55*C55),"")</f>
        <v/>
      </c>
      <c r="Q63" s="125">
        <f>IFERROR(IF(OR(C55="",F55=0),"",F55*C55),"")</f>
        <v/>
      </c>
      <c r="R63" s="125">
        <f>IFERROR(IF(OR(C55="",G55=0),"",G55*C55),"")</f>
        <v/>
      </c>
      <c r="S63" s="125">
        <f>IFERROR(IF(OR(C55="",H55=0),"",H55*C55),"")</f>
        <v/>
      </c>
      <c r="T63" s="125">
        <f>IFERROR(IF(OR(C55="",I55=0),"",I55*C55),"")</f>
        <v/>
      </c>
      <c r="U63" s="125">
        <f>IFERROR(IF(OR(C55="",J55=0),"",J55*C55),"")</f>
        <v/>
      </c>
      <c r="V63" s="125">
        <f>IFERROR(IF(OR(C55="",K55=0),"",K55*C55),"")</f>
        <v/>
      </c>
      <c r="W63" s="125">
        <f>IFERROR(IF(OR(C55="",L55=0),"",L55*C55),"")</f>
        <v/>
      </c>
    </row>
    <row r="64" ht="15" customHeight="1" s="103">
      <c r="A64" s="127" t="n"/>
      <c r="B64" s="86" t="n"/>
      <c r="C64" s="125">
        <f>IFERROR(INDEX('🧗 Climbing Log'!$B$75:$B$80,MATCH(B56,'🧗 Climbing Log'!$A$75:$A$80,0)),"")</f>
        <v/>
      </c>
      <c r="D64" s="87" t="n"/>
      <c r="E64" s="87" t="n"/>
      <c r="F64" s="87" t="n"/>
      <c r="G64" s="87" t="n"/>
      <c r="H64" s="87" t="n"/>
      <c r="I64" s="87" t="n"/>
      <c r="J64" s="87" t="n"/>
      <c r="K64" s="87" t="n"/>
      <c r="L64" s="87" t="n"/>
      <c r="M64" s="77">
        <f>IFERROR(SUM(E56:L56),0)</f>
        <v/>
      </c>
      <c r="N64" s="78">
        <f>IFERROR(IF(OR(C56="",M56=0),"",M56*C56),"")</f>
        <v/>
      </c>
      <c r="O64" s="86" t="n"/>
      <c r="P64" s="125">
        <f>IFERROR(IF(OR(C56="",E56=0),"",E56*C56),"")</f>
        <v/>
      </c>
      <c r="Q64" s="125">
        <f>IFERROR(IF(OR(C56="",F56=0),"",F56*C56),"")</f>
        <v/>
      </c>
      <c r="R64" s="125">
        <f>IFERROR(IF(OR(C56="",G56=0),"",G56*C56),"")</f>
        <v/>
      </c>
      <c r="S64" s="125">
        <f>IFERROR(IF(OR(C56="",H56=0),"",H56*C56),"")</f>
        <v/>
      </c>
      <c r="T64" s="125">
        <f>IFERROR(IF(OR(C56="",I56=0),"",I56*C56),"")</f>
        <v/>
      </c>
      <c r="U64" s="125">
        <f>IFERROR(IF(OR(C56="",J56=0),"",J56*C56),"")</f>
        <v/>
      </c>
      <c r="V64" s="125">
        <f>IFERROR(IF(OR(C56="",K56=0),"",K56*C56),"")</f>
        <v/>
      </c>
      <c r="W64" s="125">
        <f>IFERROR(IF(OR(C56="",L56=0),"",L56*C56),"")</f>
        <v/>
      </c>
    </row>
    <row r="65" ht="19.5" customHeight="1" s="103">
      <c r="A65" s="154" t="n"/>
      <c r="B65" s="109" t="n"/>
      <c r="C65" s="109" t="n"/>
      <c r="D65" s="109" t="n"/>
      <c r="E65" s="110" t="n"/>
      <c r="F65" s="87" t="n"/>
      <c r="G65" s="87" t="n"/>
      <c r="H65" s="87" t="n"/>
      <c r="I65" s="87" t="n"/>
      <c r="J65" s="87" t="n"/>
      <c r="K65" s="87" t="n"/>
      <c r="L65" s="87" t="n"/>
      <c r="M65" s="77">
        <f>IFERROR(SUM(E57:L57),0)</f>
        <v/>
      </c>
      <c r="N65" s="78">
        <f>IFERROR(IF(OR(C57="",M57=0),"",M57*C57),"")</f>
        <v/>
      </c>
      <c r="O65" s="86" t="n"/>
      <c r="P65" s="125">
        <f>IFERROR(IF(OR(C57="",E57=0),"",E57*C57),"")</f>
        <v/>
      </c>
      <c r="Q65" s="125">
        <f>IFERROR(IF(OR(C57="",F57=0),"",F57*C57),"")</f>
        <v/>
      </c>
      <c r="R65" s="125">
        <f>IFERROR(IF(OR(C57="",G57=0),"",G57*C57),"")</f>
        <v/>
      </c>
      <c r="S65" s="125">
        <f>IFERROR(IF(OR(C57="",H57=0),"",H57*C57),"")</f>
        <v/>
      </c>
      <c r="T65" s="125">
        <f>IFERROR(IF(OR(C57="",I57=0),"",I57*C57),"")</f>
        <v/>
      </c>
      <c r="U65" s="125">
        <f>IFERROR(IF(OR(C57="",J57=0),"",J57*C57),"")</f>
        <v/>
      </c>
      <c r="V65" s="125">
        <f>IFERROR(IF(OR(C57="",K57=0),"",K57*C57),"")</f>
        <v/>
      </c>
      <c r="W65" s="125">
        <f>IFERROR(IF(OR(C57="",L57=0),"",L57*C57),"")</f>
        <v/>
      </c>
    </row>
    <row r="66" ht="15" customHeight="1" s="103">
      <c r="A66" s="154" t="n"/>
      <c r="B66" s="109" t="n"/>
      <c r="C66" s="110" t="n"/>
      <c r="D66" s="109" t="n"/>
      <c r="E66" s="110" t="n"/>
      <c r="F66" s="87" t="n"/>
      <c r="G66" s="87" t="n"/>
      <c r="H66" s="87" t="n"/>
      <c r="I66" s="87" t="n"/>
      <c r="J66" s="87" t="n"/>
      <c r="K66" s="87" t="n"/>
      <c r="L66" s="87" t="n"/>
      <c r="M66" s="77">
        <f>IFERROR(SUM(E58:L58),0)</f>
        <v/>
      </c>
      <c r="N66" s="78">
        <f>IFERROR(IF(OR(C58="",M58=0),"",M58*C58),"")</f>
        <v/>
      </c>
      <c r="O66" s="86" t="n"/>
      <c r="P66" s="125">
        <f>IFERROR(IF(OR(C58="",E58=0),"",E58*C58),"")</f>
        <v/>
      </c>
      <c r="Q66" s="125">
        <f>IFERROR(IF(OR(C58="",F58=0),"",F58*C58),"")</f>
        <v/>
      </c>
      <c r="R66" s="125">
        <f>IFERROR(IF(OR(C58="",G58=0),"",G58*C58),"")</f>
        <v/>
      </c>
      <c r="S66" s="125">
        <f>IFERROR(IF(OR(C58="",H58=0),"",H58*C58),"")</f>
        <v/>
      </c>
      <c r="T66" s="125">
        <f>IFERROR(IF(OR(C58="",I58=0),"",I58*C58),"")</f>
        <v/>
      </c>
      <c r="U66" s="125">
        <f>IFERROR(IF(OR(C58="",J58=0),"",J58*C58),"")</f>
        <v/>
      </c>
      <c r="V66" s="125">
        <f>IFERROR(IF(OR(C58="",K58=0),"",K58*C58),"")</f>
        <v/>
      </c>
      <c r="W66" s="125">
        <f>IFERROR(IF(OR(C58="",L58=0),"",L58*C58),"")</f>
        <v/>
      </c>
    </row>
    <row r="67" ht="15" customHeight="1" s="103">
      <c r="A67" s="127" t="n"/>
      <c r="B67" s="86" t="n"/>
      <c r="C67" s="155">
        <f>IFERROR(INDEX('🧗 Climbing Log'!$B$75:$B$80,MATCH(B59,'🧗 Climbing Log'!$A$75:$A$80,0)),"")</f>
        <v/>
      </c>
      <c r="D67" s="109" t="n"/>
      <c r="E67" s="110" t="n"/>
      <c r="F67" s="87" t="n"/>
      <c r="G67" s="87" t="n"/>
      <c r="H67" s="87" t="n"/>
      <c r="I67" s="87" t="n"/>
      <c r="J67" s="87" t="n"/>
      <c r="K67" s="87" t="n"/>
      <c r="L67" s="87" t="n"/>
      <c r="M67" s="77">
        <f>IFERROR(SUM(E59:L59),0)</f>
        <v/>
      </c>
      <c r="N67" s="78">
        <f>IFERROR(IF(OR(C59="",M59=0),"",M59*C59),"")</f>
        <v/>
      </c>
      <c r="O67" s="86" t="n"/>
      <c r="P67" s="125">
        <f>IFERROR(IF(OR(C59="",E59=0),"",E59*C59),"")</f>
        <v/>
      </c>
      <c r="Q67" s="125">
        <f>IFERROR(IF(OR(C59="",F59=0),"",F59*C59),"")</f>
        <v/>
      </c>
      <c r="R67" s="125">
        <f>IFERROR(IF(OR(C59="",G59=0),"",G59*C59),"")</f>
        <v/>
      </c>
      <c r="S67" s="125">
        <f>IFERROR(IF(OR(C59="",H59=0),"",H59*C59),"")</f>
        <v/>
      </c>
      <c r="T67" s="125">
        <f>IFERROR(IF(OR(C59="",I59=0),"",I59*C59),"")</f>
        <v/>
      </c>
      <c r="U67" s="125">
        <f>IFERROR(IF(OR(C59="",J59=0),"",J59*C59),"")</f>
        <v/>
      </c>
      <c r="V67" s="125">
        <f>IFERROR(IF(OR(C59="",K59=0),"",K59*C59),"")</f>
        <v/>
      </c>
      <c r="W67" s="125">
        <f>IFERROR(IF(OR(C59="",L59=0),"",L59*C59),"")</f>
        <v/>
      </c>
    </row>
    <row r="68" ht="15" customHeight="1" s="103">
      <c r="A68" s="127" t="n"/>
      <c r="B68" s="86" t="n"/>
      <c r="C68" s="125">
        <f>IFERROR(INDEX('🧗 Climbing Log'!$B$75:$B$80,MATCH(B60,'🧗 Climbing Log'!$A$75:$A$80,0)),"")</f>
        <v/>
      </c>
      <c r="D68" s="87" t="n"/>
      <c r="E68" s="87" t="n"/>
      <c r="F68" s="87" t="n"/>
      <c r="G68" s="87" t="n"/>
      <c r="H68" s="87" t="n"/>
      <c r="I68" s="87" t="n"/>
      <c r="J68" s="87" t="n"/>
      <c r="K68" s="87" t="n"/>
      <c r="L68" s="87" t="n"/>
      <c r="M68" s="77">
        <f>IFERROR(SUM(E60:L60),0)</f>
        <v/>
      </c>
      <c r="N68" s="78">
        <f>IFERROR(IF(OR(C60="",M60=0),"",M60*C60),"")</f>
        <v/>
      </c>
      <c r="O68" s="86" t="n"/>
      <c r="P68" s="125">
        <f>IFERROR(IF(OR(C60="",E60=0),"",E60*C60),"")</f>
        <v/>
      </c>
      <c r="Q68" s="125">
        <f>IFERROR(IF(OR(C60="",F60=0),"",F60*C60),"")</f>
        <v/>
      </c>
      <c r="R68" s="125">
        <f>IFERROR(IF(OR(C60="",G60=0),"",G60*C60),"")</f>
        <v/>
      </c>
      <c r="S68" s="125">
        <f>IFERROR(IF(OR(C60="",H60=0),"",H60*C60),"")</f>
        <v/>
      </c>
      <c r="T68" s="125">
        <f>IFERROR(IF(OR(C60="",I60=0),"",I60*C60),"")</f>
        <v/>
      </c>
      <c r="U68" s="125">
        <f>IFERROR(IF(OR(C60="",J60=0),"",J60*C60),"")</f>
        <v/>
      </c>
      <c r="V68" s="125">
        <f>IFERROR(IF(OR(C60="",K60=0),"",K60*C60),"")</f>
        <v/>
      </c>
      <c r="W68" s="125">
        <f>IFERROR(IF(OR(C60="",L60=0),"",L60*C60),"")</f>
        <v/>
      </c>
    </row>
    <row r="69" ht="15" customHeight="1" s="103">
      <c r="A69" s="127" t="n"/>
      <c r="B69" s="86" t="n"/>
      <c r="C69" s="125">
        <f>IFERROR(INDEX('🧗 Climbing Log'!$B$75:$B$80,MATCH(B61,'🧗 Climbing Log'!$A$75:$A$80,0)),"")</f>
        <v/>
      </c>
      <c r="D69" s="87" t="n"/>
      <c r="E69" s="87" t="n"/>
      <c r="F69" s="87" t="n"/>
      <c r="G69" s="87" t="n"/>
      <c r="H69" s="87" t="n"/>
      <c r="I69" s="87" t="n"/>
      <c r="J69" s="87" t="n"/>
      <c r="K69" s="87" t="n"/>
      <c r="L69" s="87" t="n"/>
      <c r="M69" s="77">
        <f>IFERROR(SUM(E61:L61),0)</f>
        <v/>
      </c>
      <c r="N69" s="78">
        <f>IFERROR(IF(OR(C61="",M61=0),"",M61*C61),"")</f>
        <v/>
      </c>
      <c r="O69" s="86" t="n"/>
      <c r="P69" s="125">
        <f>IFERROR(IF(OR(C61="",E61=0),"",E61*C61),"")</f>
        <v/>
      </c>
      <c r="Q69" s="125">
        <f>IFERROR(IF(OR(C61="",F61=0),"",F61*C61),"")</f>
        <v/>
      </c>
      <c r="R69" s="125">
        <f>IFERROR(IF(OR(C61="",G61=0),"",G61*C61),"")</f>
        <v/>
      </c>
      <c r="S69" s="125">
        <f>IFERROR(IF(OR(C61="",H61=0),"",H61*C61),"")</f>
        <v/>
      </c>
      <c r="T69" s="125">
        <f>IFERROR(IF(OR(C61="",I61=0),"",I61*C61),"")</f>
        <v/>
      </c>
      <c r="U69" s="125">
        <f>IFERROR(IF(OR(C61="",J61=0),"",J61*C61),"")</f>
        <v/>
      </c>
      <c r="V69" s="125">
        <f>IFERROR(IF(OR(C61="",K61=0),"",K61*C61),"")</f>
        <v/>
      </c>
      <c r="W69" s="125">
        <f>IFERROR(IF(OR(C61="",L61=0),"",L61*C61),"")</f>
        <v/>
      </c>
    </row>
    <row r="70">
      <c r="A70" s="127" t="n"/>
      <c r="B70" s="86" t="n"/>
      <c r="C70" s="125">
        <f>IFERROR(INDEX('🧗 Climbing Log'!$B$75:$B$80,MATCH(B62,'🧗 Climbing Log'!$A$75:$A$80,0)),"")</f>
        <v/>
      </c>
      <c r="D70" s="87" t="n"/>
      <c r="E70" s="87" t="n"/>
      <c r="F70" s="87" t="n"/>
      <c r="G70" s="87" t="n"/>
      <c r="H70" s="87" t="n"/>
      <c r="I70" s="87" t="n"/>
      <c r="J70" s="87" t="n"/>
      <c r="K70" s="87" t="n"/>
      <c r="L70" s="87" t="n"/>
      <c r="M70" s="77">
        <f>IFERROR(SUM(E62:L62),0)</f>
        <v/>
      </c>
      <c r="N70" s="78">
        <f>IFERROR(IF(OR(C62="",M62=0),"",M62*C62),"")</f>
        <v/>
      </c>
      <c r="O70" s="86" t="n"/>
      <c r="P70" s="125">
        <f>IFERROR(IF(OR(C62="",E62=0),"",E62*C62),"")</f>
        <v/>
      </c>
      <c r="Q70" s="125">
        <f>IFERROR(IF(OR(C62="",F62=0),"",F62*C62),"")</f>
        <v/>
      </c>
      <c r="R70" s="125">
        <f>IFERROR(IF(OR(C62="",G62=0),"",G62*C62),"")</f>
        <v/>
      </c>
      <c r="S70" s="125">
        <f>IFERROR(IF(OR(C62="",H62=0),"",H62*C62),"")</f>
        <v/>
      </c>
      <c r="T70" s="125">
        <f>IFERROR(IF(OR(C62="",I62=0),"",I62*C62),"")</f>
        <v/>
      </c>
      <c r="U70" s="125">
        <f>IFERROR(IF(OR(C62="",J62=0),"",J62*C62),"")</f>
        <v/>
      </c>
      <c r="V70" s="125">
        <f>IFERROR(IF(OR(C62="",K62=0),"",K62*C62),"")</f>
        <v/>
      </c>
      <c r="W70" s="125">
        <f>IFERROR(IF(OR(C62="",L62=0),"",L62*C62),"")</f>
        <v/>
      </c>
    </row>
    <row r="71"/>
    <row r="72" ht="15" customHeight="1" s="103"/>
    <row r="73" ht="15" customHeight="1" s="103">
      <c r="A73" s="88" t="inlineStr">
        <is>
          <t>🏢  GYM REFERENCE TABLE — edit gym names and wall heights here</t>
        </is>
      </c>
      <c r="B73" s="109" t="n"/>
      <c r="C73" s="109" t="n"/>
      <c r="D73" s="109" t="n"/>
      <c r="E73" s="109" t="n"/>
    </row>
    <row r="74" ht="15" customHeight="1" s="103">
      <c r="A74" s="89" t="inlineStr">
        <is>
          <t>Gym Name</t>
        </is>
      </c>
      <c r="B74" s="89" t="inlineStr">
        <is>
          <t>Wall Height (m)</t>
        </is>
      </c>
      <c r="C74" s="90" t="inlineStr">
        <is>
          <t>Notes</t>
        </is>
      </c>
      <c r="D74" s="109" t="n"/>
      <c r="E74" s="110" t="n"/>
    </row>
    <row r="75" ht="15" customHeight="1" s="103">
      <c r="A75" s="100" t="inlineStr">
        <is>
          <t>Neoliet</t>
        </is>
      </c>
      <c r="B75" s="101" t="n">
        <v>13</v>
      </c>
      <c r="C75" s="79" t="n"/>
      <c r="D75" s="79" t="n"/>
      <c r="E75" s="79" t="n"/>
    </row>
    <row r="76" ht="15" customHeight="1" s="103">
      <c r="A76" s="100" t="inlineStr">
        <is>
          <t>Sterk</t>
        </is>
      </c>
      <c r="B76" s="101" t="n">
        <v>4</v>
      </c>
      <c r="C76" s="79" t="n"/>
      <c r="D76" s="79" t="n"/>
      <c r="E76" s="79" t="n"/>
    </row>
    <row r="77" ht="15" customHeight="1" s="103">
      <c r="A77" s="100" t="inlineStr">
        <is>
          <t>Klimmuur</t>
        </is>
      </c>
      <c r="B77" s="101" t="n">
        <v>16</v>
      </c>
      <c r="C77" s="79" t="n"/>
      <c r="D77" s="79" t="n"/>
      <c r="E77" s="79" t="n"/>
    </row>
    <row r="78" ht="15" customHeight="1" s="103">
      <c r="A78" s="100" t="inlineStr">
        <is>
          <t>Sterk (Boulder)</t>
        </is>
      </c>
      <c r="B78" s="101" t="n">
        <v>4</v>
      </c>
      <c r="C78" s="79" t="n"/>
      <c r="D78" s="79" t="n"/>
      <c r="E78" s="79" t="n"/>
    </row>
    <row r="79" ht="15" customHeight="1" s="103">
      <c r="A79" s="100" t="inlineStr">
        <is>
          <t>Neoliet (Outdoor)</t>
        </is>
      </c>
      <c r="B79" s="101" t="n">
        <v>20</v>
      </c>
      <c r="C79" s="79" t="n"/>
      <c r="D79" s="79" t="n"/>
      <c r="E79" s="79" t="n"/>
    </row>
    <row r="80">
      <c r="A80" s="100" t="inlineStr">
        <is>
          <t>Other</t>
        </is>
      </c>
      <c r="B80" s="101" t="n">
        <v>10</v>
      </c>
      <c r="C80" s="79" t="n"/>
      <c r="D80" s="79" t="n"/>
      <c r="E80" s="79" t="n"/>
    </row>
  </sheetData>
  <mergeCells count="6">
    <mergeCell ref="C66:E66"/>
    <mergeCell ref="A1:W1"/>
    <mergeCell ref="A65:E65"/>
    <mergeCell ref="P3:W3"/>
    <mergeCell ref="A12:W12"/>
    <mergeCell ref="A2:W2"/>
  </mergeCells>
  <dataValidations count="1">
    <dataValidation sqref="B5:B68" showDropDown="0" showInputMessage="0" showErrorMessage="0" allowBlank="1" type="list">
      <formula1>'🧗 Climbing Log'!$A$75:$A$80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tabColor rgb="FF1ABC9C"/>
    <outlinePr summaryBelow="1" summaryRight="1"/>
    <pageSetUpPr/>
  </sheetPr>
  <dimension ref="A1:J28"/>
  <sheetViews>
    <sheetView zoomScaleNormal="100" workbookViewId="0">
      <pane ySplit="2" topLeftCell="A3" activePane="bottomLeft" state="frozen"/>
      <selection pane="bottomLeft" activeCell="A1" sqref="A1"/>
    </sheetView>
  </sheetViews>
  <sheetFormatPr baseColWidth="10" defaultColWidth="8.6640625" defaultRowHeight="15" customHeight="1"/>
  <cols>
    <col width="18" customWidth="1" style="103" min="1" max="2"/>
    <col width="22.83203125" customWidth="1" style="103" min="3" max="3"/>
    <col width="18" customWidth="1" style="103" min="4" max="10"/>
  </cols>
  <sheetData>
    <row r="1" ht="27.75" customHeight="1" s="103">
      <c r="A1" s="131" t="inlineStr">
        <is>
          <t>🏔️  Climbing Goals &amp; Macrocycle — Peak: October 2025</t>
        </is>
      </c>
    </row>
    <row r="3" ht="15.75" customHeight="1" s="103">
      <c r="A3" s="140" t="inlineStr">
        <is>
          <t>Lattice Assessment (May 2024)</t>
        </is>
      </c>
      <c r="B3" s="109" t="n"/>
      <c r="C3" s="109" t="n"/>
      <c r="D3" s="109" t="n"/>
      <c r="E3" s="110" t="n"/>
    </row>
    <row r="4" ht="15" customHeight="1" s="103">
      <c r="A4" s="18" t="inlineStr">
        <is>
          <t>Body Mass</t>
        </is>
      </c>
      <c r="B4" s="21" t="inlineStr">
        <is>
          <t>48.9 kg</t>
        </is>
      </c>
    </row>
    <row r="5" ht="15" customHeight="1" s="103">
      <c r="A5" s="45" t="inlineStr">
        <is>
          <t>Side Split</t>
        </is>
      </c>
      <c r="B5" s="44" t="inlineStr">
        <is>
          <t>160 cm</t>
        </is>
      </c>
    </row>
    <row r="6" ht="15" customHeight="1" s="103">
      <c r="A6" s="18" t="inlineStr">
        <is>
          <t>Pull-ups 2 rep</t>
        </is>
      </c>
      <c r="B6" s="21" t="inlineStr">
        <is>
          <t>12 kg</t>
        </is>
      </c>
    </row>
    <row r="7" ht="15" customHeight="1" s="103">
      <c r="A7" s="45" t="inlineStr">
        <is>
          <t>2-Arm Hang</t>
        </is>
      </c>
      <c r="B7" s="44" t="inlineStr">
        <is>
          <t>44 kg  (7'' × 8 sets)</t>
        </is>
      </c>
    </row>
    <row r="8" ht="15" customHeight="1" s="103">
      <c r="A8" s="18" t="inlineStr">
        <is>
          <t>Repeaters</t>
        </is>
      </c>
      <c r="B8" s="21" t="inlineStr">
        <is>
          <t>22 reps  (+7 kg, RPE 10/10)</t>
        </is>
      </c>
    </row>
    <row r="9" ht="15" customHeight="1" s="103">
      <c r="A9" s="45" t="inlineStr">
        <is>
          <t>OS Level</t>
        </is>
      </c>
      <c r="B9" s="44" t="inlineStr">
        <is>
          <t>6a+ / 6b</t>
        </is>
      </c>
    </row>
    <row r="11" ht="15.75" customHeight="1" s="103">
      <c r="A11" s="156" t="inlineStr">
        <is>
          <t>Lattice Update — January 2026</t>
        </is>
      </c>
      <c r="B11" s="109" t="n"/>
      <c r="C11" s="109" t="n"/>
      <c r="D11" s="109" t="n"/>
      <c r="E11" s="109" t="n"/>
      <c r="F11" s="109" t="n"/>
      <c r="G11" s="109" t="n"/>
      <c r="H11" s="109" t="n"/>
      <c r="I11" s="109" t="n"/>
      <c r="J11" s="110" t="n"/>
    </row>
    <row r="12" ht="15" customHeight="1" s="103">
      <c r="A12" s="61" t="inlineStr">
        <is>
          <t>Body Mass</t>
        </is>
      </c>
      <c r="B12" s="91" t="inlineStr">
        <is>
          <t>49.3 kg  ↑ from 48.9</t>
        </is>
      </c>
      <c r="C12" s="112" t="inlineStr">
        <is>
          <t>RP Target</t>
        </is>
      </c>
      <c r="D12" s="112" t="inlineStr">
        <is>
          <t>Boulder</t>
        </is>
      </c>
      <c r="E12" s="112" t="inlineStr">
        <is>
          <t>Points</t>
        </is>
      </c>
      <c r="F12" s="112" t="inlineStr">
        <is>
          <t>Status</t>
        </is>
      </c>
    </row>
    <row r="13" ht="15" customHeight="1" s="103">
      <c r="A13" s="64" t="inlineStr">
        <is>
          <t>Side Split</t>
        </is>
      </c>
      <c r="B13" s="63" t="inlineStr">
        <is>
          <t>154 cm   (heel-heel)</t>
        </is>
      </c>
      <c r="C13" s="53" t="inlineStr">
        <is>
          <t>1×</t>
        </is>
      </c>
      <c r="D13" s="53" t="inlineStr">
        <is>
          <t>7b+</t>
        </is>
      </c>
      <c r="E13" s="53" t="n">
        <v>1</v>
      </c>
      <c r="F13" s="53" t="inlineStr">
        <is>
          <t>Project</t>
        </is>
      </c>
    </row>
    <row r="14" ht="15" customHeight="1" s="103">
      <c r="A14" s="61" t="inlineStr">
        <is>
          <t>Pull-ups 2-rep</t>
        </is>
      </c>
      <c r="B14" s="60" t="inlineStr">
        <is>
          <t>48.5 kg bw @ 95% RPE</t>
        </is>
      </c>
      <c r="C14" s="52" t="inlineStr">
        <is>
          <t>1×</t>
        </is>
      </c>
      <c r="D14" s="52" t="inlineStr">
        <is>
          <t>7a+</t>
        </is>
      </c>
      <c r="E14" s="52" t="n">
        <v>1</v>
      </c>
      <c r="F14" s="52" t="inlineStr">
        <is>
          <t>Goal</t>
        </is>
      </c>
    </row>
    <row r="15" ht="15" customHeight="1" s="103">
      <c r="A15" s="64" t="inlineStr">
        <is>
          <t>One-Arm Hang</t>
        </is>
      </c>
      <c r="B15" s="63" t="inlineStr">
        <is>
          <t>19 rep × 190 sec  (+7 kg)</t>
        </is>
      </c>
      <c r="C15" s="53" t="inlineStr">
        <is>
          <t>2×</t>
        </is>
      </c>
      <c r="D15" s="53" t="inlineStr">
        <is>
          <t>6c+</t>
        </is>
      </c>
      <c r="E15" s="53" t="n">
        <v>2</v>
      </c>
      <c r="F15" s="53" t="inlineStr">
        <is>
          <t>Target</t>
        </is>
      </c>
    </row>
    <row r="16" ht="15" customHeight="1" s="103">
      <c r="A16" s="61" t="inlineStr">
        <is>
          <t>Sport OS</t>
        </is>
      </c>
      <c r="B16" s="91" t="inlineStr">
        <is>
          <t>6c+  ↑ from 6a+/6b  🎯</t>
        </is>
      </c>
      <c r="C16" s="52" t="inlineStr">
        <is>
          <t>4×</t>
        </is>
      </c>
      <c r="D16" s="52" t="inlineStr">
        <is>
          <t>6b+</t>
        </is>
      </c>
      <c r="E16" s="52" t="n">
        <v>4</v>
      </c>
      <c r="F16" s="52" t="inlineStr">
        <is>
          <t>Build</t>
        </is>
      </c>
    </row>
    <row r="17" ht="15" customHeight="1" s="103">
      <c r="A17" s="64" t="inlineStr">
        <is>
          <t>Sport RP target</t>
        </is>
      </c>
      <c r="B17" s="63" t="inlineStr">
        <is>
          <t>7a</t>
        </is>
      </c>
      <c r="C17" s="53" t="inlineStr">
        <is>
          <t>8×</t>
        </is>
      </c>
      <c r="D17" s="53" t="inlineStr">
        <is>
          <t>6a+</t>
        </is>
      </c>
      <c r="E17" s="53" t="n">
        <v>8</v>
      </c>
      <c r="F17" s="53" t="inlineStr">
        <is>
          <t>Base</t>
        </is>
      </c>
    </row>
    <row r="18" ht="15" customHeight="1" s="103">
      <c r="A18" s="61" t="inlineStr">
        <is>
          <t>Boulder OS</t>
        </is>
      </c>
      <c r="B18" s="60" t="inlineStr">
        <is>
          <t>V4  (6a+)</t>
        </is>
      </c>
      <c r="C18" s="52" t="inlineStr">
        <is>
          <t>16×</t>
        </is>
      </c>
      <c r="D18" s="52" t="inlineStr">
        <is>
          <t>5c+</t>
        </is>
      </c>
      <c r="E18" s="52" t="n">
        <v>16</v>
      </c>
      <c r="F18" s="52" t="inlineStr">
        <is>
          <t>Warm-up</t>
        </is>
      </c>
    </row>
    <row r="19" ht="15" customHeight="1" s="103">
      <c r="A19" s="64" t="inlineStr">
        <is>
          <t>Boulder RP target</t>
        </is>
      </c>
      <c r="B19" s="63" t="inlineStr">
        <is>
          <t>V5</t>
        </is>
      </c>
      <c r="C19" s="53" t="inlineStr">
        <is>
          <t>32×</t>
        </is>
      </c>
      <c r="D19" s="53" t="inlineStr">
        <is>
          <t>5b</t>
        </is>
      </c>
      <c r="E19" s="53" t="n">
        <v>32</v>
      </c>
      <c r="F19" s="53" t="inlineStr">
        <is>
          <t>Volume</t>
        </is>
      </c>
    </row>
    <row r="21" ht="15.75" customHeight="1" s="103">
      <c r="A21" s="156" t="inlineStr">
        <is>
          <t>2026 Grade Pyramid Targets (updated)</t>
        </is>
      </c>
      <c r="B21" s="109" t="n"/>
      <c r="C21" s="109" t="n"/>
      <c r="D21" s="109" t="n"/>
      <c r="E21" s="109" t="n"/>
      <c r="F21" s="109" t="n"/>
      <c r="G21" s="109" t="n"/>
      <c r="H21" s="109" t="n"/>
      <c r="I21" s="109" t="n"/>
      <c r="J21" s="110" t="n"/>
    </row>
    <row r="22" ht="15" customHeight="1" s="103">
      <c r="A22" s="92" t="inlineStr">
        <is>
          <t>Grade</t>
        </is>
      </c>
      <c r="B22" s="92" t="inlineStr">
        <is>
          <t>OS Target 2026</t>
        </is>
      </c>
      <c r="C22" s="92" t="inlineStr">
        <is>
          <t>RP Target 2026</t>
        </is>
      </c>
      <c r="D22" s="92" t="inlineStr">
        <is>
          <t>Status 2026</t>
        </is>
      </c>
      <c r="E22" s="112" t="inlineStr">
        <is>
          <t>Intensity</t>
        </is>
      </c>
      <c r="F22" s="112" t="inlineStr">
        <is>
          <t>Fatigue</t>
        </is>
      </c>
    </row>
    <row r="23" ht="15" customHeight="1" s="103">
      <c r="A23" s="93" t="inlineStr">
        <is>
          <t>7b–7b+</t>
        </is>
      </c>
      <c r="B23" s="94" t="n"/>
      <c r="C23" s="94" t="inlineStr">
        <is>
          <t>1×</t>
        </is>
      </c>
      <c r="D23" s="94" t="inlineStr">
        <is>
          <t>Project 2026</t>
        </is>
      </c>
      <c r="E23" s="53" t="inlineStr">
        <is>
          <t>Low</t>
        </is>
      </c>
      <c r="F23" s="53" t="inlineStr">
        <is>
          <t>Moderate</t>
        </is>
      </c>
    </row>
    <row r="24" ht="15" customHeight="1" s="103">
      <c r="A24" s="95" t="inlineStr">
        <is>
          <t>7a–7a+</t>
        </is>
      </c>
      <c r="B24" s="96" t="inlineStr">
        <is>
          <t>1×</t>
        </is>
      </c>
      <c r="C24" s="96" t="inlineStr">
        <is>
          <t>2×</t>
        </is>
      </c>
      <c r="D24" s="97" t="inlineStr">
        <is>
          <t>RP Target ↑</t>
        </is>
      </c>
      <c r="E24" s="52" t="inlineStr">
        <is>
          <t>Mod–High</t>
        </is>
      </c>
      <c r="F24" s="52" t="inlineStr">
        <is>
          <t>High</t>
        </is>
      </c>
    </row>
    <row r="25" ht="15" customHeight="1" s="103">
      <c r="A25" s="93" t="inlineStr">
        <is>
          <t>6c–6c+</t>
        </is>
      </c>
      <c r="B25" s="94" t="inlineStr">
        <is>
          <t>2×</t>
        </is>
      </c>
      <c r="C25" s="94" t="inlineStr">
        <is>
          <t>4×</t>
        </is>
      </c>
      <c r="D25" s="94" t="inlineStr">
        <is>
          <t>Build (OS now here!)</t>
        </is>
      </c>
      <c r="E25" s="53" t="inlineStr">
        <is>
          <t>High</t>
        </is>
      </c>
      <c r="F25" s="53" t="inlineStr">
        <is>
          <t>Moderate</t>
        </is>
      </c>
    </row>
    <row r="26" ht="15" customHeight="1" s="103">
      <c r="A26" s="95" t="inlineStr">
        <is>
          <t>6b–6b+</t>
        </is>
      </c>
      <c r="B26" s="96" t="inlineStr">
        <is>
          <t>4×</t>
        </is>
      </c>
      <c r="C26" s="96" t="inlineStr">
        <is>
          <t>8×</t>
        </is>
      </c>
      <c r="D26" s="96" t="inlineStr">
        <is>
          <t>Solid base</t>
        </is>
      </c>
      <c r="E26" s="52" t="inlineStr">
        <is>
          <t>High</t>
        </is>
      </c>
      <c r="F26" s="52" t="inlineStr">
        <is>
          <t>Low</t>
        </is>
      </c>
    </row>
    <row r="27" ht="15" customHeight="1" s="103">
      <c r="A27" s="93" t="inlineStr">
        <is>
          <t>6a–6a+</t>
        </is>
      </c>
      <c r="B27" s="94" t="inlineStr">
        <is>
          <t>8×</t>
        </is>
      </c>
      <c r="C27" s="94" t="inlineStr">
        <is>
          <t>16×</t>
        </is>
      </c>
      <c r="D27" s="94" t="inlineStr">
        <is>
          <t>Warm-up zone</t>
        </is>
      </c>
      <c r="E27" s="53" t="inlineStr">
        <is>
          <t>High</t>
        </is>
      </c>
      <c r="F27" s="53" t="inlineStr">
        <is>
          <t>Low–Mod</t>
        </is>
      </c>
    </row>
    <row r="28" ht="15" customHeight="1" s="103">
      <c r="A28" s="95" t="inlineStr">
        <is>
          <t>5c–5c+</t>
        </is>
      </c>
      <c r="B28" s="96" t="inlineStr">
        <is>
          <t>16×</t>
        </is>
      </c>
      <c r="C28" s="96" t="inlineStr">
        <is>
          <t>20×</t>
        </is>
      </c>
      <c r="D28" s="96" t="inlineStr">
        <is>
          <t>Volume</t>
        </is>
      </c>
      <c r="E28" s="52" t="inlineStr">
        <is>
          <t>High</t>
        </is>
      </c>
      <c r="F28" s="52" t="inlineStr">
        <is>
          <t>Low</t>
        </is>
      </c>
    </row>
  </sheetData>
  <mergeCells count="4">
    <mergeCell ref="A3:E3"/>
    <mergeCell ref="A1:J1"/>
    <mergeCell ref="A21:J21"/>
    <mergeCell ref="A11:J11"/>
  </mergeCell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tabColor rgb="FFF0B429"/>
    <outlinePr summaryBelow="1" summaryRight="1"/>
    <pageSetUpPr/>
  </sheetPr>
  <dimension ref="A1:H107"/>
  <sheetViews>
    <sheetView zoomScaleNormal="100" workbookViewId="0">
      <selection activeCell="A1" sqref="A1"/>
    </sheetView>
  </sheetViews>
  <sheetFormatPr baseColWidth="10" defaultColWidth="8.6640625" defaultRowHeight="15" customHeight="1"/>
  <cols>
    <col width="14" customWidth="1" style="103" min="1" max="1"/>
    <col width="12" customWidth="1" style="103" min="2" max="2"/>
    <col width="20" customWidth="1" style="103" min="3" max="3"/>
    <col width="35" customWidth="1" style="103" min="4" max="5"/>
    <col width="14" customWidth="1" style="103" min="6" max="6"/>
    <col width="12" customWidth="1" style="103" min="7" max="7"/>
    <col width="35" customWidth="1" style="103" min="8" max="8"/>
  </cols>
  <sheetData>
    <row r="1" ht="27.75" customHeight="1" s="103">
      <c r="A1" s="116" t="inlineStr">
        <is>
          <t>📅  Weekly Training Planner — duplicate rows for each week</t>
        </is>
      </c>
    </row>
    <row r="3" ht="15" customHeight="1" s="103">
      <c r="A3" s="112" t="inlineStr">
        <is>
          <t>Week Of</t>
        </is>
      </c>
      <c r="B3" s="112" t="inlineStr">
        <is>
          <t>Day</t>
        </is>
      </c>
      <c r="C3" s="112" t="inlineStr">
        <is>
          <t>Training Type</t>
        </is>
      </c>
      <c r="D3" s="112" t="inlineStr">
        <is>
          <t>Planned</t>
        </is>
      </c>
      <c r="E3" s="112" t="inlineStr">
        <is>
          <t>Actual Done</t>
        </is>
      </c>
      <c r="F3" s="112" t="inlineStr">
        <is>
          <t>Duration (min)</t>
        </is>
      </c>
      <c r="G3" s="112" t="inlineStr">
        <is>
          <t>RPE (1–10)</t>
        </is>
      </c>
      <c r="H3" s="112" t="inlineStr">
        <is>
          <t>Notes</t>
        </is>
      </c>
    </row>
    <row r="4" ht="15" customHeight="1" s="103">
      <c r="A4" s="9" t="inlineStr">
        <is>
          <t>WEEK START DATE</t>
        </is>
      </c>
      <c r="B4" s="9" t="inlineStr">
        <is>
          <t>Monday</t>
        </is>
      </c>
      <c r="C4" s="14" t="inlineStr">
        <is>
          <t>Gym</t>
        </is>
      </c>
      <c r="D4" s="14" t="inlineStr">
        <is>
          <t>Inferior Members + Core</t>
        </is>
      </c>
      <c r="E4" s="14" t="n"/>
      <c r="F4" s="14" t="n"/>
      <c r="G4" s="14" t="n"/>
      <c r="H4" s="14" t="n"/>
    </row>
    <row r="5" ht="15" customHeight="1" s="103">
      <c r="A5" s="21" t="inlineStr">
        <is>
          <t>WEEK START DATE</t>
        </is>
      </c>
      <c r="B5" s="18" t="inlineStr">
        <is>
          <t>Tuesday</t>
        </is>
      </c>
      <c r="C5" s="21" t="inlineStr">
        <is>
          <t>Climbing</t>
        </is>
      </c>
      <c r="D5" s="21" t="inlineStr">
        <is>
          <t>Technique + Volume (5c–6b+)</t>
        </is>
      </c>
      <c r="E5" s="21" t="n"/>
      <c r="F5" s="21" t="n"/>
      <c r="G5" s="21" t="n"/>
      <c r="H5" s="21" t="n"/>
    </row>
    <row r="6" ht="15" customHeight="1" s="103">
      <c r="A6" s="14" t="inlineStr">
        <is>
          <t>WEEK START DATE</t>
        </is>
      </c>
      <c r="B6" s="9" t="inlineStr">
        <is>
          <t>Wednesday</t>
        </is>
      </c>
      <c r="C6" s="14" t="inlineStr">
        <is>
          <t>Rest / Walk</t>
        </is>
      </c>
      <c r="D6" s="14" t="inlineStr">
        <is>
          <t>Easy recovery</t>
        </is>
      </c>
      <c r="E6" s="14" t="n"/>
      <c r="F6" s="14" t="n"/>
      <c r="G6" s="14" t="n"/>
      <c r="H6" s="14" t="n"/>
    </row>
    <row r="7" ht="15" customHeight="1" s="103">
      <c r="A7" s="21" t="inlineStr">
        <is>
          <t>WEEK START DATE</t>
        </is>
      </c>
      <c r="B7" s="18" t="inlineStr">
        <is>
          <t>Thursday</t>
        </is>
      </c>
      <c r="C7" s="21" t="inlineStr">
        <is>
          <t>Gym</t>
        </is>
      </c>
      <c r="D7" s="21" t="inlineStr">
        <is>
          <t>Superior + Wrist + Fingers</t>
        </is>
      </c>
      <c r="E7" s="21" t="n"/>
      <c r="F7" s="21" t="n"/>
      <c r="G7" s="21" t="n"/>
      <c r="H7" s="21" t="n"/>
    </row>
    <row r="8" ht="15" customHeight="1" s="103">
      <c r="A8" s="14" t="inlineStr">
        <is>
          <t>WEEK START DATE</t>
        </is>
      </c>
      <c r="B8" s="9" t="inlineStr">
        <is>
          <t>Friday</t>
        </is>
      </c>
      <c r="C8" s="14" t="inlineStr">
        <is>
          <t>Rest</t>
        </is>
      </c>
      <c r="D8" s="14" t="n"/>
      <c r="E8" s="14" t="n"/>
      <c r="F8" s="14" t="n"/>
      <c r="G8" s="14" t="n"/>
      <c r="H8" s="14" t="n"/>
    </row>
    <row r="9" ht="15" customHeight="1" s="103">
      <c r="A9" s="21" t="inlineStr">
        <is>
          <t>WEEK START DATE</t>
        </is>
      </c>
      <c r="B9" s="18" t="inlineStr">
        <is>
          <t>Saturday</t>
        </is>
      </c>
      <c r="C9" s="21" t="inlineStr">
        <is>
          <t>Climbing</t>
        </is>
      </c>
      <c r="D9" s="21" t="inlineStr">
        <is>
          <t>Projects + Strength</t>
        </is>
      </c>
      <c r="E9" s="21" t="n"/>
      <c r="F9" s="21" t="n"/>
      <c r="G9" s="21" t="n"/>
      <c r="H9" s="21" t="n"/>
    </row>
    <row r="10" ht="15" customHeight="1" s="103">
      <c r="A10" s="14" t="inlineStr">
        <is>
          <t>WEEK START DATE</t>
        </is>
      </c>
      <c r="B10" s="9" t="inlineStr">
        <is>
          <t>Sunday</t>
        </is>
      </c>
      <c r="C10" s="14" t="inlineStr">
        <is>
          <t>Rest</t>
        </is>
      </c>
      <c r="D10" s="14" t="inlineStr">
        <is>
          <t>Stretching</t>
        </is>
      </c>
      <c r="E10" s="14" t="n"/>
      <c r="F10" s="14" t="n"/>
      <c r="G10" s="14" t="n"/>
      <c r="H10" s="14" t="n"/>
    </row>
    <row r="12" ht="15" customHeight="1" s="103">
      <c r="A12" s="157" t="inlineStr">
        <is>
          <t>↓  ADD FUTURE WEEKS BELOW  ↓</t>
        </is>
      </c>
      <c r="B12" s="109" t="n"/>
      <c r="C12" s="109" t="n"/>
      <c r="D12" s="109" t="n"/>
      <c r="E12" s="109" t="n"/>
      <c r="F12" s="109" t="n"/>
      <c r="G12" s="109" t="n"/>
      <c r="H12" s="110" t="n"/>
    </row>
    <row r="13" ht="15" customHeight="1" s="103">
      <c r="A13" s="98" t="n"/>
      <c r="B13" s="98" t="n"/>
      <c r="C13" s="98" t="n"/>
      <c r="D13" s="98" t="n"/>
      <c r="E13" s="98" t="n"/>
      <c r="F13" s="98" t="n"/>
      <c r="G13" s="98" t="n"/>
      <c r="H13" s="98" t="n"/>
    </row>
    <row r="14" ht="15" customHeight="1" s="103">
      <c r="A14" s="98" t="n"/>
      <c r="B14" s="98" t="n"/>
      <c r="C14" s="98" t="n"/>
      <c r="D14" s="98" t="n"/>
      <c r="E14" s="98" t="n"/>
      <c r="F14" s="98" t="n"/>
      <c r="G14" s="98" t="n"/>
      <c r="H14" s="98" t="n"/>
    </row>
    <row r="15" ht="15" customHeight="1" s="103">
      <c r="A15" s="98" t="n"/>
      <c r="B15" s="98" t="n"/>
      <c r="C15" s="98" t="n"/>
      <c r="D15" s="98" t="n"/>
      <c r="E15" s="98" t="n"/>
      <c r="F15" s="98" t="n"/>
      <c r="G15" s="98" t="n"/>
      <c r="H15" s="98" t="n"/>
    </row>
    <row r="16" ht="15" customHeight="1" s="103">
      <c r="A16" s="98" t="n"/>
      <c r="B16" s="98" t="n"/>
      <c r="C16" s="98" t="n"/>
      <c r="D16" s="98" t="n"/>
      <c r="E16" s="98" t="n"/>
      <c r="F16" s="98" t="n"/>
      <c r="G16" s="98" t="n"/>
      <c r="H16" s="98" t="n"/>
    </row>
    <row r="17" ht="15" customHeight="1" s="103">
      <c r="A17" s="98" t="n"/>
      <c r="B17" s="98" t="n"/>
      <c r="C17" s="98" t="n"/>
      <c r="D17" s="98" t="n"/>
      <c r="E17" s="98" t="n"/>
      <c r="F17" s="98" t="n"/>
      <c r="G17" s="98" t="n"/>
      <c r="H17" s="98" t="n"/>
    </row>
    <row r="18" ht="15" customHeight="1" s="103">
      <c r="A18" s="98" t="n"/>
      <c r="B18" s="98" t="n"/>
      <c r="C18" s="98" t="n"/>
      <c r="D18" s="98" t="n"/>
      <c r="E18" s="98" t="n"/>
      <c r="F18" s="98" t="n"/>
      <c r="G18" s="98" t="n"/>
      <c r="H18" s="98" t="n"/>
    </row>
    <row r="19" ht="15" customHeight="1" s="103">
      <c r="A19" s="98" t="n"/>
      <c r="B19" s="98" t="n"/>
      <c r="C19" s="98" t="n"/>
      <c r="D19" s="98" t="n"/>
      <c r="E19" s="98" t="n"/>
      <c r="F19" s="98" t="n"/>
      <c r="G19" s="98" t="n"/>
      <c r="H19" s="98" t="n"/>
    </row>
    <row r="21" ht="15" customHeight="1" s="103">
      <c r="A21" s="99" t="n"/>
      <c r="B21" s="99" t="n"/>
      <c r="C21" s="99" t="n"/>
      <c r="D21" s="99" t="n"/>
      <c r="E21" s="99" t="n"/>
      <c r="F21" s="99" t="n"/>
      <c r="G21" s="99" t="n"/>
      <c r="H21" s="99" t="n"/>
    </row>
    <row r="22" ht="15" customHeight="1" s="103">
      <c r="A22" s="99" t="n"/>
      <c r="B22" s="99" t="n"/>
      <c r="C22" s="99" t="n"/>
      <c r="D22" s="99" t="n"/>
      <c r="E22" s="99" t="n"/>
      <c r="F22" s="99" t="n"/>
      <c r="G22" s="99" t="n"/>
      <c r="H22" s="99" t="n"/>
    </row>
    <row r="23" ht="15" customHeight="1" s="103">
      <c r="A23" s="99" t="n"/>
      <c r="B23" s="99" t="n"/>
      <c r="C23" s="99" t="n"/>
      <c r="D23" s="99" t="n"/>
      <c r="E23" s="99" t="n"/>
      <c r="F23" s="99" t="n"/>
      <c r="G23" s="99" t="n"/>
      <c r="H23" s="99" t="n"/>
    </row>
    <row r="24" ht="15" customHeight="1" s="103">
      <c r="A24" s="99" t="n"/>
      <c r="B24" s="99" t="n"/>
      <c r="C24" s="99" t="n"/>
      <c r="D24" s="99" t="n"/>
      <c r="E24" s="99" t="n"/>
      <c r="F24" s="99" t="n"/>
      <c r="G24" s="99" t="n"/>
      <c r="H24" s="99" t="n"/>
    </row>
    <row r="25" ht="15" customHeight="1" s="103">
      <c r="A25" s="99" t="n"/>
      <c r="B25" s="99" t="n"/>
      <c r="C25" s="99" t="n"/>
      <c r="D25" s="99" t="n"/>
      <c r="E25" s="99" t="n"/>
      <c r="F25" s="99" t="n"/>
      <c r="G25" s="99" t="n"/>
      <c r="H25" s="99" t="n"/>
    </row>
    <row r="26" ht="15" customHeight="1" s="103">
      <c r="A26" s="99" t="n"/>
      <c r="B26" s="99" t="n"/>
      <c r="C26" s="99" t="n"/>
      <c r="D26" s="99" t="n"/>
      <c r="E26" s="99" t="n"/>
      <c r="F26" s="99" t="n"/>
      <c r="G26" s="99" t="n"/>
      <c r="H26" s="99" t="n"/>
    </row>
    <row r="27" ht="15" customHeight="1" s="103">
      <c r="A27" s="99" t="n"/>
      <c r="B27" s="99" t="n"/>
      <c r="C27" s="99" t="n"/>
      <c r="D27" s="99" t="n"/>
      <c r="E27" s="99" t="n"/>
      <c r="F27" s="99" t="n"/>
      <c r="G27" s="99" t="n"/>
      <c r="H27" s="99" t="n"/>
    </row>
    <row r="29" ht="15" customHeight="1" s="103">
      <c r="A29" s="98" t="n"/>
      <c r="B29" s="98" t="n"/>
      <c r="C29" s="98" t="n"/>
      <c r="D29" s="98" t="n"/>
      <c r="E29" s="98" t="n"/>
      <c r="F29" s="98" t="n"/>
      <c r="G29" s="98" t="n"/>
      <c r="H29" s="98" t="n"/>
    </row>
    <row r="30" ht="15" customHeight="1" s="103">
      <c r="A30" s="98" t="n"/>
      <c r="B30" s="98" t="n"/>
      <c r="C30" s="98" t="n"/>
      <c r="D30" s="98" t="n"/>
      <c r="E30" s="98" t="n"/>
      <c r="F30" s="98" t="n"/>
      <c r="G30" s="98" t="n"/>
      <c r="H30" s="98" t="n"/>
    </row>
    <row r="31" ht="15" customHeight="1" s="103">
      <c r="A31" s="98" t="n"/>
      <c r="B31" s="98" t="n"/>
      <c r="C31" s="98" t="n"/>
      <c r="D31" s="98" t="n"/>
      <c r="E31" s="98" t="n"/>
      <c r="F31" s="98" t="n"/>
      <c r="G31" s="98" t="n"/>
      <c r="H31" s="98" t="n"/>
    </row>
    <row r="32" ht="15" customHeight="1" s="103">
      <c r="A32" s="98" t="n"/>
      <c r="B32" s="98" t="n"/>
      <c r="C32" s="98" t="n"/>
      <c r="D32" s="98" t="n"/>
      <c r="E32" s="98" t="n"/>
      <c r="F32" s="98" t="n"/>
      <c r="G32" s="98" t="n"/>
      <c r="H32" s="98" t="n"/>
    </row>
    <row r="33" ht="15" customHeight="1" s="103">
      <c r="A33" s="98" t="n"/>
      <c r="B33" s="98" t="n"/>
      <c r="C33" s="98" t="n"/>
      <c r="D33" s="98" t="n"/>
      <c r="E33" s="98" t="n"/>
      <c r="F33" s="98" t="n"/>
      <c r="G33" s="98" t="n"/>
      <c r="H33" s="98" t="n"/>
    </row>
    <row r="34" ht="15" customHeight="1" s="103">
      <c r="A34" s="98" t="n"/>
      <c r="B34" s="98" t="n"/>
      <c r="C34" s="98" t="n"/>
      <c r="D34" s="98" t="n"/>
      <c r="E34" s="98" t="n"/>
      <c r="F34" s="98" t="n"/>
      <c r="G34" s="98" t="n"/>
      <c r="H34" s="98" t="n"/>
    </row>
    <row r="35" ht="15" customHeight="1" s="103">
      <c r="A35" s="98" t="n"/>
      <c r="B35" s="98" t="n"/>
      <c r="C35" s="98" t="n"/>
      <c r="D35" s="98" t="n"/>
      <c r="E35" s="98" t="n"/>
      <c r="F35" s="98" t="n"/>
      <c r="G35" s="98" t="n"/>
      <c r="H35" s="98" t="n"/>
    </row>
    <row r="37" ht="15" customHeight="1" s="103">
      <c r="A37" s="99" t="n"/>
      <c r="B37" s="99" t="n"/>
      <c r="C37" s="99" t="n"/>
      <c r="D37" s="99" t="n"/>
      <c r="E37" s="99" t="n"/>
      <c r="F37" s="99" t="n"/>
      <c r="G37" s="99" t="n"/>
      <c r="H37" s="99" t="n"/>
    </row>
    <row r="38" ht="15" customHeight="1" s="103">
      <c r="A38" s="99" t="n"/>
      <c r="B38" s="99" t="n"/>
      <c r="C38" s="99" t="n"/>
      <c r="D38" s="99" t="n"/>
      <c r="E38" s="99" t="n"/>
      <c r="F38" s="99" t="n"/>
      <c r="G38" s="99" t="n"/>
      <c r="H38" s="99" t="n"/>
    </row>
    <row r="39" ht="15" customHeight="1" s="103">
      <c r="A39" s="99" t="n"/>
      <c r="B39" s="99" t="n"/>
      <c r="C39" s="99" t="n"/>
      <c r="D39" s="99" t="n"/>
      <c r="E39" s="99" t="n"/>
      <c r="F39" s="99" t="n"/>
      <c r="G39" s="99" t="n"/>
      <c r="H39" s="99" t="n"/>
    </row>
    <row r="40" ht="15" customHeight="1" s="103">
      <c r="A40" s="99" t="n"/>
      <c r="B40" s="99" t="n"/>
      <c r="C40" s="99" t="n"/>
      <c r="D40" s="99" t="n"/>
      <c r="E40" s="99" t="n"/>
      <c r="F40" s="99" t="n"/>
      <c r="G40" s="99" t="n"/>
      <c r="H40" s="99" t="n"/>
    </row>
    <row r="41" ht="15" customHeight="1" s="103">
      <c r="A41" s="99" t="n"/>
      <c r="B41" s="99" t="n"/>
      <c r="C41" s="99" t="n"/>
      <c r="D41" s="99" t="n"/>
      <c r="E41" s="99" t="n"/>
      <c r="F41" s="99" t="n"/>
      <c r="G41" s="99" t="n"/>
      <c r="H41" s="99" t="n"/>
    </row>
    <row r="42" ht="15" customHeight="1" s="103">
      <c r="A42" s="99" t="n"/>
      <c r="B42" s="99" t="n"/>
      <c r="C42" s="99" t="n"/>
      <c r="D42" s="99" t="n"/>
      <c r="E42" s="99" t="n"/>
      <c r="F42" s="99" t="n"/>
      <c r="G42" s="99" t="n"/>
      <c r="H42" s="99" t="n"/>
    </row>
    <row r="43" ht="15" customHeight="1" s="103">
      <c r="A43" s="99" t="n"/>
      <c r="B43" s="99" t="n"/>
      <c r="C43" s="99" t="n"/>
      <c r="D43" s="99" t="n"/>
      <c r="E43" s="99" t="n"/>
      <c r="F43" s="99" t="n"/>
      <c r="G43" s="99" t="n"/>
      <c r="H43" s="99" t="n"/>
    </row>
    <row r="45" ht="15" customHeight="1" s="103">
      <c r="A45" s="98" t="n"/>
      <c r="B45" s="98" t="n"/>
      <c r="C45" s="98" t="n"/>
      <c r="D45" s="98" t="n"/>
      <c r="E45" s="98" t="n"/>
      <c r="F45" s="98" t="n"/>
      <c r="G45" s="98" t="n"/>
      <c r="H45" s="98" t="n"/>
    </row>
    <row r="46" ht="15" customHeight="1" s="103">
      <c r="A46" s="98" t="n"/>
      <c r="B46" s="98" t="n"/>
      <c r="C46" s="98" t="n"/>
      <c r="D46" s="98" t="n"/>
      <c r="E46" s="98" t="n"/>
      <c r="F46" s="98" t="n"/>
      <c r="G46" s="98" t="n"/>
      <c r="H46" s="98" t="n"/>
    </row>
    <row r="47" ht="15" customHeight="1" s="103">
      <c r="A47" s="98" t="n"/>
      <c r="B47" s="98" t="n"/>
      <c r="C47" s="98" t="n"/>
      <c r="D47" s="98" t="n"/>
      <c r="E47" s="98" t="n"/>
      <c r="F47" s="98" t="n"/>
      <c r="G47" s="98" t="n"/>
      <c r="H47" s="98" t="n"/>
    </row>
    <row r="48" ht="15" customHeight="1" s="103">
      <c r="A48" s="98" t="n"/>
      <c r="B48" s="98" t="n"/>
      <c r="C48" s="98" t="n"/>
      <c r="D48" s="98" t="n"/>
      <c r="E48" s="98" t="n"/>
      <c r="F48" s="98" t="n"/>
      <c r="G48" s="98" t="n"/>
      <c r="H48" s="98" t="n"/>
    </row>
    <row r="49" ht="15" customHeight="1" s="103">
      <c r="A49" s="98" t="n"/>
      <c r="B49" s="98" t="n"/>
      <c r="C49" s="98" t="n"/>
      <c r="D49" s="98" t="n"/>
      <c r="E49" s="98" t="n"/>
      <c r="F49" s="98" t="n"/>
      <c r="G49" s="98" t="n"/>
      <c r="H49" s="98" t="n"/>
    </row>
    <row r="50" ht="15" customHeight="1" s="103">
      <c r="A50" s="98" t="n"/>
      <c r="B50" s="98" t="n"/>
      <c r="C50" s="98" t="n"/>
      <c r="D50" s="98" t="n"/>
      <c r="E50" s="98" t="n"/>
      <c r="F50" s="98" t="n"/>
      <c r="G50" s="98" t="n"/>
      <c r="H50" s="98" t="n"/>
    </row>
    <row r="51" ht="15" customHeight="1" s="103">
      <c r="A51" s="98" t="n"/>
      <c r="B51" s="98" t="n"/>
      <c r="C51" s="98" t="n"/>
      <c r="D51" s="98" t="n"/>
      <c r="E51" s="98" t="n"/>
      <c r="F51" s="98" t="n"/>
      <c r="G51" s="98" t="n"/>
      <c r="H51" s="98" t="n"/>
    </row>
    <row r="53" ht="15" customHeight="1" s="103">
      <c r="A53" s="99" t="n"/>
      <c r="B53" s="99" t="n"/>
      <c r="C53" s="99" t="n"/>
      <c r="D53" s="99" t="n"/>
      <c r="E53" s="99" t="n"/>
      <c r="F53" s="99" t="n"/>
      <c r="G53" s="99" t="n"/>
      <c r="H53" s="99" t="n"/>
    </row>
    <row r="54" ht="15" customHeight="1" s="103">
      <c r="A54" s="99" t="n"/>
      <c r="B54" s="99" t="n"/>
      <c r="C54" s="99" t="n"/>
      <c r="D54" s="99" t="n"/>
      <c r="E54" s="99" t="n"/>
      <c r="F54" s="99" t="n"/>
      <c r="G54" s="99" t="n"/>
      <c r="H54" s="99" t="n"/>
    </row>
    <row r="55" ht="15" customHeight="1" s="103">
      <c r="A55" s="99" t="n"/>
      <c r="B55" s="99" t="n"/>
      <c r="C55" s="99" t="n"/>
      <c r="D55" s="99" t="n"/>
      <c r="E55" s="99" t="n"/>
      <c r="F55" s="99" t="n"/>
      <c r="G55" s="99" t="n"/>
      <c r="H55" s="99" t="n"/>
    </row>
    <row r="56" ht="15" customHeight="1" s="103">
      <c r="A56" s="99" t="n"/>
      <c r="B56" s="99" t="n"/>
      <c r="C56" s="99" t="n"/>
      <c r="D56" s="99" t="n"/>
      <c r="E56" s="99" t="n"/>
      <c r="F56" s="99" t="n"/>
      <c r="G56" s="99" t="n"/>
      <c r="H56" s="99" t="n"/>
    </row>
    <row r="57" ht="15" customHeight="1" s="103">
      <c r="A57" s="99" t="n"/>
      <c r="B57" s="99" t="n"/>
      <c r="C57" s="99" t="n"/>
      <c r="D57" s="99" t="n"/>
      <c r="E57" s="99" t="n"/>
      <c r="F57" s="99" t="n"/>
      <c r="G57" s="99" t="n"/>
      <c r="H57" s="99" t="n"/>
    </row>
    <row r="58" ht="15" customHeight="1" s="103">
      <c r="A58" s="99" t="n"/>
      <c r="B58" s="99" t="n"/>
      <c r="C58" s="99" t="n"/>
      <c r="D58" s="99" t="n"/>
      <c r="E58" s="99" t="n"/>
      <c r="F58" s="99" t="n"/>
      <c r="G58" s="99" t="n"/>
      <c r="H58" s="99" t="n"/>
    </row>
    <row r="59" ht="15" customHeight="1" s="103">
      <c r="A59" s="99" t="n"/>
      <c r="B59" s="99" t="n"/>
      <c r="C59" s="99" t="n"/>
      <c r="D59" s="99" t="n"/>
      <c r="E59" s="99" t="n"/>
      <c r="F59" s="99" t="n"/>
      <c r="G59" s="99" t="n"/>
      <c r="H59" s="99" t="n"/>
    </row>
    <row r="61" ht="15" customHeight="1" s="103">
      <c r="A61" s="98" t="n"/>
      <c r="B61" s="98" t="n"/>
      <c r="C61" s="98" t="n"/>
      <c r="D61" s="98" t="n"/>
      <c r="E61" s="98" t="n"/>
      <c r="F61" s="98" t="n"/>
      <c r="G61" s="98" t="n"/>
      <c r="H61" s="98" t="n"/>
    </row>
    <row r="62" ht="15" customHeight="1" s="103">
      <c r="A62" s="98" t="n"/>
      <c r="B62" s="98" t="n"/>
      <c r="C62" s="98" t="n"/>
      <c r="D62" s="98" t="n"/>
      <c r="E62" s="98" t="n"/>
      <c r="F62" s="98" t="n"/>
      <c r="G62" s="98" t="n"/>
      <c r="H62" s="98" t="n"/>
    </row>
    <row r="63" ht="15" customHeight="1" s="103">
      <c r="A63" s="98" t="n"/>
      <c r="B63" s="98" t="n"/>
      <c r="C63" s="98" t="n"/>
      <c r="D63" s="98" t="n"/>
      <c r="E63" s="98" t="n"/>
      <c r="F63" s="98" t="n"/>
      <c r="G63" s="98" t="n"/>
      <c r="H63" s="98" t="n"/>
    </row>
    <row r="64" ht="15" customHeight="1" s="103">
      <c r="A64" s="98" t="n"/>
      <c r="B64" s="98" t="n"/>
      <c r="C64" s="98" t="n"/>
      <c r="D64" s="98" t="n"/>
      <c r="E64" s="98" t="n"/>
      <c r="F64" s="98" t="n"/>
      <c r="G64" s="98" t="n"/>
      <c r="H64" s="98" t="n"/>
    </row>
    <row r="65" ht="15" customHeight="1" s="103">
      <c r="A65" s="98" t="n"/>
      <c r="B65" s="98" t="n"/>
      <c r="C65" s="98" t="n"/>
      <c r="D65" s="98" t="n"/>
      <c r="E65" s="98" t="n"/>
      <c r="F65" s="98" t="n"/>
      <c r="G65" s="98" t="n"/>
      <c r="H65" s="98" t="n"/>
    </row>
    <row r="66" ht="15" customHeight="1" s="103">
      <c r="A66" s="98" t="n"/>
      <c r="B66" s="98" t="n"/>
      <c r="C66" s="98" t="n"/>
      <c r="D66" s="98" t="n"/>
      <c r="E66" s="98" t="n"/>
      <c r="F66" s="98" t="n"/>
      <c r="G66" s="98" t="n"/>
      <c r="H66" s="98" t="n"/>
    </row>
    <row r="67" ht="15" customHeight="1" s="103">
      <c r="A67" s="98" t="n"/>
      <c r="B67" s="98" t="n"/>
      <c r="C67" s="98" t="n"/>
      <c r="D67" s="98" t="n"/>
      <c r="E67" s="98" t="n"/>
      <c r="F67" s="98" t="n"/>
      <c r="G67" s="98" t="n"/>
      <c r="H67" s="98" t="n"/>
    </row>
    <row r="69" ht="15" customHeight="1" s="103">
      <c r="A69" s="99" t="n"/>
      <c r="B69" s="99" t="n"/>
      <c r="C69" s="99" t="n"/>
      <c r="D69" s="99" t="n"/>
      <c r="E69" s="99" t="n"/>
      <c r="F69" s="99" t="n"/>
      <c r="G69" s="99" t="n"/>
      <c r="H69" s="99" t="n"/>
    </row>
    <row r="70" ht="15" customHeight="1" s="103">
      <c r="A70" s="99" t="n"/>
      <c r="B70" s="99" t="n"/>
      <c r="C70" s="99" t="n"/>
      <c r="D70" s="99" t="n"/>
      <c r="E70" s="99" t="n"/>
      <c r="F70" s="99" t="n"/>
      <c r="G70" s="99" t="n"/>
      <c r="H70" s="99" t="n"/>
    </row>
    <row r="71" ht="15" customHeight="1" s="103">
      <c r="A71" s="99" t="n"/>
      <c r="B71" s="99" t="n"/>
      <c r="C71" s="99" t="n"/>
      <c r="D71" s="99" t="n"/>
      <c r="E71" s="99" t="n"/>
      <c r="F71" s="99" t="n"/>
      <c r="G71" s="99" t="n"/>
      <c r="H71" s="99" t="n"/>
    </row>
    <row r="72" ht="15" customHeight="1" s="103">
      <c r="A72" s="99" t="n"/>
      <c r="B72" s="99" t="n"/>
      <c r="C72" s="99" t="n"/>
      <c r="D72" s="99" t="n"/>
      <c r="E72" s="99" t="n"/>
      <c r="F72" s="99" t="n"/>
      <c r="G72" s="99" t="n"/>
      <c r="H72" s="99" t="n"/>
    </row>
    <row r="73" ht="15" customHeight="1" s="103">
      <c r="A73" s="99" t="n"/>
      <c r="B73" s="99" t="n"/>
      <c r="C73" s="99" t="n"/>
      <c r="D73" s="99" t="n"/>
      <c r="E73" s="99" t="n"/>
      <c r="F73" s="99" t="n"/>
      <c r="G73" s="99" t="n"/>
      <c r="H73" s="99" t="n"/>
    </row>
    <row r="74" ht="15" customHeight="1" s="103">
      <c r="A74" s="99" t="n"/>
      <c r="B74" s="99" t="n"/>
      <c r="C74" s="99" t="n"/>
      <c r="D74" s="99" t="n"/>
      <c r="E74" s="99" t="n"/>
      <c r="F74" s="99" t="n"/>
      <c r="G74" s="99" t="n"/>
      <c r="H74" s="99" t="n"/>
    </row>
    <row r="75" ht="15" customHeight="1" s="103">
      <c r="A75" s="99" t="n"/>
      <c r="B75" s="99" t="n"/>
      <c r="C75" s="99" t="n"/>
      <c r="D75" s="99" t="n"/>
      <c r="E75" s="99" t="n"/>
      <c r="F75" s="99" t="n"/>
      <c r="G75" s="99" t="n"/>
      <c r="H75" s="99" t="n"/>
    </row>
    <row r="77" ht="15" customHeight="1" s="103">
      <c r="A77" s="98" t="n"/>
      <c r="B77" s="98" t="n"/>
      <c r="C77" s="98" t="n"/>
      <c r="D77" s="98" t="n"/>
      <c r="E77" s="98" t="n"/>
      <c r="F77" s="98" t="n"/>
      <c r="G77" s="98" t="n"/>
      <c r="H77" s="98" t="n"/>
    </row>
    <row r="78" ht="15" customHeight="1" s="103">
      <c r="A78" s="98" t="n"/>
      <c r="B78" s="98" t="n"/>
      <c r="C78" s="98" t="n"/>
      <c r="D78" s="98" t="n"/>
      <c r="E78" s="98" t="n"/>
      <c r="F78" s="98" t="n"/>
      <c r="G78" s="98" t="n"/>
      <c r="H78" s="98" t="n"/>
    </row>
    <row r="79" ht="15" customHeight="1" s="103">
      <c r="A79" s="98" t="n"/>
      <c r="B79" s="98" t="n"/>
      <c r="C79" s="98" t="n"/>
      <c r="D79" s="98" t="n"/>
      <c r="E79" s="98" t="n"/>
      <c r="F79" s="98" t="n"/>
      <c r="G79" s="98" t="n"/>
      <c r="H79" s="98" t="n"/>
    </row>
    <row r="80" ht="15" customHeight="1" s="103">
      <c r="A80" s="98" t="n"/>
      <c r="B80" s="98" t="n"/>
      <c r="C80" s="98" t="n"/>
      <c r="D80" s="98" t="n"/>
      <c r="E80" s="98" t="n"/>
      <c r="F80" s="98" t="n"/>
      <c r="G80" s="98" t="n"/>
      <c r="H80" s="98" t="n"/>
    </row>
    <row r="81" ht="15" customHeight="1" s="103">
      <c r="A81" s="98" t="n"/>
      <c r="B81" s="98" t="n"/>
      <c r="C81" s="98" t="n"/>
      <c r="D81" s="98" t="n"/>
      <c r="E81" s="98" t="n"/>
      <c r="F81" s="98" t="n"/>
      <c r="G81" s="98" t="n"/>
      <c r="H81" s="98" t="n"/>
    </row>
    <row r="82" ht="15" customHeight="1" s="103">
      <c r="A82" s="98" t="n"/>
      <c r="B82" s="98" t="n"/>
      <c r="C82" s="98" t="n"/>
      <c r="D82" s="98" t="n"/>
      <c r="E82" s="98" t="n"/>
      <c r="F82" s="98" t="n"/>
      <c r="G82" s="98" t="n"/>
      <c r="H82" s="98" t="n"/>
    </row>
    <row r="83" ht="15" customHeight="1" s="103">
      <c r="A83" s="98" t="n"/>
      <c r="B83" s="98" t="n"/>
      <c r="C83" s="98" t="n"/>
      <c r="D83" s="98" t="n"/>
      <c r="E83" s="98" t="n"/>
      <c r="F83" s="98" t="n"/>
      <c r="G83" s="98" t="n"/>
      <c r="H83" s="98" t="n"/>
    </row>
    <row r="85" ht="15" customHeight="1" s="103">
      <c r="A85" s="99" t="n"/>
      <c r="B85" s="99" t="n"/>
      <c r="C85" s="99" t="n"/>
      <c r="D85" s="99" t="n"/>
      <c r="E85" s="99" t="n"/>
      <c r="F85" s="99" t="n"/>
      <c r="G85" s="99" t="n"/>
      <c r="H85" s="99" t="n"/>
    </row>
    <row r="86" ht="15" customHeight="1" s="103">
      <c r="A86" s="99" t="n"/>
      <c r="B86" s="99" t="n"/>
      <c r="C86" s="99" t="n"/>
      <c r="D86" s="99" t="n"/>
      <c r="E86" s="99" t="n"/>
      <c r="F86" s="99" t="n"/>
      <c r="G86" s="99" t="n"/>
      <c r="H86" s="99" t="n"/>
    </row>
    <row r="87" ht="15" customHeight="1" s="103">
      <c r="A87" s="99" t="n"/>
      <c r="B87" s="99" t="n"/>
      <c r="C87" s="99" t="n"/>
      <c r="D87" s="99" t="n"/>
      <c r="E87" s="99" t="n"/>
      <c r="F87" s="99" t="n"/>
      <c r="G87" s="99" t="n"/>
      <c r="H87" s="99" t="n"/>
    </row>
    <row r="88" ht="15" customHeight="1" s="103">
      <c r="A88" s="99" t="n"/>
      <c r="B88" s="99" t="n"/>
      <c r="C88" s="99" t="n"/>
      <c r="D88" s="99" t="n"/>
      <c r="E88" s="99" t="n"/>
      <c r="F88" s="99" t="n"/>
      <c r="G88" s="99" t="n"/>
      <c r="H88" s="99" t="n"/>
    </row>
    <row r="89" ht="15" customHeight="1" s="103">
      <c r="A89" s="99" t="n"/>
      <c r="B89" s="99" t="n"/>
      <c r="C89" s="99" t="n"/>
      <c r="D89" s="99" t="n"/>
      <c r="E89" s="99" t="n"/>
      <c r="F89" s="99" t="n"/>
      <c r="G89" s="99" t="n"/>
      <c r="H89" s="99" t="n"/>
    </row>
    <row r="90" ht="15" customHeight="1" s="103">
      <c r="A90" s="99" t="n"/>
      <c r="B90" s="99" t="n"/>
      <c r="C90" s="99" t="n"/>
      <c r="D90" s="99" t="n"/>
      <c r="E90" s="99" t="n"/>
      <c r="F90" s="99" t="n"/>
      <c r="G90" s="99" t="n"/>
      <c r="H90" s="99" t="n"/>
    </row>
    <row r="91" ht="15" customHeight="1" s="103">
      <c r="A91" s="99" t="n"/>
      <c r="B91" s="99" t="n"/>
      <c r="C91" s="99" t="n"/>
      <c r="D91" s="99" t="n"/>
      <c r="E91" s="99" t="n"/>
      <c r="F91" s="99" t="n"/>
      <c r="G91" s="99" t="n"/>
      <c r="H91" s="99" t="n"/>
    </row>
    <row r="93" ht="15" customHeight="1" s="103">
      <c r="A93" s="98" t="n"/>
      <c r="B93" s="98" t="n"/>
      <c r="C93" s="98" t="n"/>
      <c r="D93" s="98" t="n"/>
      <c r="E93" s="98" t="n"/>
      <c r="F93" s="98" t="n"/>
      <c r="G93" s="98" t="n"/>
      <c r="H93" s="98" t="n"/>
    </row>
    <row r="94" ht="15" customHeight="1" s="103">
      <c r="A94" s="98" t="n"/>
      <c r="B94" s="98" t="n"/>
      <c r="C94" s="98" t="n"/>
      <c r="D94" s="98" t="n"/>
      <c r="E94" s="98" t="n"/>
      <c r="F94" s="98" t="n"/>
      <c r="G94" s="98" t="n"/>
      <c r="H94" s="98" t="n"/>
    </row>
    <row r="95" ht="15" customHeight="1" s="103">
      <c r="A95" s="98" t="n"/>
      <c r="B95" s="98" t="n"/>
      <c r="C95" s="98" t="n"/>
      <c r="D95" s="98" t="n"/>
      <c r="E95" s="98" t="n"/>
      <c r="F95" s="98" t="n"/>
      <c r="G95" s="98" t="n"/>
      <c r="H95" s="98" t="n"/>
    </row>
    <row r="96" ht="15" customHeight="1" s="103">
      <c r="A96" s="98" t="n"/>
      <c r="B96" s="98" t="n"/>
      <c r="C96" s="98" t="n"/>
      <c r="D96" s="98" t="n"/>
      <c r="E96" s="98" t="n"/>
      <c r="F96" s="98" t="n"/>
      <c r="G96" s="98" t="n"/>
      <c r="H96" s="98" t="n"/>
    </row>
    <row r="97" ht="15" customHeight="1" s="103">
      <c r="A97" s="98" t="n"/>
      <c r="B97" s="98" t="n"/>
      <c r="C97" s="98" t="n"/>
      <c r="D97" s="98" t="n"/>
      <c r="E97" s="98" t="n"/>
      <c r="F97" s="98" t="n"/>
      <c r="G97" s="98" t="n"/>
      <c r="H97" s="98" t="n"/>
    </row>
    <row r="98" ht="15" customHeight="1" s="103">
      <c r="A98" s="98" t="n"/>
      <c r="B98" s="98" t="n"/>
      <c r="C98" s="98" t="n"/>
      <c r="D98" s="98" t="n"/>
      <c r="E98" s="98" t="n"/>
      <c r="F98" s="98" t="n"/>
      <c r="G98" s="98" t="n"/>
      <c r="H98" s="98" t="n"/>
    </row>
    <row r="99" ht="15" customHeight="1" s="103">
      <c r="A99" s="98" t="n"/>
      <c r="B99" s="98" t="n"/>
      <c r="C99" s="98" t="n"/>
      <c r="D99" s="98" t="n"/>
      <c r="E99" s="98" t="n"/>
      <c r="F99" s="98" t="n"/>
      <c r="G99" s="98" t="n"/>
      <c r="H99" s="98" t="n"/>
    </row>
    <row r="101" ht="15" customHeight="1" s="103">
      <c r="A101" s="99" t="n"/>
      <c r="B101" s="99" t="n"/>
      <c r="C101" s="99" t="n"/>
      <c r="D101" s="99" t="n"/>
      <c r="E101" s="99" t="n"/>
      <c r="F101" s="99" t="n"/>
      <c r="G101" s="99" t="n"/>
      <c r="H101" s="99" t="n"/>
    </row>
    <row r="102" ht="15" customHeight="1" s="103">
      <c r="A102" s="99" t="n"/>
      <c r="B102" s="99" t="n"/>
      <c r="C102" s="99" t="n"/>
      <c r="D102" s="99" t="n"/>
      <c r="E102" s="99" t="n"/>
      <c r="F102" s="99" t="n"/>
      <c r="G102" s="99" t="n"/>
      <c r="H102" s="99" t="n"/>
    </row>
    <row r="103" ht="15" customHeight="1" s="103">
      <c r="A103" s="99" t="n"/>
      <c r="B103" s="99" t="n"/>
      <c r="C103" s="99" t="n"/>
      <c r="D103" s="99" t="n"/>
      <c r="E103" s="99" t="n"/>
      <c r="F103" s="99" t="n"/>
      <c r="G103" s="99" t="n"/>
      <c r="H103" s="99" t="n"/>
    </row>
    <row r="104" ht="15" customHeight="1" s="103">
      <c r="A104" s="99" t="n"/>
      <c r="B104" s="99" t="n"/>
      <c r="C104" s="99" t="n"/>
      <c r="D104" s="99" t="n"/>
      <c r="E104" s="99" t="n"/>
      <c r="F104" s="99" t="n"/>
      <c r="G104" s="99" t="n"/>
      <c r="H104" s="99" t="n"/>
    </row>
    <row r="105" ht="15" customHeight="1" s="103">
      <c r="A105" s="99" t="n"/>
      <c r="B105" s="99" t="n"/>
      <c r="C105" s="99" t="n"/>
      <c r="D105" s="99" t="n"/>
      <c r="E105" s="99" t="n"/>
      <c r="F105" s="99" t="n"/>
      <c r="G105" s="99" t="n"/>
      <c r="H105" s="99" t="n"/>
    </row>
    <row r="106" ht="15" customHeight="1" s="103">
      <c r="A106" s="99" t="n"/>
      <c r="B106" s="99" t="n"/>
      <c r="C106" s="99" t="n"/>
      <c r="D106" s="99" t="n"/>
      <c r="E106" s="99" t="n"/>
      <c r="F106" s="99" t="n"/>
      <c r="G106" s="99" t="n"/>
      <c r="H106" s="99" t="n"/>
    </row>
    <row r="107" ht="15" customHeight="1" s="103">
      <c r="A107" s="99" t="n"/>
      <c r="B107" s="99" t="n"/>
      <c r="C107" s="99" t="n"/>
      <c r="D107" s="99" t="n"/>
      <c r="E107" s="99" t="n"/>
      <c r="F107" s="99" t="n"/>
      <c r="G107" s="99" t="n"/>
      <c r="H107" s="99" t="n"/>
    </row>
  </sheetData>
  <mergeCells count="2">
    <mergeCell ref="A12:H12"/>
    <mergeCell ref="A1:H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2026-03-05T09:59:13Z</dcterms:created>
  <dcterms:modified xmlns:dcterms="http://purl.org/dc/terms/" xmlns:xsi="http://www.w3.org/2001/XMLSchema-instance" xsi:type="dcterms:W3CDTF">2026-03-05T14:04:42Z</dcterms:modified>
  <cp:lastModifiedBy>sportsmanagementjb@gmail.com</cp:lastModifiedBy>
  <cp:revision>0</cp:revision>
</cp:coreProperties>
</file>
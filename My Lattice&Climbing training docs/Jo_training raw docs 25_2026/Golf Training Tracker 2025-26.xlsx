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sinabernardes/Library/Mobile Documents/com~apple~CloudDocs/01 Claude in Docs/Jo files/"/>
    </mc:Choice>
  </mc:AlternateContent>
  <xr:revisionPtr revIDLastSave="0" documentId="13_ncr:1_{28CD0B53-02CC-4047-B975-BB665934F92B}" xr6:coauthVersionLast="47" xr6:coauthVersionMax="47" xr10:uidLastSave="{00000000-0000-0000-0000-000000000000}"/>
  <bookViews>
    <workbookView xWindow="0" yWindow="600" windowWidth="16380" windowHeight="8200" tabRatio="500" activeTab="5" xr2:uid="{00000000-000D-0000-FFFF-FFFF00000000}"/>
  </bookViews>
  <sheets>
    <sheet name="Training Plan" sheetId="1" r:id="rId1"/>
    <sheet name="Short Game Log" sheetId="2" r:id="rId2"/>
    <sheet name="Long Game Log" sheetId="3" r:id="rId3"/>
    <sheet name="Game Scorecard" sheetId="4" r:id="rId4"/>
    <sheet name="Performance Dashboard" sheetId="5" r:id="rId5"/>
    <sheet name="My Bag Reference" sheetId="6" r:id="rId6"/>
  </sheets>
  <definedNames>
    <definedName name="_xlnm.Print_Area" localSheetId="0">'Training Plan'!$A$1:$P$30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O27" i="4"/>
  <c r="N24" i="4"/>
  <c r="E27" i="4" s="1"/>
  <c r="M24" i="4"/>
  <c r="L24" i="4"/>
  <c r="K24" i="4"/>
  <c r="C27" i="4" s="1"/>
  <c r="J24" i="4"/>
  <c r="K27" i="4" s="1"/>
  <c r="I24" i="4"/>
  <c r="H24" i="4"/>
  <c r="G24" i="4"/>
  <c r="I27" i="4" s="1"/>
  <c r="F24" i="4"/>
  <c r="G27" i="4" s="1"/>
  <c r="C24" i="4"/>
  <c r="B24" i="4"/>
  <c r="AC34" i="3"/>
  <c r="X34" i="3"/>
  <c r="AE34" i="3" s="1"/>
  <c r="V34" i="3"/>
  <c r="AD34" i="3" s="1"/>
  <c r="AF34" i="3" s="1"/>
  <c r="M34" i="3"/>
  <c r="K34" i="3"/>
  <c r="I34" i="3"/>
  <c r="AD33" i="3"/>
  <c r="AC33" i="3"/>
  <c r="X33" i="3"/>
  <c r="AE33" i="3" s="1"/>
  <c r="V33" i="3"/>
  <c r="M33" i="3"/>
  <c r="K33" i="3"/>
  <c r="I33" i="3"/>
  <c r="AE32" i="3"/>
  <c r="AD32" i="3"/>
  <c r="AC32" i="3"/>
  <c r="AF32" i="3" s="1"/>
  <c r="X32" i="3"/>
  <c r="V32" i="3"/>
  <c r="M32" i="3"/>
  <c r="K32" i="3"/>
  <c r="I32" i="3"/>
  <c r="AE31" i="3"/>
  <c r="AD31" i="3"/>
  <c r="AF31" i="3" s="1"/>
  <c r="AC31" i="3"/>
  <c r="X31" i="3"/>
  <c r="V31" i="3"/>
  <c r="M31" i="3"/>
  <c r="K31" i="3"/>
  <c r="I31" i="3"/>
  <c r="AE30" i="3"/>
  <c r="AC30" i="3"/>
  <c r="X30" i="3"/>
  <c r="V30" i="3"/>
  <c r="AD30" i="3" s="1"/>
  <c r="AF30" i="3" s="1"/>
  <c r="M30" i="3"/>
  <c r="K30" i="3"/>
  <c r="I30" i="3"/>
  <c r="AD29" i="3"/>
  <c r="AC29" i="3"/>
  <c r="X29" i="3"/>
  <c r="AE29" i="3" s="1"/>
  <c r="AF29" i="3" s="1"/>
  <c r="V29" i="3"/>
  <c r="M29" i="3"/>
  <c r="K29" i="3"/>
  <c r="I29" i="3"/>
  <c r="AE28" i="3"/>
  <c r="AD28" i="3"/>
  <c r="AC28" i="3"/>
  <c r="AF28" i="3" s="1"/>
  <c r="X28" i="3"/>
  <c r="V28" i="3"/>
  <c r="M28" i="3"/>
  <c r="K28" i="3"/>
  <c r="I28" i="3"/>
  <c r="AE27" i="3"/>
  <c r="AC27" i="3"/>
  <c r="X27" i="3"/>
  <c r="V27" i="3"/>
  <c r="AD27" i="3" s="1"/>
  <c r="AF27" i="3" s="1"/>
  <c r="M27" i="3"/>
  <c r="K27" i="3"/>
  <c r="I27" i="3"/>
  <c r="AC26" i="3"/>
  <c r="X26" i="3"/>
  <c r="AE26" i="3" s="1"/>
  <c r="V26" i="3"/>
  <c r="AD26" i="3" s="1"/>
  <c r="AF26" i="3" s="1"/>
  <c r="M26" i="3"/>
  <c r="K26" i="3"/>
  <c r="I26" i="3"/>
  <c r="AD25" i="3"/>
  <c r="AC25" i="3"/>
  <c r="X25" i="3"/>
  <c r="AE25" i="3" s="1"/>
  <c r="V25" i="3"/>
  <c r="M25" i="3"/>
  <c r="K25" i="3"/>
  <c r="I25" i="3"/>
  <c r="AE24" i="3"/>
  <c r="AD24" i="3"/>
  <c r="AC24" i="3"/>
  <c r="AF24" i="3" s="1"/>
  <c r="X24" i="3"/>
  <c r="V24" i="3"/>
  <c r="M24" i="3"/>
  <c r="K24" i="3"/>
  <c r="I24" i="3"/>
  <c r="AE23" i="3"/>
  <c r="AD23" i="3"/>
  <c r="AF23" i="3" s="1"/>
  <c r="AC23" i="3"/>
  <c r="X23" i="3"/>
  <c r="V23" i="3"/>
  <c r="M23" i="3"/>
  <c r="K23" i="3"/>
  <c r="I23" i="3"/>
  <c r="AE22" i="3"/>
  <c r="AC22" i="3"/>
  <c r="X22" i="3"/>
  <c r="V22" i="3"/>
  <c r="AD22" i="3" s="1"/>
  <c r="AF22" i="3" s="1"/>
  <c r="M22" i="3"/>
  <c r="K22" i="3"/>
  <c r="I22" i="3"/>
  <c r="AD21" i="3"/>
  <c r="AC21" i="3"/>
  <c r="X21" i="3"/>
  <c r="AE21" i="3" s="1"/>
  <c r="AF21" i="3" s="1"/>
  <c r="V21" i="3"/>
  <c r="M21" i="3"/>
  <c r="K21" i="3"/>
  <c r="I21" i="3"/>
  <c r="AE20" i="3"/>
  <c r="AD20" i="3"/>
  <c r="AC20" i="3"/>
  <c r="AF20" i="3" s="1"/>
  <c r="X20" i="3"/>
  <c r="V20" i="3"/>
  <c r="M20" i="3"/>
  <c r="K20" i="3"/>
  <c r="I20" i="3"/>
  <c r="AE19" i="3"/>
  <c r="AC19" i="3"/>
  <c r="X19" i="3"/>
  <c r="V19" i="3"/>
  <c r="AD19" i="3" s="1"/>
  <c r="AF19" i="3" s="1"/>
  <c r="M19" i="3"/>
  <c r="K19" i="3"/>
  <c r="I19" i="3"/>
  <c r="AC18" i="3"/>
  <c r="X18" i="3"/>
  <c r="AE18" i="3" s="1"/>
  <c r="V18" i="3"/>
  <c r="AD18" i="3" s="1"/>
  <c r="M18" i="3"/>
  <c r="K18" i="3"/>
  <c r="I18" i="3"/>
  <c r="AD17" i="3"/>
  <c r="AC17" i="3"/>
  <c r="X17" i="3"/>
  <c r="AE17" i="3" s="1"/>
  <c r="V17" i="3"/>
  <c r="M17" i="3"/>
  <c r="K17" i="3"/>
  <c r="I17" i="3"/>
  <c r="AE16" i="3"/>
  <c r="AD16" i="3"/>
  <c r="AC16" i="3"/>
  <c r="AF16" i="3" s="1"/>
  <c r="X16" i="3"/>
  <c r="V16" i="3"/>
  <c r="M16" i="3"/>
  <c r="K16" i="3"/>
  <c r="I16" i="3"/>
  <c r="AE15" i="3"/>
  <c r="AD15" i="3"/>
  <c r="AF15" i="3" s="1"/>
  <c r="AC15" i="3"/>
  <c r="X15" i="3"/>
  <c r="V15" i="3"/>
  <c r="M15" i="3"/>
  <c r="K15" i="3"/>
  <c r="I15" i="3"/>
  <c r="AE14" i="3"/>
  <c r="AC14" i="3"/>
  <c r="X14" i="3"/>
  <c r="V14" i="3"/>
  <c r="AD14" i="3" s="1"/>
  <c r="AF14" i="3" s="1"/>
  <c r="M14" i="3"/>
  <c r="K14" i="3"/>
  <c r="I14" i="3"/>
  <c r="AD13" i="3"/>
  <c r="AC13" i="3"/>
  <c r="X13" i="3"/>
  <c r="AE13" i="3" s="1"/>
  <c r="AF13" i="3" s="1"/>
  <c r="V13" i="3"/>
  <c r="M13" i="3"/>
  <c r="K13" i="3"/>
  <c r="I13" i="3"/>
  <c r="AE12" i="3"/>
  <c r="AD12" i="3"/>
  <c r="AC12" i="3"/>
  <c r="AF12" i="3" s="1"/>
  <c r="X12" i="3"/>
  <c r="V12" i="3"/>
  <c r="M12" i="3"/>
  <c r="K12" i="3"/>
  <c r="I12" i="3"/>
  <c r="AE11" i="3"/>
  <c r="AC11" i="3"/>
  <c r="X11" i="3"/>
  <c r="V11" i="3"/>
  <c r="AD11" i="3" s="1"/>
  <c r="AF11" i="3" s="1"/>
  <c r="M11" i="3"/>
  <c r="K11" i="3"/>
  <c r="I11" i="3"/>
  <c r="AC10" i="3"/>
  <c r="X10" i="3"/>
  <c r="AE10" i="3" s="1"/>
  <c r="V10" i="3"/>
  <c r="AD10" i="3" s="1"/>
  <c r="AF10" i="3" s="1"/>
  <c r="M10" i="3"/>
  <c r="K10" i="3"/>
  <c r="I10" i="3"/>
  <c r="AD9" i="3"/>
  <c r="AC9" i="3"/>
  <c r="AF9" i="3" s="1"/>
  <c r="X9" i="3"/>
  <c r="AE9" i="3" s="1"/>
  <c r="V9" i="3"/>
  <c r="M9" i="3"/>
  <c r="K9" i="3"/>
  <c r="I9" i="3"/>
  <c r="AE8" i="3"/>
  <c r="AD8" i="3"/>
  <c r="AC8" i="3"/>
  <c r="AF8" i="3" s="1"/>
  <c r="X8" i="3"/>
  <c r="V8" i="3"/>
  <c r="M8" i="3"/>
  <c r="K8" i="3"/>
  <c r="I8" i="3"/>
  <c r="AE7" i="3"/>
  <c r="AD7" i="3"/>
  <c r="AF7" i="3" s="1"/>
  <c r="AC7" i="3"/>
  <c r="X7" i="3"/>
  <c r="V7" i="3"/>
  <c r="M7" i="3"/>
  <c r="K7" i="3"/>
  <c r="I7" i="3"/>
  <c r="AE6" i="3"/>
  <c r="AF6" i="3" s="1"/>
  <c r="AD6" i="3"/>
  <c r="AC6" i="3"/>
  <c r="X6" i="3"/>
  <c r="V6" i="3"/>
  <c r="M6" i="3"/>
  <c r="K6" i="3"/>
  <c r="I6" i="3"/>
  <c r="AF5" i="3"/>
  <c r="AE5" i="3"/>
  <c r="AD5" i="3"/>
  <c r="AC5" i="3"/>
  <c r="X5" i="3"/>
  <c r="V5" i="3"/>
  <c r="M5" i="3"/>
  <c r="K5" i="3"/>
  <c r="I5" i="3"/>
  <c r="AI34" i="2"/>
  <c r="AH34" i="2"/>
  <c r="AG34" i="2"/>
  <c r="AC34" i="2"/>
  <c r="Y34" i="2"/>
  <c r="R34" i="2"/>
  <c r="M34" i="2"/>
  <c r="AI33" i="2"/>
  <c r="AH33" i="2"/>
  <c r="AG33" i="2"/>
  <c r="AC33" i="2"/>
  <c r="Y33" i="2"/>
  <c r="R33" i="2"/>
  <c r="M33" i="2"/>
  <c r="AI32" i="2"/>
  <c r="AH32" i="2"/>
  <c r="AG32" i="2"/>
  <c r="AC32" i="2"/>
  <c r="Y32" i="2"/>
  <c r="R32" i="2"/>
  <c r="M32" i="2"/>
  <c r="AI31" i="2"/>
  <c r="AH31" i="2"/>
  <c r="AG31" i="2"/>
  <c r="AC31" i="2"/>
  <c r="Y31" i="2"/>
  <c r="R31" i="2"/>
  <c r="M31" i="2"/>
  <c r="AI30" i="2"/>
  <c r="AH30" i="2"/>
  <c r="AG30" i="2"/>
  <c r="AC30" i="2"/>
  <c r="Y30" i="2"/>
  <c r="R30" i="2"/>
  <c r="M30" i="2"/>
  <c r="AI29" i="2"/>
  <c r="AH29" i="2"/>
  <c r="AG29" i="2"/>
  <c r="AC29" i="2"/>
  <c r="Y29" i="2"/>
  <c r="R29" i="2"/>
  <c r="M29" i="2"/>
  <c r="AI28" i="2"/>
  <c r="AH28" i="2"/>
  <c r="AG28" i="2"/>
  <c r="AC28" i="2"/>
  <c r="Y28" i="2"/>
  <c r="R28" i="2"/>
  <c r="M28" i="2"/>
  <c r="AI27" i="2"/>
  <c r="AH27" i="2"/>
  <c r="AG27" i="2"/>
  <c r="AC27" i="2"/>
  <c r="Y27" i="2"/>
  <c r="R27" i="2"/>
  <c r="M27" i="2"/>
  <c r="AI26" i="2"/>
  <c r="AH26" i="2"/>
  <c r="AG26" i="2"/>
  <c r="AC26" i="2"/>
  <c r="Y26" i="2"/>
  <c r="R26" i="2"/>
  <c r="M26" i="2"/>
  <c r="AI25" i="2"/>
  <c r="AH25" i="2"/>
  <c r="AG25" i="2"/>
  <c r="AC25" i="2"/>
  <c r="Y25" i="2"/>
  <c r="R25" i="2"/>
  <c r="M25" i="2"/>
  <c r="AI24" i="2"/>
  <c r="AH24" i="2"/>
  <c r="AG24" i="2"/>
  <c r="AC24" i="2"/>
  <c r="Y24" i="2"/>
  <c r="R24" i="2"/>
  <c r="M24" i="2"/>
  <c r="AI23" i="2"/>
  <c r="AH23" i="2"/>
  <c r="AG23" i="2"/>
  <c r="AC23" i="2"/>
  <c r="Y23" i="2"/>
  <c r="R23" i="2"/>
  <c r="M23" i="2"/>
  <c r="AI22" i="2"/>
  <c r="AH22" i="2"/>
  <c r="AG22" i="2"/>
  <c r="AC22" i="2"/>
  <c r="Y22" i="2"/>
  <c r="R22" i="2"/>
  <c r="M22" i="2"/>
  <c r="AI21" i="2"/>
  <c r="AH21" i="2"/>
  <c r="AG21" i="2"/>
  <c r="AC21" i="2"/>
  <c r="Y21" i="2"/>
  <c r="R21" i="2"/>
  <c r="M21" i="2"/>
  <c r="AI20" i="2"/>
  <c r="AH20" i="2"/>
  <c r="AG20" i="2"/>
  <c r="AC20" i="2"/>
  <c r="Y20" i="2"/>
  <c r="R20" i="2"/>
  <c r="M20" i="2"/>
  <c r="AI19" i="2"/>
  <c r="AH19" i="2"/>
  <c r="AG19" i="2"/>
  <c r="AC19" i="2"/>
  <c r="Y19" i="2"/>
  <c r="R19" i="2"/>
  <c r="M19" i="2"/>
  <c r="AI18" i="2"/>
  <c r="AH18" i="2"/>
  <c r="AG18" i="2"/>
  <c r="AC18" i="2"/>
  <c r="Y18" i="2"/>
  <c r="R18" i="2"/>
  <c r="M18" i="2"/>
  <c r="AI17" i="2"/>
  <c r="AH17" i="2"/>
  <c r="AG17" i="2"/>
  <c r="AC17" i="2"/>
  <c r="Y17" i="2"/>
  <c r="R17" i="2"/>
  <c r="M17" i="2"/>
  <c r="AI16" i="2"/>
  <c r="AH16" i="2"/>
  <c r="AG16" i="2"/>
  <c r="AC16" i="2"/>
  <c r="Y16" i="2"/>
  <c r="R16" i="2"/>
  <c r="M16" i="2"/>
  <c r="AI15" i="2"/>
  <c r="AH15" i="2"/>
  <c r="AG15" i="2"/>
  <c r="AC15" i="2"/>
  <c r="Y15" i="2"/>
  <c r="R15" i="2"/>
  <c r="M15" i="2"/>
  <c r="AI14" i="2"/>
  <c r="AH14" i="2"/>
  <c r="AG14" i="2"/>
  <c r="AC14" i="2"/>
  <c r="Y14" i="2"/>
  <c r="R14" i="2"/>
  <c r="M14" i="2"/>
  <c r="AI13" i="2"/>
  <c r="AH13" i="2"/>
  <c r="AG13" i="2"/>
  <c r="AC13" i="2"/>
  <c r="Y13" i="2"/>
  <c r="R13" i="2"/>
  <c r="M13" i="2"/>
  <c r="AI12" i="2"/>
  <c r="AH12" i="2"/>
  <c r="AG12" i="2"/>
  <c r="AC12" i="2"/>
  <c r="Y12" i="2"/>
  <c r="R12" i="2"/>
  <c r="M12" i="2"/>
  <c r="AI11" i="2"/>
  <c r="AH11" i="2"/>
  <c r="AG11" i="2"/>
  <c r="AC11" i="2"/>
  <c r="Y11" i="2"/>
  <c r="R11" i="2"/>
  <c r="M11" i="2"/>
  <c r="AI10" i="2"/>
  <c r="AH10" i="2"/>
  <c r="AG10" i="2"/>
  <c r="AC10" i="2"/>
  <c r="Y10" i="2"/>
  <c r="R10" i="2"/>
  <c r="M10" i="2"/>
  <c r="AI9" i="2"/>
  <c r="AH9" i="2"/>
  <c r="AG9" i="2"/>
  <c r="AC9" i="2"/>
  <c r="Y9" i="2"/>
  <c r="R9" i="2"/>
  <c r="M9" i="2"/>
  <c r="AI8" i="2"/>
  <c r="AH8" i="2"/>
  <c r="AG8" i="2"/>
  <c r="AC8" i="2"/>
  <c r="Y8" i="2"/>
  <c r="R8" i="2"/>
  <c r="M8" i="2"/>
  <c r="AI7" i="2"/>
  <c r="AH7" i="2"/>
  <c r="AG7" i="2"/>
  <c r="AC7" i="2"/>
  <c r="Y7" i="2"/>
  <c r="R7" i="2"/>
  <c r="M7" i="2"/>
  <c r="AI6" i="2"/>
  <c r="AH6" i="2"/>
  <c r="AG6" i="2"/>
  <c r="AC6" i="2"/>
  <c r="Y6" i="2"/>
  <c r="R6" i="2"/>
  <c r="M6" i="2"/>
  <c r="AI5" i="2"/>
  <c r="AH5" i="2"/>
  <c r="AG5" i="2"/>
  <c r="AC5" i="2"/>
  <c r="Y5" i="2"/>
  <c r="R5" i="2"/>
  <c r="M5" i="2"/>
  <c r="AF17" i="3" l="1"/>
  <c r="AF25" i="3"/>
  <c r="AF33" i="3"/>
  <c r="AF18" i="3"/>
  <c r="M27" i="4"/>
  <c r="A27" i="4"/>
</calcChain>
</file>

<file path=xl/sharedStrings.xml><?xml version="1.0" encoding="utf-8"?>
<sst xmlns="http://schemas.openxmlformats.org/spreadsheetml/2006/main" count="565" uniqueCount="469">
  <si>
    <t>⛳  GOLF TRAINING PLAN 2025–26  |  Jo Bernardes</t>
  </si>
  <si>
    <t>Handicap goal: from ~27 → 20 by end of 2026  |  Based on 1h30 short game &amp; long game routines</t>
  </si>
  <si>
    <t>RECOMMENDED WEEKLY TRAINING SCHEDULE</t>
  </si>
  <si>
    <t>Day</t>
  </si>
  <si>
    <t>Session Type</t>
  </si>
  <si>
    <t>Duration</t>
  </si>
  <si>
    <t>Location</t>
  </si>
  <si>
    <t>Focus Area</t>
  </si>
  <si>
    <t>Key Drills</t>
  </si>
  <si>
    <t>Target Metric</t>
  </si>
  <si>
    <t>Notes</t>
  </si>
  <si>
    <t>Monday</t>
  </si>
  <si>
    <t>Rest / Mental Review</t>
  </si>
  <si>
    <t>30 min</t>
  </si>
  <si>
    <t>Home</t>
  </si>
  <si>
    <t>Review last round notes, visualise swings</t>
  </si>
  <si>
    <t>Watch swing videos, read mental strategy</t>
  </si>
  <si>
    <t>Mindset reset</t>
  </si>
  <si>
    <t>Review notes from last session</t>
  </si>
  <si>
    <t>Tuesday</t>
  </si>
  <si>
    <t>Short Game (1h30)</t>
  </si>
  <si>
    <t>1h30</t>
  </si>
  <si>
    <t>SGU / Range</t>
  </si>
  <si>
    <t>Putting + Chipping</t>
  </si>
  <si>
    <t>Short putts 25x, Lag 10x, Up &amp; Down 10x</t>
  </si>
  <si>
    <t>&gt;70% success on up &amp; downs</t>
  </si>
  <si>
    <t>Follow short game PDF routine</t>
  </si>
  <si>
    <t>Wednesday</t>
  </si>
  <si>
    <t>Long Game (1h30)</t>
  </si>
  <si>
    <t>Range</t>
  </si>
  <si>
    <t>Wedges + Irons (distance control)</t>
  </si>
  <si>
    <t>45m / 65m / 90m zones, Mid iron 10x solid</t>
  </si>
  <si>
    <t>&gt;7/10 in target zone</t>
  </si>
  <si>
    <t>Follow long game PDF routine</t>
  </si>
  <si>
    <t>Thursday</t>
  </si>
  <si>
    <t>Pitching + Pressure drill</t>
  </si>
  <si>
    <t>Ladder drill, low/high trajectories 10x</t>
  </si>
  <si>
    <t>Complete ladder without miss</t>
  </si>
  <si>
    <t>Focus on trajectory control</t>
  </si>
  <si>
    <t>Friday</t>
  </si>
  <si>
    <t>Course (9 holes)</t>
  </si>
  <si>
    <t>2h–3h</t>
  </si>
  <si>
    <t>Golf Course</t>
  </si>
  <si>
    <t>On-course strategy + decision making</t>
  </si>
  <si>
    <t>3-shot par-4 rule, back-9 calm tee routine</t>
  </si>
  <si>
    <t>0 blow-ups (&gt;9 on a hole)</t>
  </si>
  <si>
    <t>Apply mental strategy PDF</t>
  </si>
  <si>
    <t>Saturday</t>
  </si>
  <si>
    <t>Driver + Irons (shape + fairway finder)</t>
  </si>
  <si>
    <t>Fades/draws 5x, Fairway finder 10x</t>
  </si>
  <si>
    <t>&gt;6/10 fairways hit</t>
  </si>
  <si>
    <t>Simulate on-course scenarios</t>
  </si>
  <si>
    <t>Sunday</t>
  </si>
  <si>
    <t>Rest / Active Recovery</t>
  </si>
  <si>
    <t>—</t>
  </si>
  <si>
    <t>Stretching + gentle walk</t>
  </si>
  <si>
    <t>Shoulder, hip, wrist mobility work</t>
  </si>
  <si>
    <t>Recover fully</t>
  </si>
  <si>
    <t>No technical practice</t>
  </si>
  <si>
    <t>MONTHLY PHASE PLAN — HCP PROGRESSION</t>
  </si>
  <si>
    <t>Phase</t>
  </si>
  <si>
    <t>Months</t>
  </si>
  <si>
    <t>Handicap Target</t>
  </si>
  <si>
    <t>Main Focus</t>
  </si>
  <si>
    <t>Short Game Priority</t>
  </si>
  <si>
    <t>Long Game Priority</t>
  </si>
  <si>
    <t>Games / Month</t>
  </si>
  <si>
    <t>Success Metric</t>
  </si>
  <si>
    <t>Phase 1 — Foundation</t>
  </si>
  <si>
    <t>Jan–Mar 2026</t>
  </si>
  <si>
    <t>27 → 24</t>
  </si>
  <si>
    <t>Consistency &amp; routine</t>
  </si>
  <si>
    <t>Lag putting accuracy, up &amp; down 60%+</t>
  </si>
  <si>
    <t>Distance control 45/65/90m, 7/10 in zone</t>
  </si>
  <si>
    <t>2 rounds</t>
  </si>
  <si>
    <t>No holes &gt;9 strokes; HCP &lt; 25 by Mar</t>
  </si>
  <si>
    <t>Phase 2 — Improvement</t>
  </si>
  <si>
    <t>Apr–Jun 2026</t>
  </si>
  <si>
    <t>24 → 22</t>
  </si>
  <si>
    <t>Scoring zone efficiency</t>
  </si>
  <si>
    <t>Pressure putting, chipping variety</t>
  </si>
  <si>
    <t>Iron accuracy, fairway finder 60%+</t>
  </si>
  <si>
    <t>3 rounds</t>
  </si>
  <si>
    <t>Stableford avg &gt;15 pts/round</t>
  </si>
  <si>
    <t>Phase 3 — Consolidation</t>
  </si>
  <si>
    <t>Jul–Sep 2026</t>
  </si>
  <si>
    <t>22 → 20</t>
  </si>
  <si>
    <t>On-course application</t>
  </si>
  <si>
    <t>Up &amp; down 70%+, 2-putt avg</t>
  </si>
  <si>
    <t>Shape shots, hybrid management off tee</t>
  </si>
  <si>
    <t>3–4 rounds</t>
  </si>
  <si>
    <t>Stableford avg &gt;18 pts/round</t>
  </si>
  <si>
    <t>Phase 4 — Performance</t>
  </si>
  <si>
    <t>Oct–Dec 2026</t>
  </si>
  <si>
    <t>20 → 18</t>
  </si>
  <si>
    <t>Mental game + scoring</t>
  </si>
  <si>
    <t>Bunker saves, short par-3 par rate</t>
  </si>
  <si>
    <t>Back-9 calm tee strategy, wind management</t>
  </si>
  <si>
    <t>4 rounds</t>
  </si>
  <si>
    <t>HCP ≤ 18 by year-end</t>
  </si>
  <si>
    <t>YOUR KEY FOCUS AREAS (from analysis of your game)</t>
  </si>
  <si>
    <t>🎯 Putting (Lag)</t>
  </si>
  <si>
    <t>Priority 1</t>
  </si>
  <si>
    <t>Most strokes saved. 2-putt all putts &gt;8m. Forget the hole, lag first.</t>
  </si>
  <si>
    <t>⛳ Up &amp; Down</t>
  </si>
  <si>
    <t>Priority 2</t>
  </si>
  <si>
    <t>Practice from 10–15m chip zones (H1, H2, H9 at SGU). Target 60%+ success.</t>
  </si>
  <si>
    <t>🏌️ Wedge Control</t>
  </si>
  <si>
    <t>Priority 3</t>
  </si>
  <si>
    <t>Nail 45m / 65m / 90m distances. Build confidence in scoring zone.</t>
  </si>
  <si>
    <t>🌳 Driver/Hybrid</t>
  </si>
  <si>
    <t>Priority 4</t>
  </si>
  <si>
    <t>5-wood / Hybrid 4 off tees. Fairway &gt; distance. No 3-wood in wind.</t>
  </si>
  <si>
    <t>🧠 Mental Game</t>
  </si>
  <si>
    <t>Priority 5</t>
  </si>
  <si>
    <t>Back-9 rule: 80-85% swing, boring golf. One miss = change strategy not club.</t>
  </si>
  <si>
    <t>🏖️ Bunker Play</t>
  </si>
  <si>
    <t>Priority 6</t>
  </si>
  <si>
    <t>Hard sand = chip it clean. Soft sand = splash once only. Unplayable if unsure.</t>
  </si>
  <si>
    <t>⛳  SHORT GAME SESSION LOG  |  Based on 1h30 Routine (Jo Bernardes)</t>
  </si>
  <si>
    <t>Log each Short Game practice session. Fill in your scores for each drill. Score column = In/Out (e.g. '7/10'). 'Session Score' auto-calculates your overall % success.</t>
  </si>
  <si>
    <t>SESSION INFO</t>
  </si>
  <si>
    <t>WARM-UP</t>
  </si>
  <si>
    <t>PUTTING — Short Putts</t>
  </si>
  <si>
    <t>PUTTING — Lag</t>
  </si>
  <si>
    <t>PRESSURE DRILL</t>
  </si>
  <si>
    <t>CHIPPING</t>
  </si>
  <si>
    <t>PITCHING</t>
  </si>
  <si>
    <t>UP &amp; DOWN</t>
  </si>
  <si>
    <t>SUMMARY</t>
  </si>
  <si>
    <t>Date</t>
  </si>
  <si>
    <t>HCP</t>
  </si>
  <si>
    <t>Weather</t>
  </si>
  <si>
    <t>Stretch ✓</t>
  </si>
  <si>
    <t>20 chips ✓</t>
  </si>
  <si>
    <t>1m /25 in row</t>
  </si>
  <si>
    <t>2m /15 in row</t>
  </si>
  <si>
    <t>SP Score</t>
  </si>
  <si>
    <t>SP %</t>
  </si>
  <si>
    <t>8m /10</t>
  </si>
  <si>
    <t>9m /10</t>
  </si>
  <si>
    <t>12m /10</t>
  </si>
  <si>
    <t>Lag Score</t>
  </si>
  <si>
    <t>Lag %</t>
  </si>
  <si>
    <t>Ladder ✓</t>
  </si>
  <si>
    <t>Misses</t>
  </si>
  <si>
    <t>P. Score</t>
  </si>
  <si>
    <t>Club</t>
  </si>
  <si>
    <t>Landing</t>
  </si>
  <si>
    <t>Chips /10</t>
  </si>
  <si>
    <t>Chip %</t>
  </si>
  <si>
    <t>Low /10</t>
  </si>
  <si>
    <t>High /10</t>
  </si>
  <si>
    <t>Pitch Club</t>
  </si>
  <si>
    <t>Pitch %</t>
  </si>
  <si>
    <t>U&amp;D /10</t>
  </si>
  <si>
    <t>10 Smooth Putts ✓</t>
  </si>
  <si>
    <t>Session Notes</t>
  </si>
  <si>
    <t>Session Score %</t>
  </si>
  <si>
    <t>Putting %</t>
  </si>
  <si>
    <t>Chipping %</t>
  </si>
  <si>
    <t>Rating 1-5</t>
  </si>
  <si>
    <t>🏌️  LONG GAME SESSION LOG  |  Based on 1h30 Routine (Jo Bernardes)</t>
  </si>
  <si>
    <t>Log each Long Game session. Enter shots hit IN the zone vs total. Percentages calculated automatically.</t>
  </si>
  <si>
    <t>WEDGE DISTANCE CONTROL</t>
  </si>
  <si>
    <t>TRAJECTORY DRILL</t>
  </si>
  <si>
    <t>IRONS</t>
  </si>
  <si>
    <t>DRIVING</t>
  </si>
  <si>
    <t>ON-COURSE SIM</t>
  </si>
  <si>
    <t>45m /10</t>
  </si>
  <si>
    <t>45m %</t>
  </si>
  <si>
    <t>65m /10</t>
  </si>
  <si>
    <t>65m %</t>
  </si>
  <si>
    <t>90m /10</t>
  </si>
  <si>
    <t>90m %</t>
  </si>
  <si>
    <t>Low /5</t>
  </si>
  <si>
    <t>Stock /5</t>
  </si>
  <si>
    <t>High /5</t>
  </si>
  <si>
    <t>Mid Solid /10</t>
  </si>
  <si>
    <t>Mid Target /10</t>
  </si>
  <si>
    <t>Long Solid /10</t>
  </si>
  <si>
    <t>Long Target /10</t>
  </si>
  <si>
    <t>Iron %</t>
  </si>
  <si>
    <t>Fairway /10</t>
  </si>
  <si>
    <t>Fairway %</t>
  </si>
  <si>
    <t>Fades /5</t>
  </si>
  <si>
    <t>Draws /5</t>
  </si>
  <si>
    <t>H1 FW?</t>
  </si>
  <si>
    <t>H2 FW?</t>
  </si>
  <si>
    <t>H3 FW?</t>
  </si>
  <si>
    <t>Wedge %</t>
  </si>
  <si>
    <t>Drive %</t>
  </si>
  <si>
    <t>📋  GAME SCORECARD &amp; ROUND TRACKER  (Jo Bernardes)</t>
  </si>
  <si>
    <t>Course</t>
  </si>
  <si>
    <t>HCP Index</t>
  </si>
  <si>
    <t>Course HCP</t>
  </si>
  <si>
    <t>Par</t>
  </si>
  <si>
    <t>SR</t>
  </si>
  <si>
    <t>CR</t>
  </si>
  <si>
    <t>Playing Partners</t>
  </si>
  <si>
    <t>Round Notes</t>
  </si>
  <si>
    <t>HOLE-BY-HOLE SCORECARD</t>
  </si>
  <si>
    <t>Hole</t>
  </si>
  <si>
    <t>Distance (m)</t>
  </si>
  <si>
    <t>SI</t>
  </si>
  <si>
    <t>Tee Club</t>
  </si>
  <si>
    <t>FW Hit</t>
  </si>
  <si>
    <t>GIR</t>
  </si>
  <si>
    <t>Bunker</t>
  </si>
  <si>
    <t>Chip/Pitch</t>
  </si>
  <si>
    <t>Putts</t>
  </si>
  <si>
    <t>Gross Strokes</t>
  </si>
  <si>
    <t>Net Par</t>
  </si>
  <si>
    <t>Strok. Diff</t>
  </si>
  <si>
    <t>Points</t>
  </si>
  <si>
    <t>Club 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</si>
  <si>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</si>
  <si>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</si>
  <si>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</si>
  <si>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</si>
  <si>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</si>
  <si>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</si>
  <si>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</si>
  <si>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</si>
  <si>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</si>
  <si>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</si>
  <si>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</si>
  <si>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</si>
  <si>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</si>
  <si>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</si>
  <si>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</si>
  <si>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</si>
  <si>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</si>
  <si>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</si>
  <si>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TOTAL</t>
  </si>
  <si>
    <t>ROUND STATISTICS</t>
  </si>
  <si>
    <t>Total Gross</t>
  </si>
  <si>
    <t>Total Net</t>
  </si>
  <si>
    <t>Stableford Pts</t>
  </si>
  <si>
    <t>Fairways Hit</t>
  </si>
  <si>
    <t>Total Putts</t>
  </si>
  <si>
    <t>Putts / Hole</t>
  </si>
  <si>
    <t>Bunkers</t>
  </si>
  <si>
    <t>📈  PERFORMANCE DASHBOARD  |  Jo Bernardes 2025–26</t>
  </si>
  <si>
    <t>HCP PROGRESSION</t>
  </si>
  <si>
    <t>MONTHLY TRAINING SUMMARY</t>
  </si>
  <si>
    <t>Change</t>
  </si>
  <si>
    <t>Month</t>
  </si>
  <si>
    <t>SG Sessions</t>
  </si>
  <si>
    <t>LG Sessions</t>
  </si>
  <si>
    <t>Rounds</t>
  </si>
  <si>
    <t>Best Stableford</t>
  </si>
  <si>
    <t>Avg Putting %</t>
  </si>
  <si>
    <t>Avg Wedge %</t>
  </si>
  <si>
    <t>Avg Iron %</t>
  </si>
  <si>
    <t>Avg Drive %</t>
  </si>
  <si>
    <t>2025-04-24</t>
  </si>
  <si>
    <t>Season start</t>
  </si>
  <si>
    <t>Jan 2026</t>
  </si>
  <si>
    <t>2025-09-29</t>
  </si>
  <si>
    <t>Sept measurement</t>
  </si>
  <si>
    <t>Feb 2026</t>
  </si>
  <si>
    <t>2025-11-02</t>
  </si>
  <si>
    <t>Nov improvement</t>
  </si>
  <si>
    <t>Mar 2026</t>
  </si>
  <si>
    <t>2025-12-03</t>
  </si>
  <si>
    <t>Dec breakthrough</t>
  </si>
  <si>
    <t>Apr 2026</t>
  </si>
  <si>
    <t>2026-01-01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</si>
  <si>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</si>
  <si>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</si>
  <si>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</si>
  <si>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</si>
  <si>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</si>
  <si>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</si>
  <si>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</si>
  <si>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</si>
  <si>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KEY PERFORMANCE TARGETS</t>
  </si>
  <si>
    <t>GAME RESULTS HISTORY</t>
  </si>
  <si>
    <t>Metric</t>
  </si>
  <si>
    <t>Current</t>
  </si>
  <si>
    <t>Target</t>
  </si>
  <si>
    <t>Priority</t>
  </si>
  <si>
    <t>Gross</t>
  </si>
  <si>
    <t>Net</t>
  </si>
  <si>
    <t>Stableford</t>
  </si>
  <si>
    <t>FW%</t>
  </si>
  <si>
    <t>Best Hole</t>
  </si>
  <si>
    <t>~27.7</t>
  </si>
  <si>
    <t>≤ 20</t>
  </si>
  <si>
    <t>HIGH</t>
  </si>
  <si>
    <t>SGU Par3</t>
  </si>
  <si>
    <t>Season opener</t>
  </si>
  <si>
    <t>Stableford (avg/round)</t>
  </si>
  <si>
    <t>~12 pts</t>
  </si>
  <si>
    <t>≥ 18 pts</t>
  </si>
  <si>
    <t>2025-04-30</t>
  </si>
  <si>
    <t>Putting (lag 2-putt %)</t>
  </si>
  <si>
    <t>≥ 80%</t>
  </si>
  <si>
    <t>2025-05-11</t>
  </si>
  <si>
    <t>Up &amp; Down %</t>
  </si>
  <si>
    <t>~55%</t>
  </si>
  <si>
    <t>≥ 65%</t>
  </si>
  <si>
    <t>2025-05-25</t>
  </si>
  <si>
    <t>Wedge accuracy (zone %)</t>
  </si>
  <si>
    <t>≥ 70%</t>
  </si>
  <si>
    <t>MED</t>
  </si>
  <si>
    <t>2025-09-23</t>
  </si>
  <si>
    <t>Ameliesweerd P3</t>
  </si>
  <si>
    <t>Fairways hit %</t>
  </si>
  <si>
    <t>≥ 55%</t>
  </si>
  <si>
    <t>2025-09-30</t>
  </si>
  <si>
    <t>SGU Par3/4</t>
  </si>
  <si>
    <t>Good FW direction</t>
  </si>
  <si>
    <t>GIR %</t>
  </si>
  <si>
    <t>≥ 20%</t>
  </si>
  <si>
    <t>2025-11-06</t>
  </si>
  <si>
    <t>Almkreek B9</t>
  </si>
  <si>
    <t>Good direction, C/P to improve</t>
  </si>
  <si>
    <t>Bunker save %</t>
  </si>
  <si>
    <t>≥ 30%</t>
  </si>
  <si>
    <t>LOW</t>
  </si>
  <si>
    <t>2025-12-04</t>
  </si>
  <si>
    <t>Westpark 18H</t>
  </si>
  <si>
    <t>Full 18H</t>
  </si>
  <si>
    <t>2025-12-07</t>
  </si>
  <si>
    <t>2026-02-05</t>
  </si>
  <si>
    <t>Haverleij 9H</t>
  </si>
  <si>
    <t>🎒  MY BAG — Club Distances &amp; Strategy Reference  (Updated Jan 2026)</t>
  </si>
  <si>
    <t>Brand</t>
  </si>
  <si>
    <t>Carry (m)</t>
  </si>
  <si>
    <t>Total (m)</t>
  </si>
  <si>
    <t>Goal Carry</t>
  </si>
  <si>
    <t>Goal Total</t>
  </si>
  <si>
    <t>Direction Avg</t>
  </si>
  <si>
    <t>Best Use</t>
  </si>
  <si>
    <t>Swing %</t>
  </si>
  <si>
    <t>Driver</t>
  </si>
  <si>
    <t>Spalding</t>
  </si>
  <si>
    <t>C30% R60%</t>
  </si>
  <si>
    <t>Long par-4 tee, wide fairways</t>
  </si>
  <si>
    <t>90%</t>
  </si>
  <si>
    <t>Risky – use selectively</t>
  </si>
  <si>
    <t>3 Wood</t>
  </si>
  <si>
    <t>L17% C83%</t>
  </si>
  <si>
    <t>Wide holes only, flat terrain</t>
  </si>
  <si>
    <t>80%</t>
  </si>
  <si>
    <t>Avoid in wind or narrow holes</t>
  </si>
  <si>
    <t>5 Wood</t>
  </si>
  <si>
    <t>Cobra</t>
  </si>
  <si>
    <t>L23% C62% R16%</t>
  </si>
  <si>
    <t>Default tee club – best overall</t>
  </si>
  <si>
    <t>95%</t>
  </si>
  <si>
    <t>Go-to tee club. Reliable carry</t>
  </si>
  <si>
    <t>4 Hybrid</t>
  </si>
  <si>
    <t>C66% R33%</t>
  </si>
  <si>
    <t>Tight holes, back-9 tee club</t>
  </si>
  <si>
    <t>100%</t>
  </si>
  <si>
    <t>Emergency tee club – trust it!</t>
  </si>
  <si>
    <t>7H V2</t>
  </si>
  <si>
    <t>L17% C50% R33%</t>
  </si>
  <si>
    <t>Long approach 95-105m</t>
  </si>
  <si>
    <t>85%</t>
  </si>
  <si>
    <t>Good gap filler</t>
  </si>
  <si>
    <t>5 Iron</t>
  </si>
  <si>
    <t>500inesis</t>
  </si>
  <si>
    <t>C67% R33%</t>
  </si>
  <si>
    <t>Approach 100-110m</t>
  </si>
  <si>
    <t>Good contact rate</t>
  </si>
  <si>
    <t>6 Iron</t>
  </si>
  <si>
    <t>L17% C17% R67%</t>
  </si>
  <si>
    <t>Approach 90-100m</t>
  </si>
  <si>
    <t>Direction work needed</t>
  </si>
  <si>
    <t>7 Iron</t>
  </si>
  <si>
    <t>Par-3s 80-95m, approach</t>
  </si>
  <si>
    <t>Perfect for short par-3s</t>
  </si>
  <si>
    <t>8 Iron</t>
  </si>
  <si>
    <t>Approach 70-85m</t>
  </si>
  <si>
    <t>9 Iron</t>
  </si>
  <si>
    <t>C34% R67%</t>
  </si>
  <si>
    <t>Approach 65-75m</t>
  </si>
  <si>
    <t>PW</t>
  </si>
  <si>
    <t>C17% R83%</t>
  </si>
  <si>
    <t>Scoring zone 55-70m</t>
  </si>
  <si>
    <t>Full &amp; ¾ swing control</t>
  </si>
  <si>
    <t>SW 56°</t>
  </si>
  <si>
    <t>C54% R45%</t>
  </si>
  <si>
    <t>Short approach 45-55m, bunker</t>
  </si>
  <si>
    <t>Chip &amp; splash options</t>
  </si>
  <si>
    <t>Alternative SW</t>
  </si>
  <si>
    <t>YARDAGE BOOK — Recommended Club by Distance (adjusted for real course -10% carry)</t>
  </si>
  <si>
    <t>Distance to Target</t>
  </si>
  <si>
    <t>Best Club</t>
  </si>
  <si>
    <t>Swing</t>
  </si>
  <si>
    <t>Carry</t>
  </si>
  <si>
    <t>Alternative</t>
  </si>
  <si>
    <t>45–52 m</t>
  </si>
  <si>
    <t>SW 56° (full)</t>
  </si>
  <si>
    <t>~47 m</t>
  </si>
  <si>
    <t>PW (½ swing)</t>
  </si>
  <si>
    <t>Perfect for short par-3 holes</t>
  </si>
  <si>
    <t>53–60 m</t>
  </si>
  <si>
    <t>SW 56° (¾ swing)</t>
  </si>
  <si>
    <t>~53 m</t>
  </si>
  <si>
    <t>PW (½)</t>
  </si>
  <si>
    <t>Controlled landing, reliable</t>
  </si>
  <si>
    <t>61–68 m</t>
  </si>
  <si>
    <t>PW (full)</t>
  </si>
  <si>
    <t>~65 m</t>
  </si>
  <si>
    <t>SW (punch)</t>
  </si>
  <si>
    <t>Scoring zone – be precise</t>
  </si>
  <si>
    <t>69–75 m</t>
  </si>
  <si>
    <t>PW (¾ swing)</t>
  </si>
  <si>
    <t>~71 m</t>
  </si>
  <si>
    <t>9i (½)</t>
  </si>
  <si>
    <t>Smooth swing = better direction</t>
  </si>
  <si>
    <t>76–83 m</t>
  </si>
  <si>
    <t>9i (full)</t>
  </si>
  <si>
    <t>~80 m</t>
  </si>
  <si>
    <t>PW (¾)</t>
  </si>
  <si>
    <t>Check wind – 9i goes right</t>
  </si>
  <si>
    <t>84–90 m</t>
  </si>
  <si>
    <t>9i (¾ swing)</t>
  </si>
  <si>
    <t>~84 m</t>
  </si>
  <si>
    <t>8i (½)</t>
  </si>
  <si>
    <t>Into headwind: 8i</t>
  </si>
  <si>
    <t>91–98 m</t>
  </si>
  <si>
    <t>7i (full)</t>
  </si>
  <si>
    <t>~94 m</t>
  </si>
  <si>
    <t>8i (full)</t>
  </si>
  <si>
    <t>Perfect distance, target center</t>
  </si>
  <si>
    <t>99–107 m</t>
  </si>
  <si>
    <t>7i (¾ swing)</t>
  </si>
  <si>
    <t>~100 m</t>
  </si>
  <si>
    <t>6i (full)</t>
  </si>
  <si>
    <t>Aim for middle of green</t>
  </si>
  <si>
    <t>108–115 m</t>
  </si>
  <si>
    <t>6i or 5i</t>
  </si>
  <si>
    <t>~105 m</t>
  </si>
  <si>
    <t>5w (half)</t>
  </si>
  <si>
    <t>Campo Real: add 1 club uphill</t>
  </si>
  <si>
    <t>116–130 m</t>
  </si>
  <si>
    <t>7H V2 or 4 Hybrid</t>
  </si>
  <si>
    <t>~120 m</t>
  </si>
  <si>
    <t>5i (full)</t>
  </si>
  <si>
    <t>Aim short if green above</t>
  </si>
  <si>
    <t>131–145 m</t>
  </si>
  <si>
    <t>5 Wood (90%)</t>
  </si>
  <si>
    <t>~130 m</t>
  </si>
  <si>
    <t>Land short, let it roll</t>
  </si>
  <si>
    <t>🧠  MENTAL RULES QUICK REFERENCE (Campo Real + General)</t>
  </si>
  <si>
    <t>Default tee club</t>
  </si>
  <si>
    <t>5-Wood → 4 Hybrid → 3-Wood ONLY wide holes</t>
  </si>
  <si>
    <t>Back-9 rule</t>
  </si>
  <si>
    <t>80–85% swing speed, most reliable club, not longest</t>
  </si>
  <si>
    <t>Par-4 strategy</t>
  </si>
  <si>
    <t>Tee: 5W/Hybrid → Lay-up 8i/7i (90-100m) → Approach PW/9i</t>
  </si>
  <si>
    <t>Into headwind</t>
  </si>
  <si>
    <t>Club DOWN (NOT up) + 80% swing — saves 6-10 strokes</t>
  </si>
  <si>
    <t>Tired/windy</t>
  </si>
  <si>
    <t>Hybrid 4. Always. No exceptions.</t>
  </si>
  <si>
    <t>Lag putting rule</t>
  </si>
  <si>
    <t>&gt;8m: forget the hole, 2-putt target only</t>
  </si>
  <si>
    <t>Bunker (hard sand)</t>
  </si>
  <si>
    <t>Chip it clean with SW. NOT splash. Consider unplayable.</t>
  </si>
  <si>
    <t>Ball in trees</t>
  </si>
  <si>
    <t>Option A: Low punch under branches. Option B: Sideways chip out.</t>
  </si>
  <si>
    <t>Golden wind rule</t>
  </si>
  <si>
    <t>Tired OR into wind → club DOWN, swing 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</si>
</sst>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\%"/>
    <numFmt numFmtId="166" formatCode="\+0.0;\-0.0;0.0"/>
  </numFmts>
  <fonts count="1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B5E2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B5E20"/>
      <name val="Arial"/>
      <charset val="1"/>
    </font>
    <font>
      <b/>
      <sz val="14"/>
      <color rgb="FFFFFFFF"/>
      <name val="Arial"/>
      <charset val="1"/>
    </font>
    <font>
      <i/>
      <sz val="9"/>
      <color rgb="FF1B5E20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13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FFF3E0"/>
      </patternFill>
    </fill>
    <fill>
      <patternFill patternType="solid">
        <fgColor rgb="FF388E3C"/>
        <bgColor rgb="FF008080"/>
      </patternFill>
    </fill>
    <fill>
      <patternFill patternType="solid">
        <fgColor rgb="FFFFF3E0"/>
        <bgColor rgb="FFFFF9C4"/>
      </patternFill>
    </fill>
    <fill>
      <patternFill patternType="solid">
        <fgColor rgb="FFFFFFFF"/>
        <bgColor rgb="FFFFF3E0"/>
      </patternFill>
    </fill>
    <fill>
      <patternFill patternType="solid">
        <fgColor rgb="FFF9A825"/>
        <bgColor rgb="FFFFCC00"/>
      </patternFill>
    </fill>
    <fill>
      <patternFill patternType="solid">
        <fgColor rgb="FFFFF9C4"/>
        <bgColor rgb="FFFFF3E0"/>
      </patternFill>
    </fill>
    <fill>
      <patternFill patternType="solid">
        <fgColor rgb="FFC8E6C9"/>
        <bgColor rgb="FFE8F5E9"/>
      </patternFill>
    </fill>
  </fills>
  <borders count="6">
    <border>
      <left/>
      <right/>
      <top/>
      <bottom/>
      <diagonal/>
    </border>
    <border>
      <left style="thin">
        <color rgb="FF388E3C"/>
      </left>
      <right style="thin">
        <color rgb="FF388E3C"/>
      </right>
      <top style="thin">
        <color rgb="FF388E3C"/>
      </top>
      <bottom style="thin">
        <color rgb="FF388E3C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medium">
        <color rgb="FF1B5E20"/>
      </left>
      <right/>
      <top style="medium">
        <color rgb="FF1B5E20"/>
      </top>
      <bottom style="medium">
        <color rgb="FF1B5E20"/>
      </bottom>
      <diagonal/>
    </border>
    <border>
      <left style="medium">
        <color rgb="FF388E3C"/>
      </left>
      <right/>
      <top style="medium">
        <color rgb="FF388E3C"/>
      </top>
      <bottom style="medium">
        <color rgb="FF388E3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7" fillId="7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164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5" fontId="12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5" fontId="12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166" fontId="12" fillId="6" borderId="2" xfId="0" applyNumberFormat="1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666699"/>
      <rgbColor rgb="FF969696"/>
      <rgbColor rgb="FF003366"/>
      <rgbColor rgb="FF388E3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zoomScaleNormal="100" workbookViewId="0">
      <pane ySplit="2" topLeftCell="A10" activePane="bottomLeft" state="frozen"/>
      <selection pane="bottomLeft" sqref="A1:P1"/>
    </sheetView>
  </sheetViews>
  <sheetFormatPr baseColWidth="10" defaultColWidth="8.6640625" defaultRowHeight="15" customHeight="1" x14ac:dyDescent="0.2"/>
  <cols>
    <col min="1" max="1" width="20.1640625" bestFit="1" customWidth="1"/>
    <col min="2" max="2" width="18.6640625" bestFit="1" customWidth="1"/>
    <col min="3" max="3" width="18" customWidth="1"/>
    <col min="4" max="4" width="22" customWidth="1"/>
    <col min="5" max="5" width="33.5" bestFit="1" customWidth="1"/>
    <col min="6" max="6" width="34.33203125" bestFit="1" customWidth="1"/>
    <col min="7" max="7" width="24.83203125" bestFit="1" customWidth="1"/>
    <col min="8" max="8" width="25.1640625" bestFit="1" customWidth="1"/>
  </cols>
  <sheetData>
    <row r="1" spans="1:16" ht="36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1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21.75" customHeight="1" x14ac:dyDescent="0.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</row>
    <row r="6" spans="1:16" ht="24" customHeight="1" x14ac:dyDescent="0.2">
      <c r="A6" s="16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</row>
    <row r="7" spans="1:16" ht="24" customHeight="1" x14ac:dyDescent="0.2">
      <c r="A7" s="18" t="s">
        <v>19</v>
      </c>
      <c r="B7" s="19" t="s">
        <v>20</v>
      </c>
      <c r="C7" s="19" t="s">
        <v>21</v>
      </c>
      <c r="D7" s="19" t="s">
        <v>22</v>
      </c>
      <c r="E7" s="19" t="s">
        <v>23</v>
      </c>
      <c r="F7" s="19" t="s">
        <v>24</v>
      </c>
      <c r="G7" s="19" t="s">
        <v>25</v>
      </c>
      <c r="H7" s="19" t="s">
        <v>26</v>
      </c>
    </row>
    <row r="8" spans="1:16" ht="24" customHeight="1" x14ac:dyDescent="0.2">
      <c r="A8" s="20" t="s">
        <v>27</v>
      </c>
      <c r="B8" s="21" t="s">
        <v>28</v>
      </c>
      <c r="C8" s="21" t="s">
        <v>21</v>
      </c>
      <c r="D8" s="21" t="s">
        <v>29</v>
      </c>
      <c r="E8" s="21" t="s">
        <v>30</v>
      </c>
      <c r="F8" s="21" t="s">
        <v>31</v>
      </c>
      <c r="G8" s="21" t="s">
        <v>32</v>
      </c>
      <c r="H8" s="21" t="s">
        <v>33</v>
      </c>
    </row>
    <row r="9" spans="1:16" ht="24" customHeight="1" x14ac:dyDescent="0.2">
      <c r="A9" s="18" t="s">
        <v>34</v>
      </c>
      <c r="B9" s="19" t="s">
        <v>20</v>
      </c>
      <c r="C9" s="19" t="s">
        <v>21</v>
      </c>
      <c r="D9" s="19" t="s">
        <v>22</v>
      </c>
      <c r="E9" s="19" t="s">
        <v>35</v>
      </c>
      <c r="F9" s="19" t="s">
        <v>36</v>
      </c>
      <c r="G9" s="19" t="s">
        <v>37</v>
      </c>
      <c r="H9" s="19" t="s">
        <v>38</v>
      </c>
    </row>
    <row r="10" spans="1:16" ht="24" customHeight="1" x14ac:dyDescent="0.2">
      <c r="A10" s="20" t="s">
        <v>39</v>
      </c>
      <c r="B10" s="21" t="s">
        <v>40</v>
      </c>
      <c r="C10" s="21" t="s">
        <v>41</v>
      </c>
      <c r="D10" s="21" t="s">
        <v>42</v>
      </c>
      <c r="E10" s="21" t="s">
        <v>43</v>
      </c>
      <c r="F10" s="21" t="s">
        <v>44</v>
      </c>
      <c r="G10" s="21" t="s">
        <v>45</v>
      </c>
      <c r="H10" s="21" t="s">
        <v>46</v>
      </c>
    </row>
    <row r="11" spans="1:16" ht="24" customHeight="1" x14ac:dyDescent="0.2">
      <c r="A11" s="18" t="s">
        <v>47</v>
      </c>
      <c r="B11" s="19" t="s">
        <v>28</v>
      </c>
      <c r="C11" s="19" t="s">
        <v>21</v>
      </c>
      <c r="D11" s="19" t="s">
        <v>29</v>
      </c>
      <c r="E11" s="19" t="s">
        <v>48</v>
      </c>
      <c r="F11" s="19" t="s">
        <v>49</v>
      </c>
      <c r="G11" s="19" t="s">
        <v>50</v>
      </c>
      <c r="H11" s="19" t="s">
        <v>51</v>
      </c>
    </row>
    <row r="12" spans="1:16" ht="24" customHeight="1" x14ac:dyDescent="0.2">
      <c r="A12" s="16" t="s">
        <v>52</v>
      </c>
      <c r="B12" s="17" t="s">
        <v>53</v>
      </c>
      <c r="C12" s="17" t="s">
        <v>13</v>
      </c>
      <c r="D12" s="17" t="s">
        <v>54</v>
      </c>
      <c r="E12" s="17" t="s">
        <v>55</v>
      </c>
      <c r="F12" s="17" t="s">
        <v>56</v>
      </c>
      <c r="G12" s="17" t="s">
        <v>57</v>
      </c>
      <c r="H12" s="17" t="s">
        <v>58</v>
      </c>
    </row>
    <row r="15" spans="1:16" ht="21.75" customHeight="1" x14ac:dyDescent="0.2">
      <c r="A15" s="12" t="s">
        <v>59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">
      <c r="A16" s="15" t="s">
        <v>60</v>
      </c>
      <c r="B16" s="15" t="s">
        <v>61</v>
      </c>
      <c r="C16" s="15" t="s">
        <v>62</v>
      </c>
      <c r="D16" s="15" t="s">
        <v>63</v>
      </c>
      <c r="E16" s="15" t="s">
        <v>64</v>
      </c>
      <c r="F16" s="15" t="s">
        <v>65</v>
      </c>
      <c r="G16" s="15" t="s">
        <v>66</v>
      </c>
      <c r="H16" s="15" t="s">
        <v>67</v>
      </c>
    </row>
    <row r="17" spans="1:8" ht="31.5" customHeight="1" x14ac:dyDescent="0.2">
      <c r="A17" s="20" t="s">
        <v>68</v>
      </c>
      <c r="B17" s="20" t="s">
        <v>69</v>
      </c>
      <c r="C17" s="20" t="s">
        <v>70</v>
      </c>
      <c r="D17" s="21" t="s">
        <v>71</v>
      </c>
      <c r="E17" s="21" t="s">
        <v>72</v>
      </c>
      <c r="F17" s="21" t="s">
        <v>73</v>
      </c>
      <c r="G17" s="21" t="s">
        <v>74</v>
      </c>
      <c r="H17" s="21" t="s">
        <v>75</v>
      </c>
    </row>
    <row r="18" spans="1:8" ht="31.5" customHeight="1" x14ac:dyDescent="0.2">
      <c r="A18" s="18" t="s">
        <v>76</v>
      </c>
      <c r="B18" s="18" t="s">
        <v>77</v>
      </c>
      <c r="C18" s="18" t="s">
        <v>78</v>
      </c>
      <c r="D18" s="19" t="s">
        <v>79</v>
      </c>
      <c r="E18" s="19" t="s">
        <v>80</v>
      </c>
      <c r="F18" s="19" t="s">
        <v>81</v>
      </c>
      <c r="G18" s="19" t="s">
        <v>82</v>
      </c>
      <c r="H18" s="19" t="s">
        <v>83</v>
      </c>
    </row>
    <row r="19" spans="1:8" ht="31.5" customHeight="1" x14ac:dyDescent="0.2">
      <c r="A19" s="20" t="s">
        <v>84</v>
      </c>
      <c r="B19" s="20" t="s">
        <v>85</v>
      </c>
      <c r="C19" s="20" t="s">
        <v>86</v>
      </c>
      <c r="D19" s="21" t="s">
        <v>87</v>
      </c>
      <c r="E19" s="21" t="s">
        <v>88</v>
      </c>
      <c r="F19" s="21" t="s">
        <v>89</v>
      </c>
      <c r="G19" s="21" t="s">
        <v>90</v>
      </c>
      <c r="H19" s="21" t="s">
        <v>91</v>
      </c>
    </row>
    <row r="20" spans="1:8" ht="31.5" customHeight="1" x14ac:dyDescent="0.2">
      <c r="A20" s="18" t="s">
        <v>92</v>
      </c>
      <c r="B20" s="18" t="s">
        <v>93</v>
      </c>
      <c r="C20" s="18" t="s">
        <v>94</v>
      </c>
      <c r="D20" s="19" t="s">
        <v>95</v>
      </c>
      <c r="E20" s="19" t="s">
        <v>96</v>
      </c>
      <c r="F20" s="19" t="s">
        <v>97</v>
      </c>
      <c r="G20" s="19" t="s">
        <v>98</v>
      </c>
      <c r="H20" s="19" t="s">
        <v>99</v>
      </c>
    </row>
    <row r="23" spans="1:8" ht="21.75" customHeight="1" x14ac:dyDescent="0.2">
      <c r="A23" s="11" t="s">
        <v>100</v>
      </c>
      <c r="B23" s="11"/>
      <c r="C23" s="11"/>
      <c r="D23" s="11"/>
      <c r="E23" s="11"/>
      <c r="F23" s="11"/>
      <c r="G23" s="11"/>
      <c r="H23" s="11"/>
    </row>
    <row r="24" spans="1:8" ht="21.75" customHeight="1" x14ac:dyDescent="0.2">
      <c r="A24" s="22" t="s">
        <v>101</v>
      </c>
      <c r="B24" s="23" t="s">
        <v>102</v>
      </c>
      <c r="C24" s="10" t="s">
        <v>103</v>
      </c>
      <c r="D24" s="10"/>
      <c r="E24" s="10"/>
      <c r="F24" s="10"/>
      <c r="G24" s="10"/>
      <c r="H24" s="10"/>
    </row>
    <row r="25" spans="1:8" ht="21.75" customHeight="1" x14ac:dyDescent="0.2">
      <c r="A25" s="22" t="s">
        <v>104</v>
      </c>
      <c r="B25" s="24" t="s">
        <v>105</v>
      </c>
      <c r="C25" s="9" t="s">
        <v>106</v>
      </c>
      <c r="D25" s="9"/>
      <c r="E25" s="9"/>
      <c r="F25" s="9"/>
      <c r="G25" s="9"/>
      <c r="H25" s="9"/>
    </row>
    <row r="26" spans="1:8" ht="21.75" customHeight="1" x14ac:dyDescent="0.2">
      <c r="A26" s="22" t="s">
        <v>107</v>
      </c>
      <c r="B26" s="23" t="s">
        <v>108</v>
      </c>
      <c r="C26" s="10" t="s">
        <v>109</v>
      </c>
      <c r="D26" s="10"/>
      <c r="E26" s="10"/>
      <c r="F26" s="10"/>
      <c r="G26" s="10"/>
      <c r="H26" s="10"/>
    </row>
    <row r="27" spans="1:8" ht="21.75" customHeight="1" x14ac:dyDescent="0.2">
      <c r="A27" s="22" t="s">
        <v>110</v>
      </c>
      <c r="B27" s="24" t="s">
        <v>111</v>
      </c>
      <c r="C27" s="9" t="s">
        <v>112</v>
      </c>
      <c r="D27" s="9"/>
      <c r="E27" s="9"/>
      <c r="F27" s="9"/>
      <c r="G27" s="9"/>
      <c r="H27" s="9"/>
    </row>
    <row r="28" spans="1:8" ht="21.75" customHeight="1" x14ac:dyDescent="0.2">
      <c r="A28" s="22" t="s">
        <v>113</v>
      </c>
      <c r="B28" s="23" t="s">
        <v>114</v>
      </c>
      <c r="C28" s="10" t="s">
        <v>115</v>
      </c>
      <c r="D28" s="10"/>
      <c r="E28" s="10"/>
      <c r="F28" s="10"/>
      <c r="G28" s="10"/>
      <c r="H28" s="10"/>
    </row>
    <row r="29" spans="1:8" ht="21.75" customHeight="1" x14ac:dyDescent="0.2">
      <c r="A29" s="22" t="s">
        <v>116</v>
      </c>
      <c r="B29" s="24" t="s">
        <v>117</v>
      </c>
      <c r="C29" s="9" t="s">
        <v>118</v>
      </c>
      <c r="D29" s="9"/>
      <c r="E29" s="9"/>
      <c r="F29" s="9"/>
      <c r="G29" s="9"/>
      <c r="H29" s="9"/>
    </row>
  </sheetData>
  <mergeCells count="11">
    <mergeCell ref="C29:H29"/>
    <mergeCell ref="C24:H24"/>
    <mergeCell ref="C25:H25"/>
    <mergeCell ref="C26:H26"/>
    <mergeCell ref="C27:H27"/>
    <mergeCell ref="C28:H28"/>
    <mergeCell ref="A1:P1"/>
    <mergeCell ref="A2:P2"/>
    <mergeCell ref="A4:P4"/>
    <mergeCell ref="A15:P15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4"/>
  <sheetViews>
    <sheetView showGridLines="0" topLeftCell="C1" zoomScaleNormal="100" workbookViewId="0">
      <pane ySplit="4" topLeftCell="A5" activePane="bottomLeft" state="frozen"/>
      <selection pane="bottomLeft" sqref="A1:Z1"/>
    </sheetView>
  </sheetViews>
  <sheetFormatPr baseColWidth="10" defaultColWidth="8.6640625" defaultRowHeight="15" customHeight="1" x14ac:dyDescent="0.2"/>
  <cols>
    <col min="1" max="1" width="12" customWidth="1"/>
    <col min="2" max="2" width="14" customWidth="1"/>
    <col min="3" max="3" width="11" customWidth="1"/>
    <col min="4" max="4" width="7" customWidth="1"/>
    <col min="5" max="5" width="16" customWidth="1"/>
    <col min="6" max="6" width="12" customWidth="1"/>
    <col min="7" max="7" width="18" customWidth="1"/>
    <col min="8" max="9" width="9" customWidth="1"/>
    <col min="10" max="11" width="13" customWidth="1"/>
    <col min="12" max="12" width="9" customWidth="1"/>
    <col min="13" max="13" width="8" customWidth="1"/>
    <col min="14" max="17" width="9" customWidth="1"/>
    <col min="18" max="18" width="8" customWidth="1"/>
    <col min="19" max="21" width="9" customWidth="1"/>
    <col min="22" max="22" width="8" customWidth="1"/>
    <col min="23" max="23" width="9" customWidth="1"/>
    <col min="24" max="24" width="10" customWidth="1"/>
    <col min="25" max="25" width="8" customWidth="1"/>
    <col min="26" max="27" width="9" customWidth="1"/>
    <col min="28" max="28" width="10" customWidth="1"/>
    <col min="29" max="29" width="8" customWidth="1"/>
    <col min="30" max="30" width="9" customWidth="1"/>
    <col min="31" max="31" width="12" customWidth="1"/>
    <col min="32" max="32" width="20" customWidth="1"/>
    <col min="33" max="33" width="14" customWidth="1"/>
    <col min="34" max="35" width="11" customWidth="1"/>
    <col min="36" max="36" width="10" customWidth="1"/>
  </cols>
  <sheetData>
    <row r="1" spans="1:36" ht="31.5" customHeight="1" x14ac:dyDescent="0.2">
      <c r="A1" s="8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6" ht="18" customHeight="1" x14ac:dyDescent="0.2">
      <c r="A2" s="7" t="s">
        <v>120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36" ht="18" customHeight="1" x14ac:dyDescent="0.2">
      <c r="A3" s="6" t="s">
        <v>121</v>
      </c>
      <c r="B3" s="6"/>
      <c r="C3" s="6"/>
      <c r="D3" s="6"/>
      <c r="E3" s="6"/>
      <c r="F3" s="6"/>
      <c r="G3" s="6"/>
      <c r="H3" s="5" t="s">
        <v>122</v>
      </c>
      <c r="I3" s="5"/>
      <c r="J3" s="5" t="s">
        <v>123</v>
      </c>
      <c r="K3" s="5"/>
      <c r="L3" s="5"/>
      <c r="M3" s="5"/>
      <c r="N3" s="5" t="s">
        <v>124</v>
      </c>
      <c r="O3" s="5"/>
      <c r="P3" s="5"/>
      <c r="Q3" s="5"/>
      <c r="R3" s="5"/>
      <c r="S3" s="5"/>
      <c r="T3" s="5" t="s">
        <v>125</v>
      </c>
      <c r="U3" s="5"/>
      <c r="V3" s="5" t="s">
        <v>126</v>
      </c>
      <c r="W3" s="5"/>
      <c r="X3" s="5"/>
      <c r="Y3" s="5"/>
      <c r="Z3" s="5" t="s">
        <v>127</v>
      </c>
      <c r="AA3" s="5"/>
      <c r="AB3" s="5"/>
      <c r="AC3" s="5"/>
      <c r="AD3" s="5" t="s">
        <v>128</v>
      </c>
      <c r="AE3" s="5"/>
      <c r="AF3" s="5"/>
      <c r="AG3" s="6" t="s">
        <v>129</v>
      </c>
      <c r="AH3" s="6"/>
      <c r="AI3" s="6"/>
      <c r="AJ3" s="6"/>
    </row>
    <row r="4" spans="1:36" ht="36" customHeight="1" x14ac:dyDescent="0.2">
      <c r="A4" s="25" t="s">
        <v>130</v>
      </c>
      <c r="B4" s="25" t="s">
        <v>6</v>
      </c>
      <c r="C4" s="25" t="s">
        <v>5</v>
      </c>
      <c r="D4" s="25" t="s">
        <v>131</v>
      </c>
      <c r="E4" s="25" t="s">
        <v>4</v>
      </c>
      <c r="F4" s="25" t="s">
        <v>132</v>
      </c>
      <c r="G4" s="25" t="s">
        <v>10</v>
      </c>
      <c r="H4" s="25" t="s">
        <v>133</v>
      </c>
      <c r="I4" s="25" t="s">
        <v>134</v>
      </c>
      <c r="J4" s="25" t="s">
        <v>135</v>
      </c>
      <c r="K4" s="25" t="s">
        <v>136</v>
      </c>
      <c r="L4" s="25" t="s">
        <v>137</v>
      </c>
      <c r="M4" s="25" t="s">
        <v>138</v>
      </c>
      <c r="N4" s="25" t="s">
        <v>139</v>
      </c>
      <c r="O4" s="25" t="s">
        <v>140</v>
      </c>
      <c r="P4" s="25" t="s">
        <v>141</v>
      </c>
      <c r="Q4" s="25" t="s">
        <v>142</v>
      </c>
      <c r="R4" s="25" t="s">
        <v>143</v>
      </c>
      <c r="S4" s="25" t="s">
        <v>144</v>
      </c>
      <c r="T4" s="25" t="s">
        <v>145</v>
      </c>
      <c r="U4" s="25" t="s">
        <v>146</v>
      </c>
      <c r="V4" s="25" t="s">
        <v>147</v>
      </c>
      <c r="W4" s="25" t="s">
        <v>148</v>
      </c>
      <c r="X4" s="25" t="s">
        <v>149</v>
      </c>
      <c r="Y4" s="25" t="s">
        <v>150</v>
      </c>
      <c r="Z4" s="25" t="s">
        <v>151</v>
      </c>
      <c r="AA4" s="25" t="s">
        <v>152</v>
      </c>
      <c r="AB4" s="25" t="s">
        <v>153</v>
      </c>
      <c r="AC4" s="25" t="s">
        <v>154</v>
      </c>
      <c r="AD4" s="25" t="s">
        <v>155</v>
      </c>
      <c r="AE4" s="25" t="s">
        <v>156</v>
      </c>
      <c r="AF4" s="25" t="s">
        <v>157</v>
      </c>
      <c r="AG4" s="25" t="s">
        <v>158</v>
      </c>
      <c r="AH4" s="25" t="s">
        <v>159</v>
      </c>
      <c r="AI4" s="25" t="s">
        <v>160</v>
      </c>
      <c r="AJ4" s="25" t="s">
        <v>161</v>
      </c>
    </row>
    <row r="5" spans="1:36" ht="19.5" customHeight="1" x14ac:dyDescent="0.2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8" t="str">
        <f t="shared" ref="M5:M34" si="0">IF(AND(J5&lt;&gt;"",K5&lt;&gt;""),ROUND((J5+K5)/40*100,0),"")</f>
        <v/>
      </c>
      <c r="N5" s="27"/>
      <c r="O5" s="27"/>
      <c r="P5" s="27"/>
      <c r="Q5" s="27"/>
      <c r="R5" s="28" t="str">
        <f t="shared" ref="R5:R34" si="1">IF(AND(N5&lt;&gt;"",O5&lt;&gt;"",P5&lt;&gt;""),ROUND((N5+O5+P5)/30*100,0),"")</f>
        <v/>
      </c>
      <c r="S5" s="27"/>
      <c r="T5" s="27"/>
      <c r="U5" s="27"/>
      <c r="V5" s="27"/>
      <c r="W5" s="27"/>
      <c r="X5" s="27"/>
      <c r="Y5" s="28" t="str">
        <f t="shared" ref="Y5:Y34" si="2">IF(X5&lt;&gt;"",ROUND(X5/10*100,0),"")</f>
        <v/>
      </c>
      <c r="Z5" s="27"/>
      <c r="AA5" s="27"/>
      <c r="AB5" s="27"/>
      <c r="AC5" s="28" t="str">
        <f t="shared" ref="AC5:AC34" si="3">IF(AND(AA5&lt;&gt;"",AB5&lt;&gt;""),ROUND((AA5+AB5)/20*100,0),"")</f>
        <v/>
      </c>
      <c r="AD5" s="27"/>
      <c r="AE5" s="27"/>
      <c r="AF5" s="27"/>
      <c r="AG5" s="29" t="str">
        <f t="shared" ref="AG5:AG34" si="4">IF(AND(J5&lt;&gt;"",N5&lt;&gt;"",X5&lt;&gt;"",AE5&lt;&gt;""),IFERROR(ROUND((J5+K5+N5+O5+P5+X5+AA5+AB5+AE5)/(40+30+10+20+10)*100,0),""),"")</f>
        <v/>
      </c>
      <c r="AH5" s="28" t="str">
        <f t="shared" ref="AH5:AH34" si="5">IF(AND(J5&lt;&gt;"",N5&lt;&gt;""),IFERROR(ROUND((J5+K5+N5+O5+P5)/(40+30)*100,0),""),"")</f>
        <v/>
      </c>
      <c r="AI5" s="28" t="str">
        <f t="shared" ref="AI5:AI34" si="6">IF(AND(X5&lt;&gt;"",AA5&lt;&gt;""),IFERROR(ROUND((X5+AA5+AB5)/(10+20)*100,0),""),"")</f>
        <v/>
      </c>
      <c r="AJ5" s="27"/>
    </row>
    <row r="6" spans="1:36" ht="19.5" customHeight="1" x14ac:dyDescent="0.2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2" t="str">
        <f t="shared" si="0"/>
        <v/>
      </c>
      <c r="N6" s="31"/>
      <c r="O6" s="31"/>
      <c r="P6" s="31"/>
      <c r="Q6" s="31"/>
      <c r="R6" s="32" t="str">
        <f t="shared" si="1"/>
        <v/>
      </c>
      <c r="S6" s="31"/>
      <c r="T6" s="31"/>
      <c r="U6" s="31"/>
      <c r="V6" s="31"/>
      <c r="W6" s="31"/>
      <c r="X6" s="31"/>
      <c r="Y6" s="32" t="str">
        <f t="shared" si="2"/>
        <v/>
      </c>
      <c r="Z6" s="31"/>
      <c r="AA6" s="31"/>
      <c r="AB6" s="31"/>
      <c r="AC6" s="32" t="str">
        <f t="shared" si="3"/>
        <v/>
      </c>
      <c r="AD6" s="31"/>
      <c r="AE6" s="31"/>
      <c r="AF6" s="31"/>
      <c r="AG6" s="33" t="str">
        <f t="shared" si="4"/>
        <v/>
      </c>
      <c r="AH6" s="32" t="str">
        <f t="shared" si="5"/>
        <v/>
      </c>
      <c r="AI6" s="32" t="str">
        <f t="shared" si="6"/>
        <v/>
      </c>
      <c r="AJ6" s="31"/>
    </row>
    <row r="7" spans="1:36" ht="19.5" customHeight="1" x14ac:dyDescent="0.2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tr">
        <f t="shared" si="0"/>
        <v/>
      </c>
      <c r="N7" s="27"/>
      <c r="O7" s="27"/>
      <c r="P7" s="27"/>
      <c r="Q7" s="27"/>
      <c r="R7" s="28" t="str">
        <f t="shared" si="1"/>
        <v/>
      </c>
      <c r="S7" s="27"/>
      <c r="T7" s="27"/>
      <c r="U7" s="27"/>
      <c r="V7" s="27"/>
      <c r="W7" s="27"/>
      <c r="X7" s="27"/>
      <c r="Y7" s="28" t="str">
        <f t="shared" si="2"/>
        <v/>
      </c>
      <c r="Z7" s="27"/>
      <c r="AA7" s="27"/>
      <c r="AB7" s="27"/>
      <c r="AC7" s="28" t="str">
        <f t="shared" si="3"/>
        <v/>
      </c>
      <c r="AD7" s="27"/>
      <c r="AE7" s="27"/>
      <c r="AF7" s="27"/>
      <c r="AG7" s="29" t="str">
        <f t="shared" si="4"/>
        <v/>
      </c>
      <c r="AH7" s="28" t="str">
        <f t="shared" si="5"/>
        <v/>
      </c>
      <c r="AI7" s="28" t="str">
        <f t="shared" si="6"/>
        <v/>
      </c>
      <c r="AJ7" s="27"/>
    </row>
    <row r="8" spans="1:36" ht="19.5" customHeight="1" x14ac:dyDescent="0.2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2" t="str">
        <f t="shared" si="0"/>
        <v/>
      </c>
      <c r="N8" s="31"/>
      <c r="O8" s="31"/>
      <c r="P8" s="31"/>
      <c r="Q8" s="31"/>
      <c r="R8" s="32" t="str">
        <f t="shared" si="1"/>
        <v/>
      </c>
      <c r="S8" s="31"/>
      <c r="T8" s="31"/>
      <c r="U8" s="31"/>
      <c r="V8" s="31"/>
      <c r="W8" s="31"/>
      <c r="X8" s="31"/>
      <c r="Y8" s="32" t="str">
        <f t="shared" si="2"/>
        <v/>
      </c>
      <c r="Z8" s="31"/>
      <c r="AA8" s="31"/>
      <c r="AB8" s="31"/>
      <c r="AC8" s="32" t="str">
        <f t="shared" si="3"/>
        <v/>
      </c>
      <c r="AD8" s="31"/>
      <c r="AE8" s="31"/>
      <c r="AF8" s="31"/>
      <c r="AG8" s="33" t="str">
        <f t="shared" si="4"/>
        <v/>
      </c>
      <c r="AH8" s="32" t="str">
        <f t="shared" si="5"/>
        <v/>
      </c>
      <c r="AI8" s="32" t="str">
        <f t="shared" si="6"/>
        <v/>
      </c>
      <c r="AJ8" s="31"/>
    </row>
    <row r="9" spans="1:36" ht="19.5" customHeight="1" x14ac:dyDescent="0.2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 t="str">
        <f t="shared" si="0"/>
        <v/>
      </c>
      <c r="N9" s="27"/>
      <c r="O9" s="27"/>
      <c r="P9" s="27"/>
      <c r="Q9" s="27"/>
      <c r="R9" s="28" t="str">
        <f t="shared" si="1"/>
        <v/>
      </c>
      <c r="S9" s="27"/>
      <c r="T9" s="27"/>
      <c r="U9" s="27"/>
      <c r="V9" s="27"/>
      <c r="W9" s="27"/>
      <c r="X9" s="27"/>
      <c r="Y9" s="28" t="str">
        <f t="shared" si="2"/>
        <v/>
      </c>
      <c r="Z9" s="27"/>
      <c r="AA9" s="27"/>
      <c r="AB9" s="27"/>
      <c r="AC9" s="28" t="str">
        <f t="shared" si="3"/>
        <v/>
      </c>
      <c r="AD9" s="27"/>
      <c r="AE9" s="27"/>
      <c r="AF9" s="27"/>
      <c r="AG9" s="29" t="str">
        <f t="shared" si="4"/>
        <v/>
      </c>
      <c r="AH9" s="28" t="str">
        <f t="shared" si="5"/>
        <v/>
      </c>
      <c r="AI9" s="28" t="str">
        <f t="shared" si="6"/>
        <v/>
      </c>
      <c r="AJ9" s="27"/>
    </row>
    <row r="10" spans="1:36" ht="19.5" customHeight="1" x14ac:dyDescent="0.2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2" t="str">
        <f t="shared" si="0"/>
        <v/>
      </c>
      <c r="N10" s="31"/>
      <c r="O10" s="31"/>
      <c r="P10" s="31"/>
      <c r="Q10" s="31"/>
      <c r="R10" s="32" t="str">
        <f t="shared" si="1"/>
        <v/>
      </c>
      <c r="S10" s="31"/>
      <c r="T10" s="31"/>
      <c r="U10" s="31"/>
      <c r="V10" s="31"/>
      <c r="W10" s="31"/>
      <c r="X10" s="31"/>
      <c r="Y10" s="32" t="str">
        <f t="shared" si="2"/>
        <v/>
      </c>
      <c r="Z10" s="31"/>
      <c r="AA10" s="31"/>
      <c r="AB10" s="31"/>
      <c r="AC10" s="32" t="str">
        <f t="shared" si="3"/>
        <v/>
      </c>
      <c r="AD10" s="31"/>
      <c r="AE10" s="31"/>
      <c r="AF10" s="31"/>
      <c r="AG10" s="33" t="str">
        <f t="shared" si="4"/>
        <v/>
      </c>
      <c r="AH10" s="32" t="str">
        <f t="shared" si="5"/>
        <v/>
      </c>
      <c r="AI10" s="32" t="str">
        <f t="shared" si="6"/>
        <v/>
      </c>
      <c r="AJ10" s="31"/>
    </row>
    <row r="11" spans="1:36" ht="19.5" customHeight="1" x14ac:dyDescent="0.2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 t="str">
        <f t="shared" si="0"/>
        <v/>
      </c>
      <c r="N11" s="27"/>
      <c r="O11" s="27"/>
      <c r="P11" s="27"/>
      <c r="Q11" s="27"/>
      <c r="R11" s="28" t="str">
        <f t="shared" si="1"/>
        <v/>
      </c>
      <c r="S11" s="27"/>
      <c r="T11" s="27"/>
      <c r="U11" s="27"/>
      <c r="V11" s="27"/>
      <c r="W11" s="27"/>
      <c r="X11" s="27"/>
      <c r="Y11" s="28" t="str">
        <f t="shared" si="2"/>
        <v/>
      </c>
      <c r="Z11" s="27"/>
      <c r="AA11" s="27"/>
      <c r="AB11" s="27"/>
      <c r="AC11" s="28" t="str">
        <f t="shared" si="3"/>
        <v/>
      </c>
      <c r="AD11" s="27"/>
      <c r="AE11" s="27"/>
      <c r="AF11" s="27"/>
      <c r="AG11" s="29" t="str">
        <f t="shared" si="4"/>
        <v/>
      </c>
      <c r="AH11" s="28" t="str">
        <f t="shared" si="5"/>
        <v/>
      </c>
      <c r="AI11" s="28" t="str">
        <f t="shared" si="6"/>
        <v/>
      </c>
      <c r="AJ11" s="27"/>
    </row>
    <row r="12" spans="1:36" ht="19.5" customHeight="1" x14ac:dyDescent="0.2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 t="str">
        <f t="shared" si="0"/>
        <v/>
      </c>
      <c r="N12" s="31"/>
      <c r="O12" s="31"/>
      <c r="P12" s="31"/>
      <c r="Q12" s="31"/>
      <c r="R12" s="32" t="str">
        <f t="shared" si="1"/>
        <v/>
      </c>
      <c r="S12" s="31"/>
      <c r="T12" s="31"/>
      <c r="U12" s="31"/>
      <c r="V12" s="31"/>
      <c r="W12" s="31"/>
      <c r="X12" s="31"/>
      <c r="Y12" s="32" t="str">
        <f t="shared" si="2"/>
        <v/>
      </c>
      <c r="Z12" s="31"/>
      <c r="AA12" s="31"/>
      <c r="AB12" s="31"/>
      <c r="AC12" s="32" t="str">
        <f t="shared" si="3"/>
        <v/>
      </c>
      <c r="AD12" s="31"/>
      <c r="AE12" s="31"/>
      <c r="AF12" s="31"/>
      <c r="AG12" s="33" t="str">
        <f t="shared" si="4"/>
        <v/>
      </c>
      <c r="AH12" s="32" t="str">
        <f t="shared" si="5"/>
        <v/>
      </c>
      <c r="AI12" s="32" t="str">
        <f t="shared" si="6"/>
        <v/>
      </c>
      <c r="AJ12" s="31"/>
    </row>
    <row r="13" spans="1:36" ht="19.5" customHeight="1" x14ac:dyDescent="0.2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 t="str">
        <f t="shared" si="0"/>
        <v/>
      </c>
      <c r="N13" s="27"/>
      <c r="O13" s="27"/>
      <c r="P13" s="27"/>
      <c r="Q13" s="27"/>
      <c r="R13" s="28" t="str">
        <f t="shared" si="1"/>
        <v/>
      </c>
      <c r="S13" s="27"/>
      <c r="T13" s="27"/>
      <c r="U13" s="27"/>
      <c r="V13" s="27"/>
      <c r="W13" s="27"/>
      <c r="X13" s="27"/>
      <c r="Y13" s="28" t="str">
        <f t="shared" si="2"/>
        <v/>
      </c>
      <c r="Z13" s="27"/>
      <c r="AA13" s="27"/>
      <c r="AB13" s="27"/>
      <c r="AC13" s="28" t="str">
        <f t="shared" si="3"/>
        <v/>
      </c>
      <c r="AD13" s="27"/>
      <c r="AE13" s="27"/>
      <c r="AF13" s="27"/>
      <c r="AG13" s="29" t="str">
        <f t="shared" si="4"/>
        <v/>
      </c>
      <c r="AH13" s="28" t="str">
        <f t="shared" si="5"/>
        <v/>
      </c>
      <c r="AI13" s="28" t="str">
        <f t="shared" si="6"/>
        <v/>
      </c>
      <c r="AJ13" s="27"/>
    </row>
    <row r="14" spans="1:36" ht="19.5" customHeight="1" x14ac:dyDescent="0.2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2" t="str">
        <f t="shared" si="0"/>
        <v/>
      </c>
      <c r="N14" s="31"/>
      <c r="O14" s="31"/>
      <c r="P14" s="31"/>
      <c r="Q14" s="31"/>
      <c r="R14" s="32" t="str">
        <f t="shared" si="1"/>
        <v/>
      </c>
      <c r="S14" s="31"/>
      <c r="T14" s="31"/>
      <c r="U14" s="31"/>
      <c r="V14" s="31"/>
      <c r="W14" s="31"/>
      <c r="X14" s="31"/>
      <c r="Y14" s="32" t="str">
        <f t="shared" si="2"/>
        <v/>
      </c>
      <c r="Z14" s="31"/>
      <c r="AA14" s="31"/>
      <c r="AB14" s="31"/>
      <c r="AC14" s="32" t="str">
        <f t="shared" si="3"/>
        <v/>
      </c>
      <c r="AD14" s="31"/>
      <c r="AE14" s="31"/>
      <c r="AF14" s="31"/>
      <c r="AG14" s="33" t="str">
        <f t="shared" si="4"/>
        <v/>
      </c>
      <c r="AH14" s="32" t="str">
        <f t="shared" si="5"/>
        <v/>
      </c>
      <c r="AI14" s="32" t="str">
        <f t="shared" si="6"/>
        <v/>
      </c>
      <c r="AJ14" s="31"/>
    </row>
    <row r="15" spans="1:36" ht="19.5" customHeight="1" x14ac:dyDescent="0.2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 t="str">
        <f t="shared" si="0"/>
        <v/>
      </c>
      <c r="N15" s="27"/>
      <c r="O15" s="27"/>
      <c r="P15" s="27"/>
      <c r="Q15" s="27"/>
      <c r="R15" s="28" t="str">
        <f t="shared" si="1"/>
        <v/>
      </c>
      <c r="S15" s="27"/>
      <c r="T15" s="27"/>
      <c r="U15" s="27"/>
      <c r="V15" s="27"/>
      <c r="W15" s="27"/>
      <c r="X15" s="27"/>
      <c r="Y15" s="28" t="str">
        <f t="shared" si="2"/>
        <v/>
      </c>
      <c r="Z15" s="27"/>
      <c r="AA15" s="27"/>
      <c r="AB15" s="27"/>
      <c r="AC15" s="28" t="str">
        <f t="shared" si="3"/>
        <v/>
      </c>
      <c r="AD15" s="27"/>
      <c r="AE15" s="27"/>
      <c r="AF15" s="27"/>
      <c r="AG15" s="29" t="str">
        <f t="shared" si="4"/>
        <v/>
      </c>
      <c r="AH15" s="28" t="str">
        <f t="shared" si="5"/>
        <v/>
      </c>
      <c r="AI15" s="28" t="str">
        <f t="shared" si="6"/>
        <v/>
      </c>
      <c r="AJ15" s="27"/>
    </row>
    <row r="16" spans="1:36" ht="19.5" customHeight="1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 t="str">
        <f t="shared" si="0"/>
        <v/>
      </c>
      <c r="N16" s="31"/>
      <c r="O16" s="31"/>
      <c r="P16" s="31"/>
      <c r="Q16" s="31"/>
      <c r="R16" s="32" t="str">
        <f t="shared" si="1"/>
        <v/>
      </c>
      <c r="S16" s="31"/>
      <c r="T16" s="31"/>
      <c r="U16" s="31"/>
      <c r="V16" s="31"/>
      <c r="W16" s="31"/>
      <c r="X16" s="31"/>
      <c r="Y16" s="32" t="str">
        <f t="shared" si="2"/>
        <v/>
      </c>
      <c r="Z16" s="31"/>
      <c r="AA16" s="31"/>
      <c r="AB16" s="31"/>
      <c r="AC16" s="32" t="str">
        <f t="shared" si="3"/>
        <v/>
      </c>
      <c r="AD16" s="31"/>
      <c r="AE16" s="31"/>
      <c r="AF16" s="31"/>
      <c r="AG16" s="33" t="str">
        <f t="shared" si="4"/>
        <v/>
      </c>
      <c r="AH16" s="32" t="str">
        <f t="shared" si="5"/>
        <v/>
      </c>
      <c r="AI16" s="32" t="str">
        <f t="shared" si="6"/>
        <v/>
      </c>
      <c r="AJ16" s="31"/>
    </row>
    <row r="17" spans="1:36" ht="19.5" customHeight="1" x14ac:dyDescent="0.2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 t="str">
        <f t="shared" si="0"/>
        <v/>
      </c>
      <c r="N17" s="27"/>
      <c r="O17" s="27"/>
      <c r="P17" s="27"/>
      <c r="Q17" s="27"/>
      <c r="R17" s="28" t="str">
        <f t="shared" si="1"/>
        <v/>
      </c>
      <c r="S17" s="27"/>
      <c r="T17" s="27"/>
      <c r="U17" s="27"/>
      <c r="V17" s="27"/>
      <c r="W17" s="27"/>
      <c r="X17" s="27"/>
      <c r="Y17" s="28" t="str">
        <f t="shared" si="2"/>
        <v/>
      </c>
      <c r="Z17" s="27"/>
      <c r="AA17" s="27"/>
      <c r="AB17" s="27"/>
      <c r="AC17" s="28" t="str">
        <f t="shared" si="3"/>
        <v/>
      </c>
      <c r="AD17" s="27"/>
      <c r="AE17" s="27"/>
      <c r="AF17" s="27"/>
      <c r="AG17" s="29" t="str">
        <f t="shared" si="4"/>
        <v/>
      </c>
      <c r="AH17" s="28" t="str">
        <f t="shared" si="5"/>
        <v/>
      </c>
      <c r="AI17" s="28" t="str">
        <f t="shared" si="6"/>
        <v/>
      </c>
      <c r="AJ17" s="27"/>
    </row>
    <row r="18" spans="1:36" ht="19.5" customHeight="1" x14ac:dyDescent="0.2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 t="str">
        <f t="shared" si="0"/>
        <v/>
      </c>
      <c r="N18" s="31"/>
      <c r="O18" s="31"/>
      <c r="P18" s="31"/>
      <c r="Q18" s="31"/>
      <c r="R18" s="32" t="str">
        <f t="shared" si="1"/>
        <v/>
      </c>
      <c r="S18" s="31"/>
      <c r="T18" s="31"/>
      <c r="U18" s="31"/>
      <c r="V18" s="31"/>
      <c r="W18" s="31"/>
      <c r="X18" s="31"/>
      <c r="Y18" s="32" t="str">
        <f t="shared" si="2"/>
        <v/>
      </c>
      <c r="Z18" s="31"/>
      <c r="AA18" s="31"/>
      <c r="AB18" s="31"/>
      <c r="AC18" s="32" t="str">
        <f t="shared" si="3"/>
        <v/>
      </c>
      <c r="AD18" s="31"/>
      <c r="AE18" s="31"/>
      <c r="AF18" s="31"/>
      <c r="AG18" s="33" t="str">
        <f t="shared" si="4"/>
        <v/>
      </c>
      <c r="AH18" s="32" t="str">
        <f t="shared" si="5"/>
        <v/>
      </c>
      <c r="AI18" s="32" t="str">
        <f t="shared" si="6"/>
        <v/>
      </c>
      <c r="AJ18" s="31"/>
    </row>
    <row r="19" spans="1:36" ht="19.5" customHeight="1" x14ac:dyDescent="0.2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 t="str">
        <f t="shared" si="0"/>
        <v/>
      </c>
      <c r="N19" s="27"/>
      <c r="O19" s="27"/>
      <c r="P19" s="27"/>
      <c r="Q19" s="27"/>
      <c r="R19" s="28" t="str">
        <f t="shared" si="1"/>
        <v/>
      </c>
      <c r="S19" s="27"/>
      <c r="T19" s="27"/>
      <c r="U19" s="27"/>
      <c r="V19" s="27"/>
      <c r="W19" s="27"/>
      <c r="X19" s="27"/>
      <c r="Y19" s="28" t="str">
        <f t="shared" si="2"/>
        <v/>
      </c>
      <c r="Z19" s="27"/>
      <c r="AA19" s="27"/>
      <c r="AB19" s="27"/>
      <c r="AC19" s="28" t="str">
        <f t="shared" si="3"/>
        <v/>
      </c>
      <c r="AD19" s="27"/>
      <c r="AE19" s="27"/>
      <c r="AF19" s="27"/>
      <c r="AG19" s="29" t="str">
        <f t="shared" si="4"/>
        <v/>
      </c>
      <c r="AH19" s="28" t="str">
        <f t="shared" si="5"/>
        <v/>
      </c>
      <c r="AI19" s="28" t="str">
        <f t="shared" si="6"/>
        <v/>
      </c>
      <c r="AJ19" s="27"/>
    </row>
    <row r="20" spans="1:36" ht="19.5" customHeight="1" x14ac:dyDescent="0.2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 t="str">
        <f t="shared" si="0"/>
        <v/>
      </c>
      <c r="N20" s="31"/>
      <c r="O20" s="31"/>
      <c r="P20" s="31"/>
      <c r="Q20" s="31"/>
      <c r="R20" s="32" t="str">
        <f t="shared" si="1"/>
        <v/>
      </c>
      <c r="S20" s="31"/>
      <c r="T20" s="31"/>
      <c r="U20" s="31"/>
      <c r="V20" s="31"/>
      <c r="W20" s="31"/>
      <c r="X20" s="31"/>
      <c r="Y20" s="32" t="str">
        <f t="shared" si="2"/>
        <v/>
      </c>
      <c r="Z20" s="31"/>
      <c r="AA20" s="31"/>
      <c r="AB20" s="31"/>
      <c r="AC20" s="32" t="str">
        <f t="shared" si="3"/>
        <v/>
      </c>
      <c r="AD20" s="31"/>
      <c r="AE20" s="31"/>
      <c r="AF20" s="31"/>
      <c r="AG20" s="33" t="str">
        <f t="shared" si="4"/>
        <v/>
      </c>
      <c r="AH20" s="32" t="str">
        <f t="shared" si="5"/>
        <v/>
      </c>
      <c r="AI20" s="32" t="str">
        <f t="shared" si="6"/>
        <v/>
      </c>
      <c r="AJ20" s="31"/>
    </row>
    <row r="21" spans="1:36" ht="19.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 t="str">
        <f t="shared" si="0"/>
        <v/>
      </c>
      <c r="N21" s="27"/>
      <c r="O21" s="27"/>
      <c r="P21" s="27"/>
      <c r="Q21" s="27"/>
      <c r="R21" s="28" t="str">
        <f t="shared" si="1"/>
        <v/>
      </c>
      <c r="S21" s="27"/>
      <c r="T21" s="27"/>
      <c r="U21" s="27"/>
      <c r="V21" s="27"/>
      <c r="W21" s="27"/>
      <c r="X21" s="27"/>
      <c r="Y21" s="28" t="str">
        <f t="shared" si="2"/>
        <v/>
      </c>
      <c r="Z21" s="27"/>
      <c r="AA21" s="27"/>
      <c r="AB21" s="27"/>
      <c r="AC21" s="28" t="str">
        <f t="shared" si="3"/>
        <v/>
      </c>
      <c r="AD21" s="27"/>
      <c r="AE21" s="27"/>
      <c r="AF21" s="27"/>
      <c r="AG21" s="29" t="str">
        <f t="shared" si="4"/>
        <v/>
      </c>
      <c r="AH21" s="28" t="str">
        <f t="shared" si="5"/>
        <v/>
      </c>
      <c r="AI21" s="28" t="str">
        <f t="shared" si="6"/>
        <v/>
      </c>
      <c r="AJ21" s="27"/>
    </row>
    <row r="22" spans="1:36" ht="19.5" customHeight="1" x14ac:dyDescent="0.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 t="str">
        <f t="shared" si="0"/>
        <v/>
      </c>
      <c r="N22" s="31"/>
      <c r="O22" s="31"/>
      <c r="P22" s="31"/>
      <c r="Q22" s="31"/>
      <c r="R22" s="32" t="str">
        <f t="shared" si="1"/>
        <v/>
      </c>
      <c r="S22" s="31"/>
      <c r="T22" s="31"/>
      <c r="U22" s="31"/>
      <c r="V22" s="31"/>
      <c r="W22" s="31"/>
      <c r="X22" s="31"/>
      <c r="Y22" s="32" t="str">
        <f t="shared" si="2"/>
        <v/>
      </c>
      <c r="Z22" s="31"/>
      <c r="AA22" s="31"/>
      <c r="AB22" s="31"/>
      <c r="AC22" s="32" t="str">
        <f t="shared" si="3"/>
        <v/>
      </c>
      <c r="AD22" s="31"/>
      <c r="AE22" s="31"/>
      <c r="AF22" s="31"/>
      <c r="AG22" s="33" t="str">
        <f t="shared" si="4"/>
        <v/>
      </c>
      <c r="AH22" s="32" t="str">
        <f t="shared" si="5"/>
        <v/>
      </c>
      <c r="AI22" s="32" t="str">
        <f t="shared" si="6"/>
        <v/>
      </c>
      <c r="AJ22" s="31"/>
    </row>
    <row r="23" spans="1:36" ht="19.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 t="str">
        <f t="shared" si="0"/>
        <v/>
      </c>
      <c r="N23" s="27"/>
      <c r="O23" s="27"/>
      <c r="P23" s="27"/>
      <c r="Q23" s="27"/>
      <c r="R23" s="28" t="str">
        <f t="shared" si="1"/>
        <v/>
      </c>
      <c r="S23" s="27"/>
      <c r="T23" s="27"/>
      <c r="U23" s="27"/>
      <c r="V23" s="27"/>
      <c r="W23" s="27"/>
      <c r="X23" s="27"/>
      <c r="Y23" s="28" t="str">
        <f t="shared" si="2"/>
        <v/>
      </c>
      <c r="Z23" s="27"/>
      <c r="AA23" s="27"/>
      <c r="AB23" s="27"/>
      <c r="AC23" s="28" t="str">
        <f t="shared" si="3"/>
        <v/>
      </c>
      <c r="AD23" s="27"/>
      <c r="AE23" s="27"/>
      <c r="AF23" s="27"/>
      <c r="AG23" s="29" t="str">
        <f t="shared" si="4"/>
        <v/>
      </c>
      <c r="AH23" s="28" t="str">
        <f t="shared" si="5"/>
        <v/>
      </c>
      <c r="AI23" s="28" t="str">
        <f t="shared" si="6"/>
        <v/>
      </c>
      <c r="AJ23" s="27"/>
    </row>
    <row r="24" spans="1:36" ht="19.5" customHeight="1" x14ac:dyDescent="0.2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 t="str">
        <f t="shared" si="0"/>
        <v/>
      </c>
      <c r="N24" s="31"/>
      <c r="O24" s="31"/>
      <c r="P24" s="31"/>
      <c r="Q24" s="31"/>
      <c r="R24" s="32" t="str">
        <f t="shared" si="1"/>
        <v/>
      </c>
      <c r="S24" s="31"/>
      <c r="T24" s="31"/>
      <c r="U24" s="31"/>
      <c r="V24" s="31"/>
      <c r="W24" s="31"/>
      <c r="X24" s="31"/>
      <c r="Y24" s="32" t="str">
        <f t="shared" si="2"/>
        <v/>
      </c>
      <c r="Z24" s="31"/>
      <c r="AA24" s="31"/>
      <c r="AB24" s="31"/>
      <c r="AC24" s="32" t="str">
        <f t="shared" si="3"/>
        <v/>
      </c>
      <c r="AD24" s="31"/>
      <c r="AE24" s="31"/>
      <c r="AF24" s="31"/>
      <c r="AG24" s="33" t="str">
        <f t="shared" si="4"/>
        <v/>
      </c>
      <c r="AH24" s="32" t="str">
        <f t="shared" si="5"/>
        <v/>
      </c>
      <c r="AI24" s="32" t="str">
        <f t="shared" si="6"/>
        <v/>
      </c>
      <c r="AJ24" s="31"/>
    </row>
    <row r="25" spans="1:36" ht="19.5" customHeight="1" x14ac:dyDescent="0.2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 t="str">
        <f t="shared" si="0"/>
        <v/>
      </c>
      <c r="N25" s="27"/>
      <c r="O25" s="27"/>
      <c r="P25" s="27"/>
      <c r="Q25" s="27"/>
      <c r="R25" s="28" t="str">
        <f t="shared" si="1"/>
        <v/>
      </c>
      <c r="S25" s="27"/>
      <c r="T25" s="27"/>
      <c r="U25" s="27"/>
      <c r="V25" s="27"/>
      <c r="W25" s="27"/>
      <c r="X25" s="27"/>
      <c r="Y25" s="28" t="str">
        <f t="shared" si="2"/>
        <v/>
      </c>
      <c r="Z25" s="27"/>
      <c r="AA25" s="27"/>
      <c r="AB25" s="27"/>
      <c r="AC25" s="28" t="str">
        <f t="shared" si="3"/>
        <v/>
      </c>
      <c r="AD25" s="27"/>
      <c r="AE25" s="27"/>
      <c r="AF25" s="27"/>
      <c r="AG25" s="29" t="str">
        <f t="shared" si="4"/>
        <v/>
      </c>
      <c r="AH25" s="28" t="str">
        <f t="shared" si="5"/>
        <v/>
      </c>
      <c r="AI25" s="28" t="str">
        <f t="shared" si="6"/>
        <v/>
      </c>
      <c r="AJ25" s="27"/>
    </row>
    <row r="26" spans="1:36" ht="19.5" customHeight="1" x14ac:dyDescent="0.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 t="str">
        <f t="shared" si="0"/>
        <v/>
      </c>
      <c r="N26" s="31"/>
      <c r="O26" s="31"/>
      <c r="P26" s="31"/>
      <c r="Q26" s="31"/>
      <c r="R26" s="32" t="str">
        <f t="shared" si="1"/>
        <v/>
      </c>
      <c r="S26" s="31"/>
      <c r="T26" s="31"/>
      <c r="U26" s="31"/>
      <c r="V26" s="31"/>
      <c r="W26" s="31"/>
      <c r="X26" s="31"/>
      <c r="Y26" s="32" t="str">
        <f t="shared" si="2"/>
        <v/>
      </c>
      <c r="Z26" s="31"/>
      <c r="AA26" s="31"/>
      <c r="AB26" s="31"/>
      <c r="AC26" s="32" t="str">
        <f t="shared" si="3"/>
        <v/>
      </c>
      <c r="AD26" s="31"/>
      <c r="AE26" s="31"/>
      <c r="AF26" s="31"/>
      <c r="AG26" s="33" t="str">
        <f t="shared" si="4"/>
        <v/>
      </c>
      <c r="AH26" s="32" t="str">
        <f t="shared" si="5"/>
        <v/>
      </c>
      <c r="AI26" s="32" t="str">
        <f t="shared" si="6"/>
        <v/>
      </c>
      <c r="AJ26" s="31"/>
    </row>
    <row r="27" spans="1:36" ht="19.5" customHeight="1" x14ac:dyDescent="0.2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8" t="str">
        <f t="shared" si="0"/>
        <v/>
      </c>
      <c r="N27" s="27"/>
      <c r="O27" s="27"/>
      <c r="P27" s="27"/>
      <c r="Q27" s="27"/>
      <c r="R27" s="28" t="str">
        <f t="shared" si="1"/>
        <v/>
      </c>
      <c r="S27" s="27"/>
      <c r="T27" s="27"/>
      <c r="U27" s="27"/>
      <c r="V27" s="27"/>
      <c r="W27" s="27"/>
      <c r="X27" s="27"/>
      <c r="Y27" s="28" t="str">
        <f t="shared" si="2"/>
        <v/>
      </c>
      <c r="Z27" s="27"/>
      <c r="AA27" s="27"/>
      <c r="AB27" s="27"/>
      <c r="AC27" s="28" t="str">
        <f t="shared" si="3"/>
        <v/>
      </c>
      <c r="AD27" s="27"/>
      <c r="AE27" s="27"/>
      <c r="AF27" s="27"/>
      <c r="AG27" s="29" t="str">
        <f t="shared" si="4"/>
        <v/>
      </c>
      <c r="AH27" s="28" t="str">
        <f t="shared" si="5"/>
        <v/>
      </c>
      <c r="AI27" s="28" t="str">
        <f t="shared" si="6"/>
        <v/>
      </c>
      <c r="AJ27" s="27"/>
    </row>
    <row r="28" spans="1:36" ht="19.5" customHeight="1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 t="str">
        <f t="shared" si="0"/>
        <v/>
      </c>
      <c r="N28" s="31"/>
      <c r="O28" s="31"/>
      <c r="P28" s="31"/>
      <c r="Q28" s="31"/>
      <c r="R28" s="32" t="str">
        <f t="shared" si="1"/>
        <v/>
      </c>
      <c r="S28" s="31"/>
      <c r="T28" s="31"/>
      <c r="U28" s="31"/>
      <c r="V28" s="31"/>
      <c r="W28" s="31"/>
      <c r="X28" s="31"/>
      <c r="Y28" s="32" t="str">
        <f t="shared" si="2"/>
        <v/>
      </c>
      <c r="Z28" s="31"/>
      <c r="AA28" s="31"/>
      <c r="AB28" s="31"/>
      <c r="AC28" s="32" t="str">
        <f t="shared" si="3"/>
        <v/>
      </c>
      <c r="AD28" s="31"/>
      <c r="AE28" s="31"/>
      <c r="AF28" s="31"/>
      <c r="AG28" s="33" t="str">
        <f t="shared" si="4"/>
        <v/>
      </c>
      <c r="AH28" s="32" t="str">
        <f t="shared" si="5"/>
        <v/>
      </c>
      <c r="AI28" s="32" t="str">
        <f t="shared" si="6"/>
        <v/>
      </c>
      <c r="AJ28" s="31"/>
    </row>
    <row r="29" spans="1:36" ht="19.5" customHeight="1" x14ac:dyDescent="0.2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 t="str">
        <f t="shared" si="0"/>
        <v/>
      </c>
      <c r="N29" s="27"/>
      <c r="O29" s="27"/>
      <c r="P29" s="27"/>
      <c r="Q29" s="27"/>
      <c r="R29" s="28" t="str">
        <f t="shared" si="1"/>
        <v/>
      </c>
      <c r="S29" s="27"/>
      <c r="T29" s="27"/>
      <c r="U29" s="27"/>
      <c r="V29" s="27"/>
      <c r="W29" s="27"/>
      <c r="X29" s="27"/>
      <c r="Y29" s="28" t="str">
        <f t="shared" si="2"/>
        <v/>
      </c>
      <c r="Z29" s="27"/>
      <c r="AA29" s="27"/>
      <c r="AB29" s="27"/>
      <c r="AC29" s="28" t="str">
        <f t="shared" si="3"/>
        <v/>
      </c>
      <c r="AD29" s="27"/>
      <c r="AE29" s="27"/>
      <c r="AF29" s="27"/>
      <c r="AG29" s="29" t="str">
        <f t="shared" si="4"/>
        <v/>
      </c>
      <c r="AH29" s="28" t="str">
        <f t="shared" si="5"/>
        <v/>
      </c>
      <c r="AI29" s="28" t="str">
        <f t="shared" si="6"/>
        <v/>
      </c>
      <c r="AJ29" s="27"/>
    </row>
    <row r="30" spans="1:36" ht="19.5" customHeight="1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 t="str">
        <f t="shared" si="0"/>
        <v/>
      </c>
      <c r="N30" s="31"/>
      <c r="O30" s="31"/>
      <c r="P30" s="31"/>
      <c r="Q30" s="31"/>
      <c r="R30" s="32" t="str">
        <f t="shared" si="1"/>
        <v/>
      </c>
      <c r="S30" s="31"/>
      <c r="T30" s="31"/>
      <c r="U30" s="31"/>
      <c r="V30" s="31"/>
      <c r="W30" s="31"/>
      <c r="X30" s="31"/>
      <c r="Y30" s="32" t="str">
        <f t="shared" si="2"/>
        <v/>
      </c>
      <c r="Z30" s="31"/>
      <c r="AA30" s="31"/>
      <c r="AB30" s="31"/>
      <c r="AC30" s="32" t="str">
        <f t="shared" si="3"/>
        <v/>
      </c>
      <c r="AD30" s="31"/>
      <c r="AE30" s="31"/>
      <c r="AF30" s="31"/>
      <c r="AG30" s="33" t="str">
        <f t="shared" si="4"/>
        <v/>
      </c>
      <c r="AH30" s="32" t="str">
        <f t="shared" si="5"/>
        <v/>
      </c>
      <c r="AI30" s="32" t="str">
        <f t="shared" si="6"/>
        <v/>
      </c>
      <c r="AJ30" s="31"/>
    </row>
    <row r="31" spans="1:36" ht="19.5" customHeight="1" x14ac:dyDescent="0.2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8" t="str">
        <f t="shared" si="0"/>
        <v/>
      </c>
      <c r="N31" s="27"/>
      <c r="O31" s="27"/>
      <c r="P31" s="27"/>
      <c r="Q31" s="27"/>
      <c r="R31" s="28" t="str">
        <f t="shared" si="1"/>
        <v/>
      </c>
      <c r="S31" s="27"/>
      <c r="T31" s="27"/>
      <c r="U31" s="27"/>
      <c r="V31" s="27"/>
      <c r="W31" s="27"/>
      <c r="X31" s="27"/>
      <c r="Y31" s="28" t="str">
        <f t="shared" si="2"/>
        <v/>
      </c>
      <c r="Z31" s="27"/>
      <c r="AA31" s="27"/>
      <c r="AB31" s="27"/>
      <c r="AC31" s="28" t="str">
        <f t="shared" si="3"/>
        <v/>
      </c>
      <c r="AD31" s="27"/>
      <c r="AE31" s="27"/>
      <c r="AF31" s="27"/>
      <c r="AG31" s="29" t="str">
        <f t="shared" si="4"/>
        <v/>
      </c>
      <c r="AH31" s="28" t="str">
        <f t="shared" si="5"/>
        <v/>
      </c>
      <c r="AI31" s="28" t="str">
        <f t="shared" si="6"/>
        <v/>
      </c>
      <c r="AJ31" s="27"/>
    </row>
    <row r="32" spans="1:36" ht="19.5" customHeight="1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 t="str">
        <f t="shared" si="0"/>
        <v/>
      </c>
      <c r="N32" s="31"/>
      <c r="O32" s="31"/>
      <c r="P32" s="31"/>
      <c r="Q32" s="31"/>
      <c r="R32" s="32" t="str">
        <f t="shared" si="1"/>
        <v/>
      </c>
      <c r="S32" s="31"/>
      <c r="T32" s="31"/>
      <c r="U32" s="31"/>
      <c r="V32" s="31"/>
      <c r="W32" s="31"/>
      <c r="X32" s="31"/>
      <c r="Y32" s="32" t="str">
        <f t="shared" si="2"/>
        <v/>
      </c>
      <c r="Z32" s="31"/>
      <c r="AA32" s="31"/>
      <c r="AB32" s="31"/>
      <c r="AC32" s="32" t="str">
        <f t="shared" si="3"/>
        <v/>
      </c>
      <c r="AD32" s="31"/>
      <c r="AE32" s="31"/>
      <c r="AF32" s="31"/>
      <c r="AG32" s="33" t="str">
        <f t="shared" si="4"/>
        <v/>
      </c>
      <c r="AH32" s="32" t="str">
        <f t="shared" si="5"/>
        <v/>
      </c>
      <c r="AI32" s="32" t="str">
        <f t="shared" si="6"/>
        <v/>
      </c>
      <c r="AJ32" s="31"/>
    </row>
    <row r="33" spans="1:36" ht="19.5" customHeight="1" x14ac:dyDescent="0.2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8" t="str">
        <f t="shared" si="0"/>
        <v/>
      </c>
      <c r="N33" s="27"/>
      <c r="O33" s="27"/>
      <c r="P33" s="27"/>
      <c r="Q33" s="27"/>
      <c r="R33" s="28" t="str">
        <f t="shared" si="1"/>
        <v/>
      </c>
      <c r="S33" s="27"/>
      <c r="T33" s="27"/>
      <c r="U33" s="27"/>
      <c r="V33" s="27"/>
      <c r="W33" s="27"/>
      <c r="X33" s="27"/>
      <c r="Y33" s="28" t="str">
        <f t="shared" si="2"/>
        <v/>
      </c>
      <c r="Z33" s="27"/>
      <c r="AA33" s="27"/>
      <c r="AB33" s="27"/>
      <c r="AC33" s="28" t="str">
        <f t="shared" si="3"/>
        <v/>
      </c>
      <c r="AD33" s="27"/>
      <c r="AE33" s="27"/>
      <c r="AF33" s="27"/>
      <c r="AG33" s="29" t="str">
        <f t="shared" si="4"/>
        <v/>
      </c>
      <c r="AH33" s="28" t="str">
        <f t="shared" si="5"/>
        <v/>
      </c>
      <c r="AI33" s="28" t="str">
        <f t="shared" si="6"/>
        <v/>
      </c>
      <c r="AJ33" s="27"/>
    </row>
    <row r="34" spans="1:36" ht="19.5" customHeight="1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 t="str">
        <f t="shared" si="0"/>
        <v/>
      </c>
      <c r="N34" s="31"/>
      <c r="O34" s="31"/>
      <c r="P34" s="31"/>
      <c r="Q34" s="31"/>
      <c r="R34" s="32" t="str">
        <f t="shared" si="1"/>
        <v/>
      </c>
      <c r="S34" s="31"/>
      <c r="T34" s="31"/>
      <c r="U34" s="31"/>
      <c r="V34" s="31"/>
      <c r="W34" s="31"/>
      <c r="X34" s="31"/>
      <c r="Y34" s="32" t="str">
        <f t="shared" si="2"/>
        <v/>
      </c>
      <c r="Z34" s="31"/>
      <c r="AA34" s="31"/>
      <c r="AB34" s="31"/>
      <c r="AC34" s="32" t="str">
        <f t="shared" si="3"/>
        <v/>
      </c>
      <c r="AD34" s="31"/>
      <c r="AE34" s="31"/>
      <c r="AF34" s="31"/>
      <c r="AG34" s="33" t="str">
        <f t="shared" si="4"/>
        <v/>
      </c>
      <c r="AH34" s="32" t="str">
        <f t="shared" si="5"/>
        <v/>
      </c>
      <c r="AI34" s="32" t="str">
        <f t="shared" si="6"/>
        <v/>
      </c>
      <c r="AJ34" s="31"/>
    </row>
  </sheetData>
  <mergeCells count="11">
    <mergeCell ref="AD3:AF3"/>
    <mergeCell ref="AG3:AJ3"/>
    <mergeCell ref="A1:Z1"/>
    <mergeCell ref="A2:Z2"/>
    <mergeCell ref="A3:G3"/>
    <mergeCell ref="H3:I3"/>
    <mergeCell ref="J3:M3"/>
    <mergeCell ref="N3:S3"/>
    <mergeCell ref="T3:U3"/>
    <mergeCell ref="V3:Y3"/>
    <mergeCell ref="Z3:AC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4"/>
  <sheetViews>
    <sheetView showGridLines="0" zoomScaleNormal="100" workbookViewId="0">
      <pane ySplit="4" topLeftCell="A5" activePane="bottomLeft" state="frozen"/>
      <selection pane="bottomLeft" sqref="A1:Y1"/>
    </sheetView>
  </sheetViews>
  <sheetFormatPr baseColWidth="10" defaultColWidth="8.6640625" defaultRowHeight="15" customHeight="1" x14ac:dyDescent="0.2"/>
  <cols>
    <col min="1" max="1" width="12" customWidth="1"/>
    <col min="2" max="2" width="14" customWidth="1"/>
    <col min="3" max="3" width="11" customWidth="1"/>
    <col min="4" max="4" width="7" customWidth="1"/>
    <col min="5" max="5" width="16" customWidth="1"/>
    <col min="6" max="6" width="12" customWidth="1"/>
    <col min="7" max="7" width="18" customWidth="1"/>
    <col min="8" max="8" width="9" customWidth="1"/>
    <col min="9" max="9" width="8" customWidth="1"/>
    <col min="10" max="10" width="9" customWidth="1"/>
    <col min="11" max="11" width="8" customWidth="1"/>
    <col min="12" max="12" width="9" customWidth="1"/>
    <col min="13" max="14" width="8" customWidth="1"/>
    <col min="15" max="15" width="9" customWidth="1"/>
    <col min="16" max="16" width="8" customWidth="1"/>
    <col min="17" max="17" width="12" customWidth="1"/>
    <col min="18" max="18" width="13" customWidth="1"/>
    <col min="19" max="19" width="12" customWidth="1"/>
    <col min="20" max="20" width="13" customWidth="1"/>
    <col min="21" max="21" width="9" customWidth="1"/>
    <col min="22" max="22" width="11" customWidth="1"/>
    <col min="23" max="23" width="10" customWidth="1"/>
    <col min="24" max="28" width="8" customWidth="1"/>
    <col min="29" max="29" width="9" customWidth="1"/>
    <col min="30" max="30" width="8" customWidth="1"/>
    <col min="31" max="31" width="9" customWidth="1"/>
    <col min="32" max="32" width="15" customWidth="1"/>
  </cols>
  <sheetData>
    <row r="1" spans="1:32" ht="31.5" customHeight="1" x14ac:dyDescent="0.2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32" ht="18" customHeight="1" x14ac:dyDescent="0.2">
      <c r="A2" s="7" t="s">
        <v>163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32" ht="18" customHeight="1" x14ac:dyDescent="0.2">
      <c r="A3" s="4" t="s">
        <v>121</v>
      </c>
      <c r="B3" s="4"/>
      <c r="C3" s="4"/>
      <c r="D3" s="4"/>
      <c r="E3" s="4"/>
      <c r="F3" s="4"/>
      <c r="G3" s="4"/>
      <c r="H3" s="3" t="s">
        <v>164</v>
      </c>
      <c r="I3" s="3"/>
      <c r="J3" s="3"/>
      <c r="K3" s="3"/>
      <c r="L3" s="3"/>
      <c r="M3" s="3"/>
      <c r="N3" s="3" t="s">
        <v>165</v>
      </c>
      <c r="O3" s="3"/>
      <c r="P3" s="3"/>
      <c r="Q3" s="3" t="s">
        <v>166</v>
      </c>
      <c r="R3" s="3"/>
      <c r="S3" s="3"/>
      <c r="T3" s="3"/>
      <c r="U3" s="3"/>
      <c r="V3" s="3" t="s">
        <v>167</v>
      </c>
      <c r="W3" s="3"/>
      <c r="X3" s="3"/>
      <c r="Y3" s="3"/>
      <c r="Z3" s="3" t="s">
        <v>168</v>
      </c>
      <c r="AA3" s="3"/>
      <c r="AB3" s="3"/>
      <c r="AC3" s="4" t="s">
        <v>129</v>
      </c>
      <c r="AD3" s="4"/>
      <c r="AE3" s="4"/>
      <c r="AF3" s="4"/>
    </row>
    <row r="4" spans="1:32" ht="36" customHeight="1" x14ac:dyDescent="0.2">
      <c r="A4" s="25" t="s">
        <v>130</v>
      </c>
      <c r="B4" s="25" t="s">
        <v>6</v>
      </c>
      <c r="C4" s="25" t="s">
        <v>5</v>
      </c>
      <c r="D4" s="25" t="s">
        <v>131</v>
      </c>
      <c r="E4" s="25" t="s">
        <v>4</v>
      </c>
      <c r="F4" s="25" t="s">
        <v>132</v>
      </c>
      <c r="G4" s="25" t="s">
        <v>10</v>
      </c>
      <c r="H4" s="25" t="s">
        <v>169</v>
      </c>
      <c r="I4" s="25" t="s">
        <v>170</v>
      </c>
      <c r="J4" s="25" t="s">
        <v>171</v>
      </c>
      <c r="K4" s="25" t="s">
        <v>172</v>
      </c>
      <c r="L4" s="25" t="s">
        <v>173</v>
      </c>
      <c r="M4" s="25" t="s">
        <v>174</v>
      </c>
      <c r="N4" s="25" t="s">
        <v>175</v>
      </c>
      <c r="O4" s="25" t="s">
        <v>176</v>
      </c>
      <c r="P4" s="25" t="s">
        <v>177</v>
      </c>
      <c r="Q4" s="25" t="s">
        <v>178</v>
      </c>
      <c r="R4" s="25" t="s">
        <v>179</v>
      </c>
      <c r="S4" s="25" t="s">
        <v>180</v>
      </c>
      <c r="T4" s="25" t="s">
        <v>181</v>
      </c>
      <c r="U4" s="25" t="s">
        <v>182</v>
      </c>
      <c r="V4" s="25" t="s">
        <v>183</v>
      </c>
      <c r="W4" s="25" t="s">
        <v>184</v>
      </c>
      <c r="X4" s="25" t="s">
        <v>185</v>
      </c>
      <c r="Y4" s="25" t="s">
        <v>186</v>
      </c>
      <c r="Z4" s="25" t="s">
        <v>187</v>
      </c>
      <c r="AA4" s="25" t="s">
        <v>188</v>
      </c>
      <c r="AB4" s="25" t="s">
        <v>189</v>
      </c>
      <c r="AC4" s="25" t="s">
        <v>190</v>
      </c>
      <c r="AD4" s="25" t="s">
        <v>182</v>
      </c>
      <c r="AE4" s="25" t="s">
        <v>191</v>
      </c>
      <c r="AF4" s="25" t="s">
        <v>158</v>
      </c>
    </row>
    <row r="5" spans="1:32" ht="19.5" customHeight="1" x14ac:dyDescent="0.2">
      <c r="A5" s="26"/>
      <c r="B5" s="27"/>
      <c r="C5" s="27"/>
      <c r="D5" s="27"/>
      <c r="E5" s="27"/>
      <c r="F5" s="27"/>
      <c r="G5" s="27"/>
      <c r="H5" s="27"/>
      <c r="I5" s="28" t="str">
        <f t="shared" ref="I5:I34" si="0">IF(H5&lt;&gt;"",ROUND(H5/10*100,0),"")</f>
        <v/>
      </c>
      <c r="J5" s="27"/>
      <c r="K5" s="28" t="str">
        <f t="shared" ref="K5:K34" si="1">IF(J5&lt;&gt;"",ROUND(J5/10*100,0),"")</f>
        <v/>
      </c>
      <c r="L5" s="27"/>
      <c r="M5" s="28" t="str">
        <f t="shared" ref="M5:M34" si="2">IF(L5&lt;&gt;"",ROUND(L5/10*100,0),"")</f>
        <v/>
      </c>
      <c r="N5" s="27"/>
      <c r="O5" s="27"/>
      <c r="P5" s="27"/>
      <c r="Q5" s="27"/>
      <c r="R5" s="27"/>
      <c r="S5" s="27"/>
      <c r="T5" s="27"/>
      <c r="U5" s="27"/>
      <c r="V5" s="28" t="str">
        <f t="shared" ref="V5:V34" si="3">IF(AND(Q5&lt;&gt;"",R5&lt;&gt;"",S5&lt;&gt;"",T5&lt;&gt;""),IFERROR(ROUND((Q5+R5+S5+T5)/40*100,0),""),"")</f>
        <v/>
      </c>
      <c r="W5" s="27"/>
      <c r="X5" s="28" t="str">
        <f t="shared" ref="X5:X34" si="4">IF(W5&lt;&gt;"",ROUND(W5/10*100,0),"")</f>
        <v/>
      </c>
      <c r="Y5" s="27"/>
      <c r="Z5" s="27"/>
      <c r="AA5" s="27"/>
      <c r="AB5" s="27"/>
      <c r="AC5" s="28" t="str">
        <f t="shared" ref="AC5:AC34" si="5">IF(AND(H5&lt;&gt;"",J5&lt;&gt;"",L5&lt;&gt;""),IFERROR(ROUND((H5+J5+L5)/30*100,0),""),"")</f>
        <v/>
      </c>
      <c r="AD5" s="28" t="str">
        <f t="shared" ref="AD5:AD34" si="6">V5</f>
        <v/>
      </c>
      <c r="AE5" s="28" t="str">
        <f t="shared" ref="AE5:AE34" si="7">X5</f>
        <v/>
      </c>
      <c r="AF5" s="29" t="str">
        <f t="shared" ref="AF5:AF34" si="8">IF(AND(AC5&lt;&gt;"",AD5&lt;&gt;"",AE5&lt;&gt;""),IFERROR(ROUND((AC5+AD5+AE5)/3,0),""),"")</f>
        <v/>
      </c>
    </row>
    <row r="6" spans="1:32" ht="19.5" customHeight="1" x14ac:dyDescent="0.2">
      <c r="A6" s="30"/>
      <c r="B6" s="31"/>
      <c r="C6" s="31"/>
      <c r="D6" s="31"/>
      <c r="E6" s="31"/>
      <c r="F6" s="31"/>
      <c r="G6" s="31"/>
      <c r="H6" s="31"/>
      <c r="I6" s="32" t="str">
        <f t="shared" si="0"/>
        <v/>
      </c>
      <c r="J6" s="31"/>
      <c r="K6" s="32" t="str">
        <f t="shared" si="1"/>
        <v/>
      </c>
      <c r="L6" s="31"/>
      <c r="M6" s="32" t="str">
        <f t="shared" si="2"/>
        <v/>
      </c>
      <c r="N6" s="31"/>
      <c r="O6" s="31"/>
      <c r="P6" s="31"/>
      <c r="Q6" s="31"/>
      <c r="R6" s="31"/>
      <c r="S6" s="31"/>
      <c r="T6" s="31"/>
      <c r="U6" s="31"/>
      <c r="V6" s="32" t="str">
        <f t="shared" si="3"/>
        <v/>
      </c>
      <c r="W6" s="31"/>
      <c r="X6" s="32" t="str">
        <f t="shared" si="4"/>
        <v/>
      </c>
      <c r="Y6" s="31"/>
      <c r="Z6" s="31"/>
      <c r="AA6" s="31"/>
      <c r="AB6" s="31"/>
      <c r="AC6" s="32" t="str">
        <f t="shared" si="5"/>
        <v/>
      </c>
      <c r="AD6" s="32" t="str">
        <f t="shared" si="6"/>
        <v/>
      </c>
      <c r="AE6" s="32" t="str">
        <f t="shared" si="7"/>
        <v/>
      </c>
      <c r="AF6" s="33" t="str">
        <f t="shared" si="8"/>
        <v/>
      </c>
    </row>
    <row r="7" spans="1:32" ht="19.5" customHeight="1" x14ac:dyDescent="0.2">
      <c r="A7" s="26"/>
      <c r="B7" s="27"/>
      <c r="C7" s="27"/>
      <c r="D7" s="27"/>
      <c r="E7" s="27"/>
      <c r="F7" s="27"/>
      <c r="G7" s="27"/>
      <c r="H7" s="27"/>
      <c r="I7" s="28" t="str">
        <f t="shared" si="0"/>
        <v/>
      </c>
      <c r="J7" s="27"/>
      <c r="K7" s="28" t="str">
        <f t="shared" si="1"/>
        <v/>
      </c>
      <c r="L7" s="27"/>
      <c r="M7" s="28" t="str">
        <f t="shared" si="2"/>
        <v/>
      </c>
      <c r="N7" s="27"/>
      <c r="O7" s="27"/>
      <c r="P7" s="27"/>
      <c r="Q7" s="27"/>
      <c r="R7" s="27"/>
      <c r="S7" s="27"/>
      <c r="T7" s="27"/>
      <c r="U7" s="27"/>
      <c r="V7" s="28" t="str">
        <f t="shared" si="3"/>
        <v/>
      </c>
      <c r="W7" s="27"/>
      <c r="X7" s="28" t="str">
        <f t="shared" si="4"/>
        <v/>
      </c>
      <c r="Y7" s="27"/>
      <c r="Z7" s="27"/>
      <c r="AA7" s="27"/>
      <c r="AB7" s="27"/>
      <c r="AC7" s="28" t="str">
        <f t="shared" si="5"/>
        <v/>
      </c>
      <c r="AD7" s="28" t="str">
        <f t="shared" si="6"/>
        <v/>
      </c>
      <c r="AE7" s="28" t="str">
        <f t="shared" si="7"/>
        <v/>
      </c>
      <c r="AF7" s="29" t="str">
        <f t="shared" si="8"/>
        <v/>
      </c>
    </row>
    <row r="8" spans="1:32" ht="19.5" customHeight="1" x14ac:dyDescent="0.2">
      <c r="A8" s="30"/>
      <c r="B8" s="31"/>
      <c r="C8" s="31"/>
      <c r="D8" s="31"/>
      <c r="E8" s="31"/>
      <c r="F8" s="31"/>
      <c r="G8" s="31"/>
      <c r="H8" s="31"/>
      <c r="I8" s="32" t="str">
        <f t="shared" si="0"/>
        <v/>
      </c>
      <c r="J8" s="31"/>
      <c r="K8" s="32" t="str">
        <f t="shared" si="1"/>
        <v/>
      </c>
      <c r="L8" s="31"/>
      <c r="M8" s="32" t="str">
        <f t="shared" si="2"/>
        <v/>
      </c>
      <c r="N8" s="31"/>
      <c r="O8" s="31"/>
      <c r="P8" s="31"/>
      <c r="Q8" s="31"/>
      <c r="R8" s="31"/>
      <c r="S8" s="31"/>
      <c r="T8" s="31"/>
      <c r="U8" s="31"/>
      <c r="V8" s="32" t="str">
        <f t="shared" si="3"/>
        <v/>
      </c>
      <c r="W8" s="31"/>
      <c r="X8" s="32" t="str">
        <f t="shared" si="4"/>
        <v/>
      </c>
      <c r="Y8" s="31"/>
      <c r="Z8" s="31"/>
      <c r="AA8" s="31"/>
      <c r="AB8" s="31"/>
      <c r="AC8" s="32" t="str">
        <f t="shared" si="5"/>
        <v/>
      </c>
      <c r="AD8" s="32" t="str">
        <f t="shared" si="6"/>
        <v/>
      </c>
      <c r="AE8" s="32" t="str">
        <f t="shared" si="7"/>
        <v/>
      </c>
      <c r="AF8" s="33" t="str">
        <f t="shared" si="8"/>
        <v/>
      </c>
    </row>
    <row r="9" spans="1:32" ht="19.5" customHeight="1" x14ac:dyDescent="0.2">
      <c r="A9" s="26"/>
      <c r="B9" s="27"/>
      <c r="C9" s="27"/>
      <c r="D9" s="27"/>
      <c r="E9" s="27"/>
      <c r="F9" s="27"/>
      <c r="G9" s="27"/>
      <c r="H9" s="27"/>
      <c r="I9" s="28" t="str">
        <f t="shared" si="0"/>
        <v/>
      </c>
      <c r="J9" s="27"/>
      <c r="K9" s="28" t="str">
        <f t="shared" si="1"/>
        <v/>
      </c>
      <c r="L9" s="27"/>
      <c r="M9" s="28" t="str">
        <f t="shared" si="2"/>
        <v/>
      </c>
      <c r="N9" s="27"/>
      <c r="O9" s="27"/>
      <c r="P9" s="27"/>
      <c r="Q9" s="27"/>
      <c r="R9" s="27"/>
      <c r="S9" s="27"/>
      <c r="T9" s="27"/>
      <c r="U9" s="27"/>
      <c r="V9" s="28" t="str">
        <f t="shared" si="3"/>
        <v/>
      </c>
      <c r="W9" s="27"/>
      <c r="X9" s="28" t="str">
        <f t="shared" si="4"/>
        <v/>
      </c>
      <c r="Y9" s="27"/>
      <c r="Z9" s="27"/>
      <c r="AA9" s="27"/>
      <c r="AB9" s="27"/>
      <c r="AC9" s="28" t="str">
        <f t="shared" si="5"/>
        <v/>
      </c>
      <c r="AD9" s="28" t="str">
        <f t="shared" si="6"/>
        <v/>
      </c>
      <c r="AE9" s="28" t="str">
        <f t="shared" si="7"/>
        <v/>
      </c>
      <c r="AF9" s="29" t="str">
        <f t="shared" si="8"/>
        <v/>
      </c>
    </row>
    <row r="10" spans="1:32" ht="19.5" customHeight="1" x14ac:dyDescent="0.2">
      <c r="A10" s="30"/>
      <c r="B10" s="31"/>
      <c r="C10" s="31"/>
      <c r="D10" s="31"/>
      <c r="E10" s="31"/>
      <c r="F10" s="31"/>
      <c r="G10" s="31"/>
      <c r="H10" s="31"/>
      <c r="I10" s="32" t="str">
        <f t="shared" si="0"/>
        <v/>
      </c>
      <c r="J10" s="31"/>
      <c r="K10" s="32" t="str">
        <f t="shared" si="1"/>
        <v/>
      </c>
      <c r="L10" s="31"/>
      <c r="M10" s="32" t="str">
        <f t="shared" si="2"/>
        <v/>
      </c>
      <c r="N10" s="31"/>
      <c r="O10" s="31"/>
      <c r="P10" s="31"/>
      <c r="Q10" s="31"/>
      <c r="R10" s="31"/>
      <c r="S10" s="31"/>
      <c r="T10" s="31"/>
      <c r="U10" s="31"/>
      <c r="V10" s="32" t="str">
        <f t="shared" si="3"/>
        <v/>
      </c>
      <c r="W10" s="31"/>
      <c r="X10" s="32" t="str">
        <f t="shared" si="4"/>
        <v/>
      </c>
      <c r="Y10" s="31"/>
      <c r="Z10" s="31"/>
      <c r="AA10" s="31"/>
      <c r="AB10" s="31"/>
      <c r="AC10" s="32" t="str">
        <f t="shared" si="5"/>
        <v/>
      </c>
      <c r="AD10" s="32" t="str">
        <f t="shared" si="6"/>
        <v/>
      </c>
      <c r="AE10" s="32" t="str">
        <f t="shared" si="7"/>
        <v/>
      </c>
      <c r="AF10" s="33" t="str">
        <f t="shared" si="8"/>
        <v/>
      </c>
    </row>
    <row r="11" spans="1:32" ht="19.5" customHeight="1" x14ac:dyDescent="0.2">
      <c r="A11" s="26"/>
      <c r="B11" s="27"/>
      <c r="C11" s="27"/>
      <c r="D11" s="27"/>
      <c r="E11" s="27"/>
      <c r="F11" s="27"/>
      <c r="G11" s="27"/>
      <c r="H11" s="27"/>
      <c r="I11" s="28" t="str">
        <f t="shared" si="0"/>
        <v/>
      </c>
      <c r="J11" s="27"/>
      <c r="K11" s="28" t="str">
        <f t="shared" si="1"/>
        <v/>
      </c>
      <c r="L11" s="27"/>
      <c r="M11" s="28" t="str">
        <f t="shared" si="2"/>
        <v/>
      </c>
      <c r="N11" s="27"/>
      <c r="O11" s="27"/>
      <c r="P11" s="27"/>
      <c r="Q11" s="27"/>
      <c r="R11" s="27"/>
      <c r="S11" s="27"/>
      <c r="T11" s="27"/>
      <c r="U11" s="27"/>
      <c r="V11" s="28" t="str">
        <f t="shared" si="3"/>
        <v/>
      </c>
      <c r="W11" s="27"/>
      <c r="X11" s="28" t="str">
        <f t="shared" si="4"/>
        <v/>
      </c>
      <c r="Y11" s="27"/>
      <c r="Z11" s="27"/>
      <c r="AA11" s="27"/>
      <c r="AB11" s="27"/>
      <c r="AC11" s="28" t="str">
        <f t="shared" si="5"/>
        <v/>
      </c>
      <c r="AD11" s="28" t="str">
        <f t="shared" si="6"/>
        <v/>
      </c>
      <c r="AE11" s="28" t="str">
        <f t="shared" si="7"/>
        <v/>
      </c>
      <c r="AF11" s="29" t="str">
        <f t="shared" si="8"/>
        <v/>
      </c>
    </row>
    <row r="12" spans="1:32" ht="19.5" customHeight="1" x14ac:dyDescent="0.2">
      <c r="A12" s="30"/>
      <c r="B12" s="31"/>
      <c r="C12" s="31"/>
      <c r="D12" s="31"/>
      <c r="E12" s="31"/>
      <c r="F12" s="31"/>
      <c r="G12" s="31"/>
      <c r="H12" s="31"/>
      <c r="I12" s="32" t="str">
        <f t="shared" si="0"/>
        <v/>
      </c>
      <c r="J12" s="31"/>
      <c r="K12" s="32" t="str">
        <f t="shared" si="1"/>
        <v/>
      </c>
      <c r="L12" s="31"/>
      <c r="M12" s="32" t="str">
        <f t="shared" si="2"/>
        <v/>
      </c>
      <c r="N12" s="31"/>
      <c r="O12" s="31"/>
      <c r="P12" s="31"/>
      <c r="Q12" s="31"/>
      <c r="R12" s="31"/>
      <c r="S12" s="31"/>
      <c r="T12" s="31"/>
      <c r="U12" s="31"/>
      <c r="V12" s="32" t="str">
        <f t="shared" si="3"/>
        <v/>
      </c>
      <c r="W12" s="31"/>
      <c r="X12" s="32" t="str">
        <f t="shared" si="4"/>
        <v/>
      </c>
      <c r="Y12" s="31"/>
      <c r="Z12" s="31"/>
      <c r="AA12" s="31"/>
      <c r="AB12" s="31"/>
      <c r="AC12" s="32" t="str">
        <f t="shared" si="5"/>
        <v/>
      </c>
      <c r="AD12" s="32" t="str">
        <f t="shared" si="6"/>
        <v/>
      </c>
      <c r="AE12" s="32" t="str">
        <f t="shared" si="7"/>
        <v/>
      </c>
      <c r="AF12" s="33" t="str">
        <f t="shared" si="8"/>
        <v/>
      </c>
    </row>
    <row r="13" spans="1:32" ht="19.5" customHeight="1" x14ac:dyDescent="0.2">
      <c r="A13" s="26"/>
      <c r="B13" s="27"/>
      <c r="C13" s="27"/>
      <c r="D13" s="27"/>
      <c r="E13" s="27"/>
      <c r="F13" s="27"/>
      <c r="G13" s="27"/>
      <c r="H13" s="27"/>
      <c r="I13" s="28" t="str">
        <f t="shared" si="0"/>
        <v/>
      </c>
      <c r="J13" s="27"/>
      <c r="K13" s="28" t="str">
        <f t="shared" si="1"/>
        <v/>
      </c>
      <c r="L13" s="27"/>
      <c r="M13" s="28" t="str">
        <f t="shared" si="2"/>
        <v/>
      </c>
      <c r="N13" s="27"/>
      <c r="O13" s="27"/>
      <c r="P13" s="27"/>
      <c r="Q13" s="27"/>
      <c r="R13" s="27"/>
      <c r="S13" s="27"/>
      <c r="T13" s="27"/>
      <c r="U13" s="27"/>
      <c r="V13" s="28" t="str">
        <f t="shared" si="3"/>
        <v/>
      </c>
      <c r="W13" s="27"/>
      <c r="X13" s="28" t="str">
        <f t="shared" si="4"/>
        <v/>
      </c>
      <c r="Y13" s="27"/>
      <c r="Z13" s="27"/>
      <c r="AA13" s="27"/>
      <c r="AB13" s="27"/>
      <c r="AC13" s="28" t="str">
        <f t="shared" si="5"/>
        <v/>
      </c>
      <c r="AD13" s="28" t="str">
        <f t="shared" si="6"/>
        <v/>
      </c>
      <c r="AE13" s="28" t="str">
        <f t="shared" si="7"/>
        <v/>
      </c>
      <c r="AF13" s="29" t="str">
        <f t="shared" si="8"/>
        <v/>
      </c>
    </row>
    <row r="14" spans="1:32" ht="19.5" customHeight="1" x14ac:dyDescent="0.2">
      <c r="A14" s="30"/>
      <c r="B14" s="31"/>
      <c r="C14" s="31"/>
      <c r="D14" s="31"/>
      <c r="E14" s="31"/>
      <c r="F14" s="31"/>
      <c r="G14" s="31"/>
      <c r="H14" s="31"/>
      <c r="I14" s="32" t="str">
        <f t="shared" si="0"/>
        <v/>
      </c>
      <c r="J14" s="31"/>
      <c r="K14" s="32" t="str">
        <f t="shared" si="1"/>
        <v/>
      </c>
      <c r="L14" s="31"/>
      <c r="M14" s="32" t="str">
        <f t="shared" si="2"/>
        <v/>
      </c>
      <c r="N14" s="31"/>
      <c r="O14" s="31"/>
      <c r="P14" s="31"/>
      <c r="Q14" s="31"/>
      <c r="R14" s="31"/>
      <c r="S14" s="31"/>
      <c r="T14" s="31"/>
      <c r="U14" s="31"/>
      <c r="V14" s="32" t="str">
        <f t="shared" si="3"/>
        <v/>
      </c>
      <c r="W14" s="31"/>
      <c r="X14" s="32" t="str">
        <f t="shared" si="4"/>
        <v/>
      </c>
      <c r="Y14" s="31"/>
      <c r="Z14" s="31"/>
      <c r="AA14" s="31"/>
      <c r="AB14" s="31"/>
      <c r="AC14" s="32" t="str">
        <f t="shared" si="5"/>
        <v/>
      </c>
      <c r="AD14" s="32" t="str">
        <f t="shared" si="6"/>
        <v/>
      </c>
      <c r="AE14" s="32" t="str">
        <f t="shared" si="7"/>
        <v/>
      </c>
      <c r="AF14" s="33" t="str">
        <f t="shared" si="8"/>
        <v/>
      </c>
    </row>
    <row r="15" spans="1:32" ht="19.5" customHeight="1" x14ac:dyDescent="0.2">
      <c r="A15" s="26"/>
      <c r="B15" s="27"/>
      <c r="C15" s="27"/>
      <c r="D15" s="27"/>
      <c r="E15" s="27"/>
      <c r="F15" s="27"/>
      <c r="G15" s="27"/>
      <c r="H15" s="27"/>
      <c r="I15" s="28" t="str">
        <f t="shared" si="0"/>
        <v/>
      </c>
      <c r="J15" s="27"/>
      <c r="K15" s="28" t="str">
        <f t="shared" si="1"/>
        <v/>
      </c>
      <c r="L15" s="27"/>
      <c r="M15" s="28" t="str">
        <f t="shared" si="2"/>
        <v/>
      </c>
      <c r="N15" s="27"/>
      <c r="O15" s="27"/>
      <c r="P15" s="27"/>
      <c r="Q15" s="27"/>
      <c r="R15" s="27"/>
      <c r="S15" s="27"/>
      <c r="T15" s="27"/>
      <c r="U15" s="27"/>
      <c r="V15" s="28" t="str">
        <f t="shared" si="3"/>
        <v/>
      </c>
      <c r="W15" s="27"/>
      <c r="X15" s="28" t="str">
        <f t="shared" si="4"/>
        <v/>
      </c>
      <c r="Y15" s="27"/>
      <c r="Z15" s="27"/>
      <c r="AA15" s="27"/>
      <c r="AB15" s="27"/>
      <c r="AC15" s="28" t="str">
        <f t="shared" si="5"/>
        <v/>
      </c>
      <c r="AD15" s="28" t="str">
        <f t="shared" si="6"/>
        <v/>
      </c>
      <c r="AE15" s="28" t="str">
        <f t="shared" si="7"/>
        <v/>
      </c>
      <c r="AF15" s="29" t="str">
        <f t="shared" si="8"/>
        <v/>
      </c>
    </row>
    <row r="16" spans="1:32" ht="19.5" customHeight="1" x14ac:dyDescent="0.2">
      <c r="A16" s="30"/>
      <c r="B16" s="31"/>
      <c r="C16" s="31"/>
      <c r="D16" s="31"/>
      <c r="E16" s="31"/>
      <c r="F16" s="31"/>
      <c r="G16" s="31"/>
      <c r="H16" s="31"/>
      <c r="I16" s="32" t="str">
        <f t="shared" si="0"/>
        <v/>
      </c>
      <c r="J16" s="31"/>
      <c r="K16" s="32" t="str">
        <f t="shared" si="1"/>
        <v/>
      </c>
      <c r="L16" s="31"/>
      <c r="M16" s="32" t="str">
        <f t="shared" si="2"/>
        <v/>
      </c>
      <c r="N16" s="31"/>
      <c r="O16" s="31"/>
      <c r="P16" s="31"/>
      <c r="Q16" s="31"/>
      <c r="R16" s="31"/>
      <c r="S16" s="31"/>
      <c r="T16" s="31"/>
      <c r="U16" s="31"/>
      <c r="V16" s="32" t="str">
        <f t="shared" si="3"/>
        <v/>
      </c>
      <c r="W16" s="31"/>
      <c r="X16" s="32" t="str">
        <f t="shared" si="4"/>
        <v/>
      </c>
      <c r="Y16" s="31"/>
      <c r="Z16" s="31"/>
      <c r="AA16" s="31"/>
      <c r="AB16" s="31"/>
      <c r="AC16" s="32" t="str">
        <f t="shared" si="5"/>
        <v/>
      </c>
      <c r="AD16" s="32" t="str">
        <f t="shared" si="6"/>
        <v/>
      </c>
      <c r="AE16" s="32" t="str">
        <f t="shared" si="7"/>
        <v/>
      </c>
      <c r="AF16" s="33" t="str">
        <f t="shared" si="8"/>
        <v/>
      </c>
    </row>
    <row r="17" spans="1:32" ht="19.5" customHeight="1" x14ac:dyDescent="0.2">
      <c r="A17" s="26"/>
      <c r="B17" s="27"/>
      <c r="C17" s="27"/>
      <c r="D17" s="27"/>
      <c r="E17" s="27"/>
      <c r="F17" s="27"/>
      <c r="G17" s="27"/>
      <c r="H17" s="27"/>
      <c r="I17" s="28" t="str">
        <f t="shared" si="0"/>
        <v/>
      </c>
      <c r="J17" s="27"/>
      <c r="K17" s="28" t="str">
        <f t="shared" si="1"/>
        <v/>
      </c>
      <c r="L17" s="27"/>
      <c r="M17" s="28" t="str">
        <f t="shared" si="2"/>
        <v/>
      </c>
      <c r="N17" s="27"/>
      <c r="O17" s="27"/>
      <c r="P17" s="27"/>
      <c r="Q17" s="27"/>
      <c r="R17" s="27"/>
      <c r="S17" s="27"/>
      <c r="T17" s="27"/>
      <c r="U17" s="27"/>
      <c r="V17" s="28" t="str">
        <f t="shared" si="3"/>
        <v/>
      </c>
      <c r="W17" s="27"/>
      <c r="X17" s="28" t="str">
        <f t="shared" si="4"/>
        <v/>
      </c>
      <c r="Y17" s="27"/>
      <c r="Z17" s="27"/>
      <c r="AA17" s="27"/>
      <c r="AB17" s="27"/>
      <c r="AC17" s="28" t="str">
        <f t="shared" si="5"/>
        <v/>
      </c>
      <c r="AD17" s="28" t="str">
        <f t="shared" si="6"/>
        <v/>
      </c>
      <c r="AE17" s="28" t="str">
        <f t="shared" si="7"/>
        <v/>
      </c>
      <c r="AF17" s="29" t="str">
        <f t="shared" si="8"/>
        <v/>
      </c>
    </row>
    <row r="18" spans="1:32" ht="19.5" customHeight="1" x14ac:dyDescent="0.2">
      <c r="A18" s="30"/>
      <c r="B18" s="31"/>
      <c r="C18" s="31"/>
      <c r="D18" s="31"/>
      <c r="E18" s="31"/>
      <c r="F18" s="31"/>
      <c r="G18" s="31"/>
      <c r="H18" s="31"/>
      <c r="I18" s="32" t="str">
        <f t="shared" si="0"/>
        <v/>
      </c>
      <c r="J18" s="31"/>
      <c r="K18" s="32" t="str">
        <f t="shared" si="1"/>
        <v/>
      </c>
      <c r="L18" s="31"/>
      <c r="M18" s="32" t="str">
        <f t="shared" si="2"/>
        <v/>
      </c>
      <c r="N18" s="31"/>
      <c r="O18" s="31"/>
      <c r="P18" s="31"/>
      <c r="Q18" s="31"/>
      <c r="R18" s="31"/>
      <c r="S18" s="31"/>
      <c r="T18" s="31"/>
      <c r="U18" s="31"/>
      <c r="V18" s="32" t="str">
        <f t="shared" si="3"/>
        <v/>
      </c>
      <c r="W18" s="31"/>
      <c r="X18" s="32" t="str">
        <f t="shared" si="4"/>
        <v/>
      </c>
      <c r="Y18" s="31"/>
      <c r="Z18" s="31"/>
      <c r="AA18" s="31"/>
      <c r="AB18" s="31"/>
      <c r="AC18" s="32" t="str">
        <f t="shared" si="5"/>
        <v/>
      </c>
      <c r="AD18" s="32" t="str">
        <f t="shared" si="6"/>
        <v/>
      </c>
      <c r="AE18" s="32" t="str">
        <f t="shared" si="7"/>
        <v/>
      </c>
      <c r="AF18" s="33" t="str">
        <f t="shared" si="8"/>
        <v/>
      </c>
    </row>
    <row r="19" spans="1:32" ht="19.5" customHeight="1" x14ac:dyDescent="0.2">
      <c r="A19" s="26"/>
      <c r="B19" s="27"/>
      <c r="C19" s="27"/>
      <c r="D19" s="27"/>
      <c r="E19" s="27"/>
      <c r="F19" s="27"/>
      <c r="G19" s="27"/>
      <c r="H19" s="27"/>
      <c r="I19" s="28" t="str">
        <f t="shared" si="0"/>
        <v/>
      </c>
      <c r="J19" s="27"/>
      <c r="K19" s="28" t="str">
        <f t="shared" si="1"/>
        <v/>
      </c>
      <c r="L19" s="27"/>
      <c r="M19" s="28" t="str">
        <f t="shared" si="2"/>
        <v/>
      </c>
      <c r="N19" s="27"/>
      <c r="O19" s="27"/>
      <c r="P19" s="27"/>
      <c r="Q19" s="27"/>
      <c r="R19" s="27"/>
      <c r="S19" s="27"/>
      <c r="T19" s="27"/>
      <c r="U19" s="27"/>
      <c r="V19" s="28" t="str">
        <f t="shared" si="3"/>
        <v/>
      </c>
      <c r="W19" s="27"/>
      <c r="X19" s="28" t="str">
        <f t="shared" si="4"/>
        <v/>
      </c>
      <c r="Y19" s="27"/>
      <c r="Z19" s="27"/>
      <c r="AA19" s="27"/>
      <c r="AB19" s="27"/>
      <c r="AC19" s="28" t="str">
        <f t="shared" si="5"/>
        <v/>
      </c>
      <c r="AD19" s="28" t="str">
        <f t="shared" si="6"/>
        <v/>
      </c>
      <c r="AE19" s="28" t="str">
        <f t="shared" si="7"/>
        <v/>
      </c>
      <c r="AF19" s="29" t="str">
        <f t="shared" si="8"/>
        <v/>
      </c>
    </row>
    <row r="20" spans="1:32" ht="19.5" customHeight="1" x14ac:dyDescent="0.2">
      <c r="A20" s="30"/>
      <c r="B20" s="31"/>
      <c r="C20" s="31"/>
      <c r="D20" s="31"/>
      <c r="E20" s="31"/>
      <c r="F20" s="31"/>
      <c r="G20" s="31"/>
      <c r="H20" s="31"/>
      <c r="I20" s="32" t="str">
        <f t="shared" si="0"/>
        <v/>
      </c>
      <c r="J20" s="31"/>
      <c r="K20" s="32" t="str">
        <f t="shared" si="1"/>
        <v/>
      </c>
      <c r="L20" s="31"/>
      <c r="M20" s="32" t="str">
        <f t="shared" si="2"/>
        <v/>
      </c>
      <c r="N20" s="31"/>
      <c r="O20" s="31"/>
      <c r="P20" s="31"/>
      <c r="Q20" s="31"/>
      <c r="R20" s="31"/>
      <c r="S20" s="31"/>
      <c r="T20" s="31"/>
      <c r="U20" s="31"/>
      <c r="V20" s="32" t="str">
        <f t="shared" si="3"/>
        <v/>
      </c>
      <c r="W20" s="31"/>
      <c r="X20" s="32" t="str">
        <f t="shared" si="4"/>
        <v/>
      </c>
      <c r="Y20" s="31"/>
      <c r="Z20" s="31"/>
      <c r="AA20" s="31"/>
      <c r="AB20" s="31"/>
      <c r="AC20" s="32" t="str">
        <f t="shared" si="5"/>
        <v/>
      </c>
      <c r="AD20" s="32" t="str">
        <f t="shared" si="6"/>
        <v/>
      </c>
      <c r="AE20" s="32" t="str">
        <f t="shared" si="7"/>
        <v/>
      </c>
      <c r="AF20" s="33" t="str">
        <f t="shared" si="8"/>
        <v/>
      </c>
    </row>
    <row r="21" spans="1:32" ht="19.5" customHeight="1" x14ac:dyDescent="0.2">
      <c r="A21" s="26"/>
      <c r="B21" s="27"/>
      <c r="C21" s="27"/>
      <c r="D21" s="27"/>
      <c r="E21" s="27"/>
      <c r="F21" s="27"/>
      <c r="G21" s="27"/>
      <c r="H21" s="27"/>
      <c r="I21" s="28" t="str">
        <f t="shared" si="0"/>
        <v/>
      </c>
      <c r="J21" s="27"/>
      <c r="K21" s="28" t="str">
        <f t="shared" si="1"/>
        <v/>
      </c>
      <c r="L21" s="27"/>
      <c r="M21" s="28" t="str">
        <f t="shared" si="2"/>
        <v/>
      </c>
      <c r="N21" s="27"/>
      <c r="O21" s="27"/>
      <c r="P21" s="27"/>
      <c r="Q21" s="27"/>
      <c r="R21" s="27"/>
      <c r="S21" s="27"/>
      <c r="T21" s="27"/>
      <c r="U21" s="27"/>
      <c r="V21" s="28" t="str">
        <f t="shared" si="3"/>
        <v/>
      </c>
      <c r="W21" s="27"/>
      <c r="X21" s="28" t="str">
        <f t="shared" si="4"/>
        <v/>
      </c>
      <c r="Y21" s="27"/>
      <c r="Z21" s="27"/>
      <c r="AA21" s="27"/>
      <c r="AB21" s="27"/>
      <c r="AC21" s="28" t="str">
        <f t="shared" si="5"/>
        <v/>
      </c>
      <c r="AD21" s="28" t="str">
        <f t="shared" si="6"/>
        <v/>
      </c>
      <c r="AE21" s="28" t="str">
        <f t="shared" si="7"/>
        <v/>
      </c>
      <c r="AF21" s="29" t="str">
        <f t="shared" si="8"/>
        <v/>
      </c>
    </row>
    <row r="22" spans="1:32" ht="19.5" customHeight="1" x14ac:dyDescent="0.2">
      <c r="A22" s="30"/>
      <c r="B22" s="31"/>
      <c r="C22" s="31"/>
      <c r="D22" s="31"/>
      <c r="E22" s="31"/>
      <c r="F22" s="31"/>
      <c r="G22" s="31"/>
      <c r="H22" s="31"/>
      <c r="I22" s="32" t="str">
        <f t="shared" si="0"/>
        <v/>
      </c>
      <c r="J22" s="31"/>
      <c r="K22" s="32" t="str">
        <f t="shared" si="1"/>
        <v/>
      </c>
      <c r="L22" s="31"/>
      <c r="M22" s="32" t="str">
        <f t="shared" si="2"/>
        <v/>
      </c>
      <c r="N22" s="31"/>
      <c r="O22" s="31"/>
      <c r="P22" s="31"/>
      <c r="Q22" s="31"/>
      <c r="R22" s="31"/>
      <c r="S22" s="31"/>
      <c r="T22" s="31"/>
      <c r="U22" s="31"/>
      <c r="V22" s="32" t="str">
        <f t="shared" si="3"/>
        <v/>
      </c>
      <c r="W22" s="31"/>
      <c r="X22" s="32" t="str">
        <f t="shared" si="4"/>
        <v/>
      </c>
      <c r="Y22" s="31"/>
      <c r="Z22" s="31"/>
      <c r="AA22" s="31"/>
      <c r="AB22" s="31"/>
      <c r="AC22" s="32" t="str">
        <f t="shared" si="5"/>
        <v/>
      </c>
      <c r="AD22" s="32" t="str">
        <f t="shared" si="6"/>
        <v/>
      </c>
      <c r="AE22" s="32" t="str">
        <f t="shared" si="7"/>
        <v/>
      </c>
      <c r="AF22" s="33" t="str">
        <f t="shared" si="8"/>
        <v/>
      </c>
    </row>
    <row r="23" spans="1:32" ht="19.5" customHeight="1" x14ac:dyDescent="0.2">
      <c r="A23" s="26"/>
      <c r="B23" s="27"/>
      <c r="C23" s="27"/>
      <c r="D23" s="27"/>
      <c r="E23" s="27"/>
      <c r="F23" s="27"/>
      <c r="G23" s="27"/>
      <c r="H23" s="27"/>
      <c r="I23" s="28" t="str">
        <f t="shared" si="0"/>
        <v/>
      </c>
      <c r="J23" s="27"/>
      <c r="K23" s="28" t="str">
        <f t="shared" si="1"/>
        <v/>
      </c>
      <c r="L23" s="27"/>
      <c r="M23" s="28" t="str">
        <f t="shared" si="2"/>
        <v/>
      </c>
      <c r="N23" s="27"/>
      <c r="O23" s="27"/>
      <c r="P23" s="27"/>
      <c r="Q23" s="27"/>
      <c r="R23" s="27"/>
      <c r="S23" s="27"/>
      <c r="T23" s="27"/>
      <c r="U23" s="27"/>
      <c r="V23" s="28" t="str">
        <f t="shared" si="3"/>
        <v/>
      </c>
      <c r="W23" s="27"/>
      <c r="X23" s="28" t="str">
        <f t="shared" si="4"/>
        <v/>
      </c>
      <c r="Y23" s="27"/>
      <c r="Z23" s="27"/>
      <c r="AA23" s="27"/>
      <c r="AB23" s="27"/>
      <c r="AC23" s="28" t="str">
        <f t="shared" si="5"/>
        <v/>
      </c>
      <c r="AD23" s="28" t="str">
        <f t="shared" si="6"/>
        <v/>
      </c>
      <c r="AE23" s="28" t="str">
        <f t="shared" si="7"/>
        <v/>
      </c>
      <c r="AF23" s="29" t="str">
        <f t="shared" si="8"/>
        <v/>
      </c>
    </row>
    <row r="24" spans="1:32" ht="19.5" customHeight="1" x14ac:dyDescent="0.2">
      <c r="A24" s="30"/>
      <c r="B24" s="31"/>
      <c r="C24" s="31"/>
      <c r="D24" s="31"/>
      <c r="E24" s="31"/>
      <c r="F24" s="31"/>
      <c r="G24" s="31"/>
      <c r="H24" s="31"/>
      <c r="I24" s="32" t="str">
        <f t="shared" si="0"/>
        <v/>
      </c>
      <c r="J24" s="31"/>
      <c r="K24" s="32" t="str">
        <f t="shared" si="1"/>
        <v/>
      </c>
      <c r="L24" s="31"/>
      <c r="M24" s="32" t="str">
        <f t="shared" si="2"/>
        <v/>
      </c>
      <c r="N24" s="31"/>
      <c r="O24" s="31"/>
      <c r="P24" s="31"/>
      <c r="Q24" s="31"/>
      <c r="R24" s="31"/>
      <c r="S24" s="31"/>
      <c r="T24" s="31"/>
      <c r="U24" s="31"/>
      <c r="V24" s="32" t="str">
        <f t="shared" si="3"/>
        <v/>
      </c>
      <c r="W24" s="31"/>
      <c r="X24" s="32" t="str">
        <f t="shared" si="4"/>
        <v/>
      </c>
      <c r="Y24" s="31"/>
      <c r="Z24" s="31"/>
      <c r="AA24" s="31"/>
      <c r="AB24" s="31"/>
      <c r="AC24" s="32" t="str">
        <f t="shared" si="5"/>
        <v/>
      </c>
      <c r="AD24" s="32" t="str">
        <f t="shared" si="6"/>
        <v/>
      </c>
      <c r="AE24" s="32" t="str">
        <f t="shared" si="7"/>
        <v/>
      </c>
      <c r="AF24" s="33" t="str">
        <f t="shared" si="8"/>
        <v/>
      </c>
    </row>
    <row r="25" spans="1:32" ht="19.5" customHeight="1" x14ac:dyDescent="0.2">
      <c r="A25" s="26"/>
      <c r="B25" s="27"/>
      <c r="C25" s="27"/>
      <c r="D25" s="27"/>
      <c r="E25" s="27"/>
      <c r="F25" s="27"/>
      <c r="G25" s="27"/>
      <c r="H25" s="27"/>
      <c r="I25" s="28" t="str">
        <f t="shared" si="0"/>
        <v/>
      </c>
      <c r="J25" s="27"/>
      <c r="K25" s="28" t="str">
        <f t="shared" si="1"/>
        <v/>
      </c>
      <c r="L25" s="27"/>
      <c r="M25" s="28" t="str">
        <f t="shared" si="2"/>
        <v/>
      </c>
      <c r="N25" s="27"/>
      <c r="O25" s="27"/>
      <c r="P25" s="27"/>
      <c r="Q25" s="27"/>
      <c r="R25" s="27"/>
      <c r="S25" s="27"/>
      <c r="T25" s="27"/>
      <c r="U25" s="27"/>
      <c r="V25" s="28" t="str">
        <f t="shared" si="3"/>
        <v/>
      </c>
      <c r="W25" s="27"/>
      <c r="X25" s="28" t="str">
        <f t="shared" si="4"/>
        <v/>
      </c>
      <c r="Y25" s="27"/>
      <c r="Z25" s="27"/>
      <c r="AA25" s="27"/>
      <c r="AB25" s="27"/>
      <c r="AC25" s="28" t="str">
        <f t="shared" si="5"/>
        <v/>
      </c>
      <c r="AD25" s="28" t="str">
        <f t="shared" si="6"/>
        <v/>
      </c>
      <c r="AE25" s="28" t="str">
        <f t="shared" si="7"/>
        <v/>
      </c>
      <c r="AF25" s="29" t="str">
        <f t="shared" si="8"/>
        <v/>
      </c>
    </row>
    <row r="26" spans="1:32" ht="19.5" customHeight="1" x14ac:dyDescent="0.2">
      <c r="A26" s="30"/>
      <c r="B26" s="31"/>
      <c r="C26" s="31"/>
      <c r="D26" s="31"/>
      <c r="E26" s="31"/>
      <c r="F26" s="31"/>
      <c r="G26" s="31"/>
      <c r="H26" s="31"/>
      <c r="I26" s="32" t="str">
        <f t="shared" si="0"/>
        <v/>
      </c>
      <c r="J26" s="31"/>
      <c r="K26" s="32" t="str">
        <f t="shared" si="1"/>
        <v/>
      </c>
      <c r="L26" s="31"/>
      <c r="M26" s="32" t="str">
        <f t="shared" si="2"/>
        <v/>
      </c>
      <c r="N26" s="31"/>
      <c r="O26" s="31"/>
      <c r="P26" s="31"/>
      <c r="Q26" s="31"/>
      <c r="R26" s="31"/>
      <c r="S26" s="31"/>
      <c r="T26" s="31"/>
      <c r="U26" s="31"/>
      <c r="V26" s="32" t="str">
        <f t="shared" si="3"/>
        <v/>
      </c>
      <c r="W26" s="31"/>
      <c r="X26" s="32" t="str">
        <f t="shared" si="4"/>
        <v/>
      </c>
      <c r="Y26" s="31"/>
      <c r="Z26" s="31"/>
      <c r="AA26" s="31"/>
      <c r="AB26" s="31"/>
      <c r="AC26" s="32" t="str">
        <f t="shared" si="5"/>
        <v/>
      </c>
      <c r="AD26" s="32" t="str">
        <f t="shared" si="6"/>
        <v/>
      </c>
      <c r="AE26" s="32" t="str">
        <f t="shared" si="7"/>
        <v/>
      </c>
      <c r="AF26" s="33" t="str">
        <f t="shared" si="8"/>
        <v/>
      </c>
    </row>
    <row r="27" spans="1:32" ht="19.5" customHeight="1" x14ac:dyDescent="0.2">
      <c r="A27" s="26"/>
      <c r="B27" s="27"/>
      <c r="C27" s="27"/>
      <c r="D27" s="27"/>
      <c r="E27" s="27"/>
      <c r="F27" s="27"/>
      <c r="G27" s="27"/>
      <c r="H27" s="27"/>
      <c r="I27" s="28" t="str">
        <f t="shared" si="0"/>
        <v/>
      </c>
      <c r="J27" s="27"/>
      <c r="K27" s="28" t="str">
        <f t="shared" si="1"/>
        <v/>
      </c>
      <c r="L27" s="27"/>
      <c r="M27" s="28" t="str">
        <f t="shared" si="2"/>
        <v/>
      </c>
      <c r="N27" s="27"/>
      <c r="O27" s="27"/>
      <c r="P27" s="27"/>
      <c r="Q27" s="27"/>
      <c r="R27" s="27"/>
      <c r="S27" s="27"/>
      <c r="T27" s="27"/>
      <c r="U27" s="27"/>
      <c r="V27" s="28" t="str">
        <f t="shared" si="3"/>
        <v/>
      </c>
      <c r="W27" s="27"/>
      <c r="X27" s="28" t="str">
        <f t="shared" si="4"/>
        <v/>
      </c>
      <c r="Y27" s="27"/>
      <c r="Z27" s="27"/>
      <c r="AA27" s="27"/>
      <c r="AB27" s="27"/>
      <c r="AC27" s="28" t="str">
        <f t="shared" si="5"/>
        <v/>
      </c>
      <c r="AD27" s="28" t="str">
        <f t="shared" si="6"/>
        <v/>
      </c>
      <c r="AE27" s="28" t="str">
        <f t="shared" si="7"/>
        <v/>
      </c>
      <c r="AF27" s="29" t="str">
        <f t="shared" si="8"/>
        <v/>
      </c>
    </row>
    <row r="28" spans="1:32" ht="19.5" customHeight="1" x14ac:dyDescent="0.2">
      <c r="A28" s="30"/>
      <c r="B28" s="31"/>
      <c r="C28" s="31"/>
      <c r="D28" s="31"/>
      <c r="E28" s="31"/>
      <c r="F28" s="31"/>
      <c r="G28" s="31"/>
      <c r="H28" s="31"/>
      <c r="I28" s="32" t="str">
        <f t="shared" si="0"/>
        <v/>
      </c>
      <c r="J28" s="31"/>
      <c r="K28" s="32" t="str">
        <f t="shared" si="1"/>
        <v/>
      </c>
      <c r="L28" s="31"/>
      <c r="M28" s="32" t="str">
        <f t="shared" si="2"/>
        <v/>
      </c>
      <c r="N28" s="31"/>
      <c r="O28" s="31"/>
      <c r="P28" s="31"/>
      <c r="Q28" s="31"/>
      <c r="R28" s="31"/>
      <c r="S28" s="31"/>
      <c r="T28" s="31"/>
      <c r="U28" s="31"/>
      <c r="V28" s="32" t="str">
        <f t="shared" si="3"/>
        <v/>
      </c>
      <c r="W28" s="31"/>
      <c r="X28" s="32" t="str">
        <f t="shared" si="4"/>
        <v/>
      </c>
      <c r="Y28" s="31"/>
      <c r="Z28" s="31"/>
      <c r="AA28" s="31"/>
      <c r="AB28" s="31"/>
      <c r="AC28" s="32" t="str">
        <f t="shared" si="5"/>
        <v/>
      </c>
      <c r="AD28" s="32" t="str">
        <f t="shared" si="6"/>
        <v/>
      </c>
      <c r="AE28" s="32" t="str">
        <f t="shared" si="7"/>
        <v/>
      </c>
      <c r="AF28" s="33" t="str">
        <f t="shared" si="8"/>
        <v/>
      </c>
    </row>
    <row r="29" spans="1:32" ht="19.5" customHeight="1" x14ac:dyDescent="0.2">
      <c r="A29" s="26"/>
      <c r="B29" s="27"/>
      <c r="C29" s="27"/>
      <c r="D29" s="27"/>
      <c r="E29" s="27"/>
      <c r="F29" s="27"/>
      <c r="G29" s="27"/>
      <c r="H29" s="27"/>
      <c r="I29" s="28" t="str">
        <f t="shared" si="0"/>
        <v/>
      </c>
      <c r="J29" s="27"/>
      <c r="K29" s="28" t="str">
        <f t="shared" si="1"/>
        <v/>
      </c>
      <c r="L29" s="27"/>
      <c r="M29" s="28" t="str">
        <f t="shared" si="2"/>
        <v/>
      </c>
      <c r="N29" s="27"/>
      <c r="O29" s="27"/>
      <c r="P29" s="27"/>
      <c r="Q29" s="27"/>
      <c r="R29" s="27"/>
      <c r="S29" s="27"/>
      <c r="T29" s="27"/>
      <c r="U29" s="27"/>
      <c r="V29" s="28" t="str">
        <f t="shared" si="3"/>
        <v/>
      </c>
      <c r="W29" s="27"/>
      <c r="X29" s="28" t="str">
        <f t="shared" si="4"/>
        <v/>
      </c>
      <c r="Y29" s="27"/>
      <c r="Z29" s="27"/>
      <c r="AA29" s="27"/>
      <c r="AB29" s="27"/>
      <c r="AC29" s="28" t="str">
        <f t="shared" si="5"/>
        <v/>
      </c>
      <c r="AD29" s="28" t="str">
        <f t="shared" si="6"/>
        <v/>
      </c>
      <c r="AE29" s="28" t="str">
        <f t="shared" si="7"/>
        <v/>
      </c>
      <c r="AF29" s="29" t="str">
        <f t="shared" si="8"/>
        <v/>
      </c>
    </row>
    <row r="30" spans="1:32" ht="19.5" customHeight="1" x14ac:dyDescent="0.2">
      <c r="A30" s="30"/>
      <c r="B30" s="31"/>
      <c r="C30" s="31"/>
      <c r="D30" s="31"/>
      <c r="E30" s="31"/>
      <c r="F30" s="31"/>
      <c r="G30" s="31"/>
      <c r="H30" s="31"/>
      <c r="I30" s="32" t="str">
        <f t="shared" si="0"/>
        <v/>
      </c>
      <c r="J30" s="31"/>
      <c r="K30" s="32" t="str">
        <f t="shared" si="1"/>
        <v/>
      </c>
      <c r="L30" s="31"/>
      <c r="M30" s="32" t="str">
        <f t="shared" si="2"/>
        <v/>
      </c>
      <c r="N30" s="31"/>
      <c r="O30" s="31"/>
      <c r="P30" s="31"/>
      <c r="Q30" s="31"/>
      <c r="R30" s="31"/>
      <c r="S30" s="31"/>
      <c r="T30" s="31"/>
      <c r="U30" s="31"/>
      <c r="V30" s="32" t="str">
        <f t="shared" si="3"/>
        <v/>
      </c>
      <c r="W30" s="31"/>
      <c r="X30" s="32" t="str">
        <f t="shared" si="4"/>
        <v/>
      </c>
      <c r="Y30" s="31"/>
      <c r="Z30" s="31"/>
      <c r="AA30" s="31"/>
      <c r="AB30" s="31"/>
      <c r="AC30" s="32" t="str">
        <f t="shared" si="5"/>
        <v/>
      </c>
      <c r="AD30" s="32" t="str">
        <f t="shared" si="6"/>
        <v/>
      </c>
      <c r="AE30" s="32" t="str">
        <f t="shared" si="7"/>
        <v/>
      </c>
      <c r="AF30" s="33" t="str">
        <f t="shared" si="8"/>
        <v/>
      </c>
    </row>
    <row r="31" spans="1:32" ht="19.5" customHeight="1" x14ac:dyDescent="0.2">
      <c r="A31" s="26"/>
      <c r="B31" s="27"/>
      <c r="C31" s="27"/>
      <c r="D31" s="27"/>
      <c r="E31" s="27"/>
      <c r="F31" s="27"/>
      <c r="G31" s="27"/>
      <c r="H31" s="27"/>
      <c r="I31" s="28" t="str">
        <f t="shared" si="0"/>
        <v/>
      </c>
      <c r="J31" s="27"/>
      <c r="K31" s="28" t="str">
        <f t="shared" si="1"/>
        <v/>
      </c>
      <c r="L31" s="27"/>
      <c r="M31" s="28" t="str">
        <f t="shared" si="2"/>
        <v/>
      </c>
      <c r="N31" s="27"/>
      <c r="O31" s="27"/>
      <c r="P31" s="27"/>
      <c r="Q31" s="27"/>
      <c r="R31" s="27"/>
      <c r="S31" s="27"/>
      <c r="T31" s="27"/>
      <c r="U31" s="27"/>
      <c r="V31" s="28" t="str">
        <f t="shared" si="3"/>
        <v/>
      </c>
      <c r="W31" s="27"/>
      <c r="X31" s="28" t="str">
        <f t="shared" si="4"/>
        <v/>
      </c>
      <c r="Y31" s="27"/>
      <c r="Z31" s="27"/>
      <c r="AA31" s="27"/>
      <c r="AB31" s="27"/>
      <c r="AC31" s="28" t="str">
        <f t="shared" si="5"/>
        <v/>
      </c>
      <c r="AD31" s="28" t="str">
        <f t="shared" si="6"/>
        <v/>
      </c>
      <c r="AE31" s="28" t="str">
        <f t="shared" si="7"/>
        <v/>
      </c>
      <c r="AF31" s="29" t="str">
        <f t="shared" si="8"/>
        <v/>
      </c>
    </row>
    <row r="32" spans="1:32" ht="19.5" customHeight="1" x14ac:dyDescent="0.2">
      <c r="A32" s="30"/>
      <c r="B32" s="31"/>
      <c r="C32" s="31"/>
      <c r="D32" s="31"/>
      <c r="E32" s="31"/>
      <c r="F32" s="31"/>
      <c r="G32" s="31"/>
      <c r="H32" s="31"/>
      <c r="I32" s="32" t="str">
        <f t="shared" si="0"/>
        <v/>
      </c>
      <c r="J32" s="31"/>
      <c r="K32" s="32" t="str">
        <f t="shared" si="1"/>
        <v/>
      </c>
      <c r="L32" s="31"/>
      <c r="M32" s="32" t="str">
        <f t="shared" si="2"/>
        <v/>
      </c>
      <c r="N32" s="31"/>
      <c r="O32" s="31"/>
      <c r="P32" s="31"/>
      <c r="Q32" s="31"/>
      <c r="R32" s="31"/>
      <c r="S32" s="31"/>
      <c r="T32" s="31"/>
      <c r="U32" s="31"/>
      <c r="V32" s="32" t="str">
        <f t="shared" si="3"/>
        <v/>
      </c>
      <c r="W32" s="31"/>
      <c r="X32" s="32" t="str">
        <f t="shared" si="4"/>
        <v/>
      </c>
      <c r="Y32" s="31"/>
      <c r="Z32" s="31"/>
      <c r="AA32" s="31"/>
      <c r="AB32" s="31"/>
      <c r="AC32" s="32" t="str">
        <f t="shared" si="5"/>
        <v/>
      </c>
      <c r="AD32" s="32" t="str">
        <f t="shared" si="6"/>
        <v/>
      </c>
      <c r="AE32" s="32" t="str">
        <f t="shared" si="7"/>
        <v/>
      </c>
      <c r="AF32" s="33" t="str">
        <f t="shared" si="8"/>
        <v/>
      </c>
    </row>
    <row r="33" spans="1:32" ht="19.5" customHeight="1" x14ac:dyDescent="0.2">
      <c r="A33" s="26"/>
      <c r="B33" s="27"/>
      <c r="C33" s="27"/>
      <c r="D33" s="27"/>
      <c r="E33" s="27"/>
      <c r="F33" s="27"/>
      <c r="G33" s="27"/>
      <c r="H33" s="27"/>
      <c r="I33" s="28" t="str">
        <f t="shared" si="0"/>
        <v/>
      </c>
      <c r="J33" s="27"/>
      <c r="K33" s="28" t="str">
        <f t="shared" si="1"/>
        <v/>
      </c>
      <c r="L33" s="27"/>
      <c r="M33" s="28" t="str">
        <f t="shared" si="2"/>
        <v/>
      </c>
      <c r="N33" s="27"/>
      <c r="O33" s="27"/>
      <c r="P33" s="27"/>
      <c r="Q33" s="27"/>
      <c r="R33" s="27"/>
      <c r="S33" s="27"/>
      <c r="T33" s="27"/>
      <c r="U33" s="27"/>
      <c r="V33" s="28" t="str">
        <f t="shared" si="3"/>
        <v/>
      </c>
      <c r="W33" s="27"/>
      <c r="X33" s="28" t="str">
        <f t="shared" si="4"/>
        <v/>
      </c>
      <c r="Y33" s="27"/>
      <c r="Z33" s="27"/>
      <c r="AA33" s="27"/>
      <c r="AB33" s="27"/>
      <c r="AC33" s="28" t="str">
        <f t="shared" si="5"/>
        <v/>
      </c>
      <c r="AD33" s="28" t="str">
        <f t="shared" si="6"/>
        <v/>
      </c>
      <c r="AE33" s="28" t="str">
        <f t="shared" si="7"/>
        <v/>
      </c>
      <c r="AF33" s="29" t="str">
        <f t="shared" si="8"/>
        <v/>
      </c>
    </row>
    <row r="34" spans="1:32" ht="19.5" customHeight="1" x14ac:dyDescent="0.2">
      <c r="A34" s="30"/>
      <c r="B34" s="31"/>
      <c r="C34" s="31"/>
      <c r="D34" s="31"/>
      <c r="E34" s="31"/>
      <c r="F34" s="31"/>
      <c r="G34" s="31"/>
      <c r="H34" s="31"/>
      <c r="I34" s="32" t="str">
        <f t="shared" si="0"/>
        <v/>
      </c>
      <c r="J34" s="31"/>
      <c r="K34" s="32" t="str">
        <f t="shared" si="1"/>
        <v/>
      </c>
      <c r="L34" s="31"/>
      <c r="M34" s="32" t="str">
        <f t="shared" si="2"/>
        <v/>
      </c>
      <c r="N34" s="31"/>
      <c r="O34" s="31"/>
      <c r="P34" s="31"/>
      <c r="Q34" s="31"/>
      <c r="R34" s="31"/>
      <c r="S34" s="31"/>
      <c r="T34" s="31"/>
      <c r="U34" s="31"/>
      <c r="V34" s="32" t="str">
        <f t="shared" si="3"/>
        <v/>
      </c>
      <c r="W34" s="31"/>
      <c r="X34" s="32" t="str">
        <f t="shared" si="4"/>
        <v/>
      </c>
      <c r="Y34" s="31"/>
      <c r="Z34" s="31"/>
      <c r="AA34" s="31"/>
      <c r="AB34" s="31"/>
      <c r="AC34" s="32" t="str">
        <f t="shared" si="5"/>
        <v/>
      </c>
      <c r="AD34" s="32" t="str">
        <f t="shared" si="6"/>
        <v/>
      </c>
      <c r="AE34" s="32" t="str">
        <f t="shared" si="7"/>
        <v/>
      </c>
      <c r="AF34" s="33" t="str">
        <f t="shared" si="8"/>
        <v/>
      </c>
    </row>
  </sheetData>
  <mergeCells count="9">
    <mergeCell ref="Z3:AB3"/>
    <mergeCell ref="AC3:AF3"/>
    <mergeCell ref="A1:Y1"/>
    <mergeCell ref="A2:Y2"/>
    <mergeCell ref="A3:G3"/>
    <mergeCell ref="H3:M3"/>
    <mergeCell ref="N3:P3"/>
    <mergeCell ref="Q3:U3"/>
    <mergeCell ref="V3:Y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showGridLines="0" zoomScaleNormal="100" workbookViewId="0">
      <pane ySplit="5" topLeftCell="A9" activePane="bottomLeft" state="frozen"/>
      <selection pane="bottomLeft" sqref="A1:T1"/>
    </sheetView>
  </sheetViews>
  <sheetFormatPr baseColWidth="10" defaultColWidth="8.6640625" defaultRowHeight="15" customHeight="1" x14ac:dyDescent="0.2"/>
  <cols>
    <col min="1" max="1" width="14" customWidth="1"/>
    <col min="2" max="2" width="6" customWidth="1"/>
    <col min="3" max="3" width="14" customWidth="1"/>
    <col min="4" max="4" width="8.5" bestFit="1" customWidth="1"/>
    <col min="5" max="5" width="14" customWidth="1"/>
    <col min="6" max="6" width="8" customWidth="1"/>
    <col min="7" max="7" width="14" customWidth="1"/>
    <col min="8" max="8" width="8" customWidth="1"/>
    <col min="9" max="9" width="14" customWidth="1"/>
    <col min="10" max="10" width="7" customWidth="1"/>
    <col min="11" max="11" width="14" customWidth="1"/>
    <col min="12" max="12" width="9" customWidth="1"/>
    <col min="13" max="13" width="14" customWidth="1"/>
    <col min="14" max="14" width="8" customWidth="1"/>
    <col min="15" max="15" width="14" customWidth="1"/>
  </cols>
  <sheetData>
    <row r="1" spans="1:20" ht="31.5" customHeight="1" x14ac:dyDescent="0.2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1.75" customHeight="1" x14ac:dyDescent="0.2">
      <c r="A2" s="34" t="s">
        <v>130</v>
      </c>
      <c r="B2" s="34" t="s">
        <v>193</v>
      </c>
      <c r="D2" s="34" t="s">
        <v>194</v>
      </c>
      <c r="E2" s="34" t="s">
        <v>195</v>
      </c>
      <c r="F2" s="34" t="s">
        <v>196</v>
      </c>
      <c r="G2" s="34" t="s">
        <v>197</v>
      </c>
      <c r="H2" s="34" t="s">
        <v>198</v>
      </c>
      <c r="I2" s="34" t="s">
        <v>132</v>
      </c>
      <c r="K2" s="34" t="s">
        <v>199</v>
      </c>
      <c r="M2" s="34" t="s">
        <v>200</v>
      </c>
    </row>
    <row r="3" spans="1:20" ht="21.75" customHeight="1" x14ac:dyDescent="0.2">
      <c r="A3" s="35"/>
      <c r="B3" s="35"/>
      <c r="D3" s="35"/>
      <c r="E3" s="35"/>
      <c r="F3" s="35"/>
      <c r="G3" s="35"/>
      <c r="H3" s="35"/>
      <c r="I3" s="35"/>
      <c r="K3" s="35"/>
      <c r="M3" s="35"/>
    </row>
    <row r="4" spans="1:20" ht="19.5" customHeight="1" x14ac:dyDescent="0.2">
      <c r="A4" s="2" t="s">
        <v>201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0" ht="30" customHeight="1" x14ac:dyDescent="0.2">
      <c r="A5" s="25" t="s">
        <v>202</v>
      </c>
      <c r="B5" s="25" t="s">
        <v>196</v>
      </c>
      <c r="C5" s="25" t="s">
        <v>203</v>
      </c>
      <c r="D5" s="25" t="s">
        <v>204</v>
      </c>
      <c r="E5" s="25" t="s">
        <v>205</v>
      </c>
      <c r="F5" s="25" t="s">
        <v>206</v>
      </c>
      <c r="G5" s="25" t="s">
        <v>207</v>
      </c>
      <c r="H5" s="25" t="s">
        <v>208</v>
      </c>
      <c r="I5" s="25" t="s">
        <v>209</v>
      </c>
      <c r="J5" s="25" t="s">
        <v>210</v>
      </c>
      <c r="K5" s="25" t="s">
        <v>211</v>
      </c>
      <c r="L5" s="25" t="s">
        <v>212</v>
      </c>
      <c r="M5" s="25" t="s">
        <v>213</v>
      </c>
      <c r="N5" s="25" t="s">
        <v>214</v>
      </c>
      <c r="O5" s="25" t="s">
        <v>215</v>
      </c>
    </row>
    <row r="6" spans="1:20" ht="19.5" customHeight="1" x14ac:dyDescent="0.2">
      <c r="A6" s="36" t="s">
        <v>216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0" ht="19.5" customHeight="1" x14ac:dyDescent="0.2">
      <c r="A7" s="36" t="s">
        <v>217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20" ht="19.5" customHeight="1" x14ac:dyDescent="0.2">
      <c r="A8" s="36" t="s">
        <v>218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0" ht="19.5" customHeight="1" x14ac:dyDescent="0.2">
      <c r="A9" s="36" t="s">
        <v>219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20" ht="19.5" customHeight="1" x14ac:dyDescent="0.2">
      <c r="A10" s="36" t="s">
        <v>220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20" ht="19.5" customHeight="1" x14ac:dyDescent="0.2">
      <c r="A11" s="36" t="s">
        <v>221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20" ht="19.5" customHeight="1" x14ac:dyDescent="0.2">
      <c r="A12" s="36" t="s">
        <v>222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20" ht="19.5" customHeight="1" x14ac:dyDescent="0.2">
      <c r="A13" s="36" t="s">
        <v>223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20" ht="19.5" customHeight="1" x14ac:dyDescent="0.2">
      <c r="A14" s="36" t="s">
        <v>224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20" ht="19.5" customHeight="1" x14ac:dyDescent="0.2">
      <c r="A15" s="36" t="s">
        <v>225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20" ht="19.5" customHeight="1" x14ac:dyDescent="0.2">
      <c r="A16" s="36" t="s">
        <v>226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ht="19.5" customHeight="1" x14ac:dyDescent="0.2">
      <c r="A17" s="36" t="s">
        <v>227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9.5" customHeight="1" x14ac:dyDescent="0.2">
      <c r="A18" s="36" t="s">
        <v>228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ht="19.5" customHeight="1" x14ac:dyDescent="0.2">
      <c r="A19" s="36" t="s">
        <v>229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19.5" customHeight="1" x14ac:dyDescent="0.2">
      <c r="A20" s="36" t="s">
        <v>230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ht="19.5" customHeight="1" x14ac:dyDescent="0.2">
      <c r="A21" s="36" t="s">
        <v>231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ht="19.5" customHeight="1" x14ac:dyDescent="0.2">
      <c r="A22" s="36" t="s">
        <v>232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ht="19.5" customHeight="1" x14ac:dyDescent="0.2">
      <c r="A23" s="36" t="s">
        <v>233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1:15" ht="19.5" customHeight="1" x14ac:dyDescent="0.2">
      <c r="A24" s="37" t="s">
        <v>234</v>
      </c>
      <c r="B24" s="38">
        <f>SUM(B6:B23)</f>
        <v>0</v>
      </c>
      <c r="C24" s="38">
        <f>SUM(C6:C23)</f>
        <v>0</v>
      </c>
      <c r="D24" s="38"/>
      <c r="E24" s="38"/>
      <c r="F24" s="38">
        <f t="shared" ref="F24:N24" si="0">SUM(F6:F23)</f>
        <v>0</v>
      </c>
      <c r="G24" s="38">
        <f t="shared" si="0"/>
        <v>0</v>
      </c>
      <c r="H24" s="38">
        <f t="shared" si="0"/>
        <v>0</v>
      </c>
      <c r="I24" s="38">
        <f t="shared" si="0"/>
        <v>0</v>
      </c>
      <c r="J24" s="38">
        <f t="shared" si="0"/>
        <v>0</v>
      </c>
      <c r="K24" s="38">
        <f t="shared" si="0"/>
        <v>0</v>
      </c>
      <c r="L24" s="38">
        <f t="shared" si="0"/>
        <v>0</v>
      </c>
      <c r="M24" s="38">
        <f t="shared" si="0"/>
        <v>0</v>
      </c>
      <c r="N24" s="38">
        <f t="shared" si="0"/>
        <v>0</v>
      </c>
      <c r="O24" s="38"/>
    </row>
    <row r="25" spans="1:15" ht="19.5" customHeight="1" x14ac:dyDescent="0.2">
      <c r="A25" s="2" t="s">
        <v>235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9.5" customHeight="1" x14ac:dyDescent="0.2">
      <c r="A26" s="39" t="s">
        <v>236</v>
      </c>
      <c r="C26" s="39" t="s">
        <v>237</v>
      </c>
      <c r="E26" s="39" t="s">
        <v>238</v>
      </c>
      <c r="G26" s="39" t="s">
        <v>239</v>
      </c>
      <c r="I26" s="39" t="s">
        <v>207</v>
      </c>
      <c r="K26" s="39" t="s">
        <v>240</v>
      </c>
      <c r="M26" s="39" t="s">
        <v>241</v>
      </c>
      <c r="O26" s="39" t="s">
        <v>242</v>
      </c>
    </row>
    <row r="27" spans="1:15" ht="24" customHeight="1" x14ac:dyDescent="0.2">
      <c r="A27" s="40">
        <f>K24</f>
        <v>0</v>
      </c>
      <c r="C27" s="40">
        <f>K24-L3</f>
        <v>0</v>
      </c>
      <c r="E27" s="40">
        <f>N24</f>
        <v>0</v>
      </c>
      <c r="G27" s="40">
        <f>F24</f>
        <v>0</v>
      </c>
      <c r="I27" s="40">
        <f>G24</f>
        <v>0</v>
      </c>
      <c r="K27" s="40">
        <f>J24</f>
        <v>0</v>
      </c>
      <c r="M27" s="40">
        <f>IFERROR(J24/18,"")</f>
        <v>0</v>
      </c>
      <c r="O27" s="40">
        <f>H24</f>
        <v>0</v>
      </c>
    </row>
  </sheetData>
  <mergeCells count="3">
    <mergeCell ref="A1:T1"/>
    <mergeCell ref="A4:O4"/>
    <mergeCell ref="A25:O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showGridLines="0" topLeftCell="B1" zoomScaleNormal="100" workbookViewId="0">
      <pane ySplit="2" topLeftCell="A30" activePane="bottomLeft" state="frozen"/>
      <selection pane="bottomLeft" sqref="A1:R1"/>
    </sheetView>
  </sheetViews>
  <sheetFormatPr baseColWidth="10" defaultColWidth="8.6640625" defaultRowHeight="15" customHeight="1" x14ac:dyDescent="0.2"/>
  <cols>
    <col min="1" max="1" width="28" customWidth="1"/>
    <col min="2" max="2" width="14" customWidth="1"/>
    <col min="3" max="3" width="14" bestFit="1" customWidth="1"/>
    <col min="4" max="4" width="10" customWidth="1"/>
    <col min="6" max="6" width="12" customWidth="1"/>
    <col min="7" max="7" width="20" customWidth="1"/>
    <col min="8" max="8" width="8" customWidth="1"/>
    <col min="9" max="9" width="6" customWidth="1"/>
    <col min="10" max="10" width="10.5" bestFit="1" customWidth="1"/>
    <col min="11" max="11" width="9.83203125" bestFit="1" customWidth="1"/>
    <col min="12" max="12" width="12" customWidth="1"/>
    <col min="13" max="15" width="8" customWidth="1"/>
    <col min="16" max="16" width="9" customWidth="1"/>
    <col min="17" max="17" width="10" customWidth="1"/>
    <col min="18" max="18" width="22" customWidth="1"/>
  </cols>
  <sheetData>
    <row r="1" spans="1:18" ht="31.5" customHeight="1" x14ac:dyDescent="0.2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9.5" customHeight="1" x14ac:dyDescent="0.2">
      <c r="A2" s="2" t="s">
        <v>244</v>
      </c>
      <c r="B2" s="2"/>
      <c r="C2" s="2"/>
      <c r="D2" s="2"/>
      <c r="F2" s="2" t="s">
        <v>245</v>
      </c>
      <c r="G2" s="2"/>
      <c r="H2" s="2"/>
      <c r="I2" s="2"/>
      <c r="J2" s="2"/>
      <c r="K2" s="2"/>
      <c r="L2" s="2"/>
      <c r="M2" s="2"/>
      <c r="N2" s="2"/>
    </row>
    <row r="3" spans="1:18" ht="19.5" customHeight="1" x14ac:dyDescent="0.2">
      <c r="A3" s="39" t="s">
        <v>130</v>
      </c>
      <c r="B3" s="39" t="s">
        <v>194</v>
      </c>
      <c r="C3" s="39" t="s">
        <v>10</v>
      </c>
      <c r="D3" s="39" t="s">
        <v>246</v>
      </c>
      <c r="F3" s="25" t="s">
        <v>247</v>
      </c>
      <c r="G3" s="25" t="s">
        <v>248</v>
      </c>
      <c r="H3" s="25" t="s">
        <v>249</v>
      </c>
      <c r="I3" s="25" t="s">
        <v>250</v>
      </c>
      <c r="J3" s="25" t="s">
        <v>251</v>
      </c>
      <c r="K3" s="25" t="s">
        <v>252</v>
      </c>
      <c r="L3" s="25" t="s">
        <v>253</v>
      </c>
      <c r="M3" s="25" t="s">
        <v>254</v>
      </c>
      <c r="N3" s="25" t="s">
        <v>255</v>
      </c>
    </row>
    <row r="4" spans="1:18" ht="19.5" customHeight="1" x14ac:dyDescent="0.2">
      <c r="A4" s="26" t="s">
        <v>256</v>
      </c>
      <c r="B4" s="27">
        <v>36.4</v>
      </c>
      <c r="C4" s="27" t="s">
        <v>257</v>
      </c>
      <c r="D4" s="27"/>
      <c r="F4" s="36" t="s">
        <v>258</v>
      </c>
      <c r="G4" s="27"/>
      <c r="H4" s="27"/>
      <c r="I4" s="27"/>
      <c r="J4" s="27"/>
      <c r="K4" s="27"/>
      <c r="L4" s="27"/>
      <c r="M4" s="27"/>
      <c r="N4" s="27"/>
    </row>
    <row r="5" spans="1:18" ht="19.5" customHeight="1" x14ac:dyDescent="0.2">
      <c r="A5" s="30" t="s">
        <v>259</v>
      </c>
      <c r="B5" s="31">
        <v>52.8</v>
      </c>
      <c r="C5" s="31" t="s">
        <v>260</v>
      </c>
      <c r="D5" s="41">
        <f>B5-B4</f>
        <v>16.399999999999999</v>
      </c>
      <c r="F5" s="36" t="s">
        <v>261</v>
      </c>
      <c r="G5" s="31"/>
      <c r="H5" s="31"/>
      <c r="I5" s="31"/>
      <c r="J5" s="31"/>
      <c r="K5" s="31"/>
      <c r="L5" s="31"/>
      <c r="M5" s="31"/>
      <c r="N5" s="31"/>
    </row>
    <row r="6" spans="1:18" ht="19.5" customHeight="1" x14ac:dyDescent="0.2">
      <c r="A6" s="26" t="s">
        <v>262</v>
      </c>
      <c r="B6" s="27">
        <v>44.6</v>
      </c>
      <c r="C6" s="27" t="s">
        <v>263</v>
      </c>
      <c r="D6" s="42">
        <f>B6-B5</f>
        <v>-8.1999999999999957</v>
      </c>
      <c r="F6" s="36" t="s">
        <v>264</v>
      </c>
      <c r="G6" s="27"/>
      <c r="H6" s="27"/>
      <c r="I6" s="27"/>
      <c r="J6" s="27"/>
      <c r="K6" s="27"/>
      <c r="L6" s="27"/>
      <c r="M6" s="27"/>
      <c r="N6" s="27"/>
    </row>
    <row r="7" spans="1:18" ht="19.5" customHeight="1" x14ac:dyDescent="0.2">
      <c r="A7" s="30" t="s">
        <v>265</v>
      </c>
      <c r="B7" s="31">
        <v>27.6</v>
      </c>
      <c r="C7" s="31" t="s">
        <v>266</v>
      </c>
      <c r="D7" s="41">
        <f>B7-B6</f>
        <v>-17</v>
      </c>
      <c r="F7" s="36" t="s">
        <v>267</v>
      </c>
      <c r="G7" s="31"/>
      <c r="H7" s="31"/>
      <c r="I7" s="31"/>
      <c r="J7" s="31"/>
      <c r="K7" s="31"/>
      <c r="L7" s="31"/>
      <c r="M7" s="31"/>
      <c r="N7" s="31"/>
    </row>
    <row r="8" spans="1:18" ht="19.5" customHeight="1" x14ac:dyDescent="0.2">
      <c r="A8" s="26" t="s">
        <v>268</v>
      </c>
      <c r="B8" s="27">
        <v>27.7</v>
      </c>
      <c r="C8" s="27" t="s">
        <v>258</v>
      </c>
      <c r="D8" s="42">
        <f>B8-B7</f>
        <v>9.9999999999997868E-2</v>
      </c>
      <c r="F8" s="36" t="s">
        <v>269</v>
      </c>
      <c r="G8" s="27"/>
      <c r="H8" s="27"/>
      <c r="I8" s="27"/>
      <c r="J8" s="27"/>
      <c r="K8" s="27"/>
      <c r="L8" s="27"/>
      <c r="M8" s="27"/>
      <c r="N8" s="27"/>
    </row>
    <row r="9" spans="1:18" ht="19.5" customHeight="1" x14ac:dyDescent="0.2">
      <c r="A9" s="43"/>
      <c r="B9" s="44"/>
      <c r="C9" s="44"/>
      <c r="D9" s="45" t="str">
        <f t="shared" ref="D9:D18" si="0">IF(B9&lt;&gt;"",B9-B8,"")</f>
        <v/>
      </c>
      <c r="F9" s="36" t="s">
        <v>270</v>
      </c>
      <c r="G9" s="31"/>
      <c r="H9" s="31"/>
      <c r="I9" s="31"/>
      <c r="J9" s="31"/>
      <c r="K9" s="31"/>
      <c r="L9" s="31"/>
      <c r="M9" s="31"/>
      <c r="N9" s="31"/>
    </row>
    <row r="10" spans="1:18" ht="19.5" customHeight="1" x14ac:dyDescent="0.2">
      <c r="A10" s="46"/>
      <c r="B10" s="35"/>
      <c r="C10" s="35"/>
      <c r="D10" s="47" t="str">
        <f t="shared" si="0"/>
        <v/>
      </c>
      <c r="F10" s="36" t="s">
        <v>271</v>
      </c>
      <c r="G10" s="27"/>
      <c r="H10" s="27"/>
      <c r="I10" s="27"/>
      <c r="J10" s="27"/>
      <c r="K10" s="27"/>
      <c r="L10" s="27"/>
      <c r="M10" s="27"/>
      <c r="N10" s="27"/>
    </row>
    <row r="11" spans="1:18" ht="19.5" customHeight="1" x14ac:dyDescent="0.2">
      <c r="A11" s="43"/>
      <c r="B11" s="44"/>
      <c r="C11" s="44"/>
      <c r="D11" s="45" t="str">
        <f t="shared" si="0"/>
        <v/>
      </c>
      <c r="F11" s="36" t="s">
        <v>272</v>
      </c>
      <c r="G11" s="31"/>
      <c r="H11" s="31"/>
      <c r="I11" s="31"/>
      <c r="J11" s="31"/>
      <c r="K11" s="31"/>
      <c r="L11" s="31"/>
      <c r="M11" s="31"/>
      <c r="N11" s="31"/>
    </row>
    <row r="12" spans="1:18" ht="19.5" customHeight="1" x14ac:dyDescent="0.2">
      <c r="A12" s="46"/>
      <c r="B12" s="35"/>
      <c r="C12" s="35"/>
      <c r="D12" s="47" t="str">
        <f t="shared" si="0"/>
        <v/>
      </c>
      <c r="F12" s="36" t="s">
        <v>273</v>
      </c>
      <c r="G12" s="27"/>
      <c r="H12" s="27"/>
      <c r="I12" s="27"/>
      <c r="J12" s="27"/>
      <c r="K12" s="27"/>
      <c r="L12" s="27"/>
      <c r="M12" s="27"/>
      <c r="N12" s="27"/>
    </row>
    <row r="13" spans="1:18" ht="19.5" customHeight="1" x14ac:dyDescent="0.2">
      <c r="A13" s="43"/>
      <c r="B13" s="44"/>
      <c r="C13" s="44"/>
      <c r="D13" s="45" t="str">
        <f t="shared" si="0"/>
        <v/>
      </c>
      <c r="F13" s="36" t="s">
        <v>274</v>
      </c>
      <c r="G13" s="31"/>
      <c r="H13" s="31"/>
      <c r="I13" s="31"/>
      <c r="J13" s="31"/>
      <c r="K13" s="31"/>
      <c r="L13" s="31"/>
      <c r="M13" s="31"/>
      <c r="N13" s="31"/>
    </row>
    <row r="14" spans="1:18" ht="19.5" customHeight="1" x14ac:dyDescent="0.2">
      <c r="A14" s="46"/>
      <c r="B14" s="35"/>
      <c r="C14" s="35"/>
      <c r="D14" s="47" t="str">
        <f t="shared" si="0"/>
        <v/>
      </c>
      <c r="F14" s="36" t="s">
        <v>275</v>
      </c>
      <c r="G14" s="27"/>
      <c r="H14" s="27"/>
      <c r="I14" s="27"/>
      <c r="J14" s="27"/>
      <c r="K14" s="27"/>
      <c r="L14" s="27"/>
      <c r="M14" s="27"/>
      <c r="N14" s="27"/>
    </row>
    <row r="15" spans="1:18" ht="19.5" customHeight="1" x14ac:dyDescent="0.2">
      <c r="A15" s="43"/>
      <c r="B15" s="44"/>
      <c r="C15" s="44"/>
      <c r="D15" s="45" t="str">
        <f t="shared" si="0"/>
        <v/>
      </c>
      <c r="F15" s="36" t="s">
        <v>276</v>
      </c>
      <c r="G15" s="31"/>
      <c r="H15" s="31"/>
      <c r="I15" s="31"/>
      <c r="J15" s="31"/>
      <c r="K15" s="31"/>
      <c r="L15" s="31"/>
      <c r="M15" s="31"/>
      <c r="N15" s="31"/>
    </row>
    <row r="16" spans="1:18" ht="18" customHeight="1" x14ac:dyDescent="0.2">
      <c r="A16" s="46"/>
      <c r="B16" s="35"/>
      <c r="C16" s="35"/>
      <c r="D16" s="47" t="str">
        <f t="shared" si="0"/>
        <v/>
      </c>
    </row>
    <row r="17" spans="1:18" ht="18" customHeight="1" x14ac:dyDescent="0.2">
      <c r="A17" s="43"/>
      <c r="B17" s="44"/>
      <c r="C17" s="44"/>
      <c r="D17" s="45" t="str">
        <f t="shared" si="0"/>
        <v/>
      </c>
    </row>
    <row r="18" spans="1:18" ht="18" customHeight="1" x14ac:dyDescent="0.2">
      <c r="A18" s="46"/>
      <c r="B18" s="35"/>
      <c r="C18" s="35"/>
      <c r="D18" s="47" t="str">
        <f t="shared" si="0"/>
        <v/>
      </c>
    </row>
    <row r="20" spans="1:18" ht="19.5" customHeight="1" x14ac:dyDescent="0.2">
      <c r="A20" s="1" t="s">
        <v>277</v>
      </c>
      <c r="B20" s="1"/>
      <c r="C20" s="1"/>
      <c r="D20" s="1"/>
      <c r="E20" s="1"/>
      <c r="F20" s="2" t="s">
        <v>278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9.5" customHeight="1" x14ac:dyDescent="0.2">
      <c r="A21" s="34" t="s">
        <v>279</v>
      </c>
      <c r="B21" s="34" t="s">
        <v>280</v>
      </c>
      <c r="C21" s="34" t="s">
        <v>281</v>
      </c>
      <c r="D21" s="34" t="s">
        <v>282</v>
      </c>
      <c r="F21" s="25" t="s">
        <v>130</v>
      </c>
      <c r="G21" s="25" t="s">
        <v>193</v>
      </c>
      <c r="H21" s="25" t="s">
        <v>131</v>
      </c>
      <c r="I21" s="25" t="s">
        <v>196</v>
      </c>
      <c r="J21" s="25" t="s">
        <v>283</v>
      </c>
      <c r="K21" s="25" t="s">
        <v>284</v>
      </c>
      <c r="L21" s="25" t="s">
        <v>285</v>
      </c>
      <c r="M21" s="25" t="s">
        <v>210</v>
      </c>
      <c r="N21" s="25" t="s">
        <v>286</v>
      </c>
      <c r="O21" s="25" t="s">
        <v>207</v>
      </c>
      <c r="P21" s="25" t="s">
        <v>242</v>
      </c>
      <c r="Q21" s="25" t="s">
        <v>287</v>
      </c>
      <c r="R21" s="25" t="s">
        <v>10</v>
      </c>
    </row>
    <row r="22" spans="1:18" ht="18" customHeight="1" x14ac:dyDescent="0.2">
      <c r="A22" s="48" t="s">
        <v>194</v>
      </c>
      <c r="B22" s="31" t="s">
        <v>288</v>
      </c>
      <c r="C22" s="31" t="s">
        <v>289</v>
      </c>
      <c r="D22" s="31" t="s">
        <v>290</v>
      </c>
      <c r="F22" s="26" t="s">
        <v>256</v>
      </c>
      <c r="G22" s="27" t="s">
        <v>291</v>
      </c>
      <c r="H22" s="27">
        <v>36.4</v>
      </c>
      <c r="I22" s="27">
        <v>27</v>
      </c>
      <c r="J22" s="27">
        <v>30</v>
      </c>
      <c r="K22" s="27"/>
      <c r="L22" s="27">
        <v>18</v>
      </c>
      <c r="M22" s="27"/>
      <c r="N22" s="27"/>
      <c r="O22" s="27"/>
      <c r="P22" s="27">
        <v>0</v>
      </c>
      <c r="Q22" s="27"/>
      <c r="R22" s="27" t="s">
        <v>292</v>
      </c>
    </row>
    <row r="23" spans="1:18" ht="18" customHeight="1" x14ac:dyDescent="0.2">
      <c r="A23" s="49" t="s">
        <v>293</v>
      </c>
      <c r="B23" s="27" t="s">
        <v>294</v>
      </c>
      <c r="C23" s="27" t="s">
        <v>295</v>
      </c>
      <c r="D23" s="27" t="s">
        <v>290</v>
      </c>
      <c r="F23" s="30" t="s">
        <v>296</v>
      </c>
      <c r="G23" s="31" t="s">
        <v>291</v>
      </c>
      <c r="H23" s="31">
        <v>36.4</v>
      </c>
      <c r="I23" s="31">
        <v>27</v>
      </c>
      <c r="J23" s="31">
        <v>36</v>
      </c>
      <c r="K23" s="31"/>
      <c r="L23" s="31">
        <v>12</v>
      </c>
      <c r="M23" s="31"/>
      <c r="N23" s="31"/>
      <c r="O23" s="31"/>
      <c r="P23" s="31">
        <v>0</v>
      </c>
      <c r="Q23" s="31"/>
      <c r="R23" s="31"/>
    </row>
    <row r="24" spans="1:18" ht="18" customHeight="1" x14ac:dyDescent="0.2">
      <c r="A24" s="48" t="s">
        <v>297</v>
      </c>
      <c r="B24" s="31" t="s">
        <v>54</v>
      </c>
      <c r="C24" s="31" t="s">
        <v>298</v>
      </c>
      <c r="D24" s="31" t="s">
        <v>290</v>
      </c>
      <c r="F24" s="26" t="s">
        <v>299</v>
      </c>
      <c r="G24" s="27" t="s">
        <v>291</v>
      </c>
      <c r="H24" s="27">
        <v>36.4</v>
      </c>
      <c r="I24" s="27">
        <v>27</v>
      </c>
      <c r="J24" s="27">
        <v>36</v>
      </c>
      <c r="K24" s="27"/>
      <c r="L24" s="27">
        <v>12</v>
      </c>
      <c r="M24" s="27"/>
      <c r="N24" s="27"/>
      <c r="O24" s="27"/>
      <c r="P24" s="27">
        <v>0</v>
      </c>
      <c r="Q24" s="27"/>
      <c r="R24" s="27"/>
    </row>
    <row r="25" spans="1:18" ht="18" customHeight="1" x14ac:dyDescent="0.2">
      <c r="A25" s="49" t="s">
        <v>300</v>
      </c>
      <c r="B25" s="27" t="s">
        <v>301</v>
      </c>
      <c r="C25" s="27" t="s">
        <v>302</v>
      </c>
      <c r="D25" s="27" t="s">
        <v>290</v>
      </c>
      <c r="F25" s="30" t="s">
        <v>303</v>
      </c>
      <c r="G25" s="31" t="s">
        <v>291</v>
      </c>
      <c r="H25" s="31">
        <v>36.4</v>
      </c>
      <c r="I25" s="31">
        <v>27</v>
      </c>
      <c r="J25" s="31">
        <v>39</v>
      </c>
      <c r="K25" s="31"/>
      <c r="L25" s="31">
        <v>10</v>
      </c>
      <c r="M25" s="31"/>
      <c r="N25" s="31"/>
      <c r="O25" s="31"/>
      <c r="P25" s="31">
        <v>0</v>
      </c>
      <c r="Q25" s="31"/>
      <c r="R25" s="31"/>
    </row>
    <row r="26" spans="1:18" ht="18" customHeight="1" x14ac:dyDescent="0.2">
      <c r="A26" s="48" t="s">
        <v>304</v>
      </c>
      <c r="B26" s="31" t="s">
        <v>54</v>
      </c>
      <c r="C26" s="31" t="s">
        <v>305</v>
      </c>
      <c r="D26" s="31" t="s">
        <v>306</v>
      </c>
      <c r="F26" s="26" t="s">
        <v>307</v>
      </c>
      <c r="G26" s="27" t="s">
        <v>308</v>
      </c>
      <c r="H26" s="27">
        <v>52.8</v>
      </c>
      <c r="I26" s="27">
        <v>27</v>
      </c>
      <c r="J26" s="27">
        <v>36</v>
      </c>
      <c r="K26" s="27"/>
      <c r="L26" s="27">
        <v>18</v>
      </c>
      <c r="M26" s="27"/>
      <c r="N26" s="27"/>
      <c r="O26" s="27"/>
      <c r="P26" s="27">
        <v>0</v>
      </c>
      <c r="Q26" s="27"/>
      <c r="R26" s="27"/>
    </row>
    <row r="27" spans="1:18" ht="18" customHeight="1" x14ac:dyDescent="0.2">
      <c r="A27" s="49" t="s">
        <v>309</v>
      </c>
      <c r="B27" s="27" t="s">
        <v>54</v>
      </c>
      <c r="C27" s="27" t="s">
        <v>310</v>
      </c>
      <c r="D27" s="27" t="s">
        <v>306</v>
      </c>
      <c r="F27" s="30" t="s">
        <v>311</v>
      </c>
      <c r="G27" s="31" t="s">
        <v>312</v>
      </c>
      <c r="H27" s="31">
        <v>44.6</v>
      </c>
      <c r="I27" s="31">
        <v>29</v>
      </c>
      <c r="J27" s="31">
        <v>37</v>
      </c>
      <c r="K27" s="31"/>
      <c r="L27" s="31">
        <v>18</v>
      </c>
      <c r="M27" s="31"/>
      <c r="N27" s="31"/>
      <c r="O27" s="31"/>
      <c r="P27" s="31">
        <v>0</v>
      </c>
      <c r="Q27" s="31"/>
      <c r="R27" s="31" t="s">
        <v>313</v>
      </c>
    </row>
    <row r="28" spans="1:18" ht="18" customHeight="1" x14ac:dyDescent="0.2">
      <c r="A28" s="48" t="s">
        <v>314</v>
      </c>
      <c r="B28" s="31" t="s">
        <v>54</v>
      </c>
      <c r="C28" s="31" t="s">
        <v>315</v>
      </c>
      <c r="D28" s="31" t="s">
        <v>306</v>
      </c>
      <c r="F28" s="26" t="s">
        <v>316</v>
      </c>
      <c r="G28" s="27" t="s">
        <v>317</v>
      </c>
      <c r="H28" s="27">
        <v>36.6</v>
      </c>
      <c r="I28" s="27">
        <v>36</v>
      </c>
      <c r="J28" s="27">
        <v>56</v>
      </c>
      <c r="K28" s="27"/>
      <c r="L28" s="27">
        <v>15</v>
      </c>
      <c r="M28" s="27"/>
      <c r="N28" s="27"/>
      <c r="O28" s="27"/>
      <c r="P28" s="27">
        <v>0</v>
      </c>
      <c r="Q28" s="27"/>
      <c r="R28" s="27" t="s">
        <v>318</v>
      </c>
    </row>
    <row r="29" spans="1:18" ht="18" customHeight="1" x14ac:dyDescent="0.2">
      <c r="A29" s="49" t="s">
        <v>319</v>
      </c>
      <c r="B29" s="27" t="s">
        <v>54</v>
      </c>
      <c r="C29" s="27" t="s">
        <v>320</v>
      </c>
      <c r="D29" s="27" t="s">
        <v>321</v>
      </c>
      <c r="F29" s="30" t="s">
        <v>322</v>
      </c>
      <c r="G29" s="31" t="s">
        <v>323</v>
      </c>
      <c r="H29" s="31">
        <v>27.6</v>
      </c>
      <c r="I29" s="31">
        <v>36</v>
      </c>
      <c r="J29" s="31">
        <v>120</v>
      </c>
      <c r="K29" s="31"/>
      <c r="L29" s="31"/>
      <c r="M29" s="31"/>
      <c r="N29" s="31"/>
      <c r="O29" s="31"/>
      <c r="P29" s="31">
        <v>0</v>
      </c>
      <c r="Q29" s="31"/>
      <c r="R29" s="31" t="s">
        <v>324</v>
      </c>
    </row>
    <row r="30" spans="1:18" ht="18" customHeight="1" x14ac:dyDescent="0.2">
      <c r="F30" s="26" t="s">
        <v>325</v>
      </c>
      <c r="G30" s="27" t="s">
        <v>308</v>
      </c>
      <c r="H30" s="27">
        <v>27.6</v>
      </c>
      <c r="I30" s="27">
        <v>27</v>
      </c>
      <c r="J30" s="27">
        <v>37</v>
      </c>
      <c r="K30" s="27"/>
      <c r="L30" s="27"/>
      <c r="M30" s="27"/>
      <c r="N30" s="27"/>
      <c r="O30" s="27"/>
      <c r="P30" s="27">
        <v>0</v>
      </c>
      <c r="Q30" s="27"/>
      <c r="R30" s="27"/>
    </row>
    <row r="31" spans="1:18" ht="18" customHeight="1" x14ac:dyDescent="0.2">
      <c r="F31" s="30" t="s">
        <v>326</v>
      </c>
      <c r="G31" s="31" t="s">
        <v>327</v>
      </c>
      <c r="H31" s="31">
        <v>30.8</v>
      </c>
      <c r="I31" s="31">
        <v>36</v>
      </c>
      <c r="J31" s="31">
        <v>65</v>
      </c>
      <c r="K31" s="31"/>
      <c r="L31" s="31"/>
      <c r="M31" s="31"/>
      <c r="N31" s="31"/>
      <c r="O31" s="31"/>
      <c r="P31" s="31">
        <v>0</v>
      </c>
      <c r="Q31" s="31"/>
      <c r="R31" s="31"/>
    </row>
    <row r="32" spans="1:18" ht="18" customHeight="1" x14ac:dyDescent="0.2">
      <c r="F32" s="4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</row>
    <row r="33" spans="6:18" ht="18" customHeight="1" x14ac:dyDescent="0.2">
      <c r="F33" s="4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6:18" ht="18" customHeight="1" x14ac:dyDescent="0.2"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</row>
    <row r="35" spans="6:18" ht="18" customHeight="1" x14ac:dyDescent="0.2">
      <c r="F35" s="46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6" spans="6:18" ht="18" customHeight="1" x14ac:dyDescent="0.2">
      <c r="F36" s="4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</row>
    <row r="37" spans="6:18" ht="18" customHeight="1" x14ac:dyDescent="0.2">
      <c r="F37" s="4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</row>
    <row r="38" spans="6:18" ht="18" customHeight="1" x14ac:dyDescent="0.2">
      <c r="F38" s="43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6:18" ht="18" customHeight="1" x14ac:dyDescent="0.2">
      <c r="F39" s="4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</row>
    <row r="40" spans="6:18" ht="18" customHeight="1" x14ac:dyDescent="0.2">
      <c r="F40" s="43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</row>
    <row r="41" spans="6:18" ht="18" customHeight="1" x14ac:dyDescent="0.2">
      <c r="F41" s="46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</row>
    <row r="42" spans="6:18" ht="18" customHeight="1" x14ac:dyDescent="0.2">
      <c r="F42" s="43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</row>
    <row r="43" spans="6:18" ht="18" customHeight="1" x14ac:dyDescent="0.2">
      <c r="F43" s="46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</row>
    <row r="44" spans="6:18" ht="18" customHeight="1" x14ac:dyDescent="0.2">
      <c r="F44" s="4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</row>
    <row r="45" spans="6:18" ht="18" customHeight="1" x14ac:dyDescent="0.2">
      <c r="F45" s="46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</row>
    <row r="46" spans="6:18" ht="18" customHeight="1" x14ac:dyDescent="0.2">
      <c r="F46" s="43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</row>
    <row r="47" spans="6:18" ht="18" customHeight="1" x14ac:dyDescent="0.2">
      <c r="F47" s="46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</row>
    <row r="48" spans="6:18" ht="18" customHeight="1" x14ac:dyDescent="0.2">
      <c r="F48" s="43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</row>
    <row r="49" spans="6:18" ht="18" customHeight="1" x14ac:dyDescent="0.2">
      <c r="F49" s="46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  <row r="50" spans="6:18" ht="18" customHeight="1" x14ac:dyDescent="0.2">
      <c r="F50" s="43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6:18" ht="18" customHeight="1" x14ac:dyDescent="0.2">
      <c r="F51" s="46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</row>
  </sheetData>
  <mergeCells count="5">
    <mergeCell ref="A1:R1"/>
    <mergeCell ref="A2:D2"/>
    <mergeCell ref="F2:N2"/>
    <mergeCell ref="A20:E20"/>
    <mergeCell ref="F20:R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showGridLines="0" tabSelected="1" zoomScaleNormal="100" workbookViewId="0">
      <pane ySplit="2" topLeftCell="A5" activePane="bottomLeft" state="frozen"/>
      <selection pane="bottomLeft" activeCell="C14" sqref="C14"/>
    </sheetView>
  </sheetViews>
  <sheetFormatPr baseColWidth="10" defaultColWidth="8.6640625" defaultRowHeight="15" customHeight="1" x14ac:dyDescent="0.2"/>
  <cols>
    <col min="1" max="1" width="14" customWidth="1"/>
    <col min="2" max="2" width="13.33203125" bestFit="1" customWidth="1"/>
    <col min="3" max="5" width="11" customWidth="1"/>
    <col min="6" max="6" width="23.1640625" bestFit="1" customWidth="1"/>
    <col min="7" max="7" width="18" customWidth="1"/>
    <col min="8" max="8" width="28" customWidth="1"/>
    <col min="9" max="9" width="10" customWidth="1"/>
    <col min="10" max="10" width="30" customWidth="1"/>
  </cols>
  <sheetData>
    <row r="1" spans="1:10" ht="30" customHeight="1" x14ac:dyDescent="0.2">
      <c r="A1" s="55" t="s">
        <v>328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21.75" customHeight="1" x14ac:dyDescent="0.2">
      <c r="A2" s="15" t="s">
        <v>147</v>
      </c>
      <c r="B2" s="15" t="s">
        <v>329</v>
      </c>
      <c r="C2" s="15" t="s">
        <v>330</v>
      </c>
      <c r="D2" s="15" t="s">
        <v>331</v>
      </c>
      <c r="E2" s="15" t="s">
        <v>332</v>
      </c>
      <c r="F2" s="15" t="s">
        <v>333</v>
      </c>
      <c r="G2" s="15" t="s">
        <v>334</v>
      </c>
      <c r="H2" s="15" t="s">
        <v>335</v>
      </c>
      <c r="I2" s="15" t="s">
        <v>336</v>
      </c>
      <c r="J2" s="15" t="s">
        <v>10</v>
      </c>
    </row>
    <row r="3" spans="1:10" ht="19.5" customHeight="1" x14ac:dyDescent="0.2">
      <c r="A3" s="27" t="s">
        <v>337</v>
      </c>
      <c r="B3" s="27" t="s">
        <v>338</v>
      </c>
      <c r="C3" s="27">
        <v>89</v>
      </c>
      <c r="D3" s="27">
        <v>70</v>
      </c>
      <c r="E3" s="27">
        <v>137</v>
      </c>
      <c r="F3" s="27">
        <v>146</v>
      </c>
      <c r="G3" s="50" t="s">
        <v>339</v>
      </c>
      <c r="H3" s="50" t="s">
        <v>340</v>
      </c>
      <c r="I3" s="50" t="s">
        <v>341</v>
      </c>
      <c r="J3" s="50" t="s">
        <v>342</v>
      </c>
    </row>
    <row r="4" spans="1:10" ht="19.5" customHeight="1" x14ac:dyDescent="0.2">
      <c r="A4" s="31" t="s">
        <v>343</v>
      </c>
      <c r="B4" s="31" t="s">
        <v>338</v>
      </c>
      <c r="C4" s="31">
        <v>82</v>
      </c>
      <c r="D4" s="31">
        <v>129</v>
      </c>
      <c r="E4" s="31">
        <v>123</v>
      </c>
      <c r="F4" s="31">
        <v>133</v>
      </c>
      <c r="G4" s="51" t="s">
        <v>344</v>
      </c>
      <c r="H4" s="51" t="s">
        <v>345</v>
      </c>
      <c r="I4" s="51" t="s">
        <v>346</v>
      </c>
      <c r="J4" s="51" t="s">
        <v>347</v>
      </c>
    </row>
    <row r="5" spans="1:10" ht="19.5" customHeight="1" x14ac:dyDescent="0.2">
      <c r="A5" s="38" t="s">
        <v>348</v>
      </c>
      <c r="B5" s="52" t="s">
        <v>349</v>
      </c>
      <c r="C5" s="52">
        <v>107</v>
      </c>
      <c r="D5" s="52">
        <v>118</v>
      </c>
      <c r="E5" s="52">
        <v>114</v>
      </c>
      <c r="F5" s="52">
        <v>124</v>
      </c>
      <c r="G5" s="53" t="s">
        <v>350</v>
      </c>
      <c r="H5" s="53" t="s">
        <v>351</v>
      </c>
      <c r="I5" s="53" t="s">
        <v>352</v>
      </c>
      <c r="J5" s="53" t="s">
        <v>353</v>
      </c>
    </row>
    <row r="6" spans="1:10" ht="19.5" customHeight="1" x14ac:dyDescent="0.2">
      <c r="A6" s="38" t="s">
        <v>354</v>
      </c>
      <c r="B6" s="52" t="s">
        <v>338</v>
      </c>
      <c r="C6" s="52">
        <v>97</v>
      </c>
      <c r="D6" s="52">
        <v>140</v>
      </c>
      <c r="E6" s="52">
        <v>110</v>
      </c>
      <c r="F6" s="52">
        <v>119</v>
      </c>
      <c r="G6" s="53" t="s">
        <v>355</v>
      </c>
      <c r="H6" s="53" t="s">
        <v>356</v>
      </c>
      <c r="I6" s="53" t="s">
        <v>357</v>
      </c>
      <c r="J6" s="53" t="s">
        <v>358</v>
      </c>
    </row>
    <row r="7" spans="1:10" ht="19.5" customHeight="1" x14ac:dyDescent="0.2">
      <c r="A7" s="27" t="s">
        <v>359</v>
      </c>
      <c r="B7" s="27" t="s">
        <v>54</v>
      </c>
      <c r="C7" s="27">
        <v>96</v>
      </c>
      <c r="D7" s="27" t="s">
        <v>54</v>
      </c>
      <c r="E7" s="27">
        <v>96</v>
      </c>
      <c r="F7" s="27">
        <v>101</v>
      </c>
      <c r="G7" s="50" t="s">
        <v>360</v>
      </c>
      <c r="H7" s="50" t="s">
        <v>361</v>
      </c>
      <c r="I7" s="50" t="s">
        <v>362</v>
      </c>
      <c r="J7" s="50" t="s">
        <v>363</v>
      </c>
    </row>
    <row r="8" spans="1:10" ht="19.5" customHeight="1" x14ac:dyDescent="0.2">
      <c r="A8" s="31" t="s">
        <v>364</v>
      </c>
      <c r="B8" s="31" t="s">
        <v>365</v>
      </c>
      <c r="C8" s="31">
        <v>100</v>
      </c>
      <c r="D8" s="31">
        <v>138</v>
      </c>
      <c r="E8" s="31">
        <v>101</v>
      </c>
      <c r="F8" s="31">
        <v>110</v>
      </c>
      <c r="G8" s="51" t="s">
        <v>366</v>
      </c>
      <c r="H8" s="51" t="s">
        <v>367</v>
      </c>
      <c r="I8" s="51" t="s">
        <v>362</v>
      </c>
      <c r="J8" s="51" t="s">
        <v>368</v>
      </c>
    </row>
    <row r="9" spans="1:10" ht="19.5" customHeight="1" x14ac:dyDescent="0.2">
      <c r="A9" s="27" t="s">
        <v>369</v>
      </c>
      <c r="B9" s="27" t="s">
        <v>338</v>
      </c>
      <c r="C9" s="27">
        <v>105</v>
      </c>
      <c r="D9" s="27">
        <v>132</v>
      </c>
      <c r="E9" s="27">
        <v>91</v>
      </c>
      <c r="F9" s="27">
        <v>101</v>
      </c>
      <c r="G9" s="50" t="s">
        <v>370</v>
      </c>
      <c r="H9" s="50" t="s">
        <v>371</v>
      </c>
      <c r="I9" s="50" t="s">
        <v>362</v>
      </c>
      <c r="J9" s="50" t="s">
        <v>372</v>
      </c>
    </row>
    <row r="10" spans="1:10" ht="19.5" customHeight="1" x14ac:dyDescent="0.2">
      <c r="A10" s="31" t="s">
        <v>373</v>
      </c>
      <c r="B10" s="31" t="s">
        <v>338</v>
      </c>
      <c r="C10" s="31">
        <v>84</v>
      </c>
      <c r="D10" s="31">
        <v>136</v>
      </c>
      <c r="E10" s="31">
        <v>82</v>
      </c>
      <c r="F10" s="31">
        <v>87</v>
      </c>
      <c r="G10" s="51" t="s">
        <v>370</v>
      </c>
      <c r="H10" s="51" t="s">
        <v>374</v>
      </c>
      <c r="I10" s="51" t="s">
        <v>341</v>
      </c>
      <c r="J10" s="51" t="s">
        <v>375</v>
      </c>
    </row>
    <row r="11" spans="1:10" ht="19.5" customHeight="1" x14ac:dyDescent="0.2">
      <c r="A11" s="27" t="s">
        <v>376</v>
      </c>
      <c r="B11" s="27" t="s">
        <v>338</v>
      </c>
      <c r="C11" s="27">
        <v>104</v>
      </c>
      <c r="D11" s="27">
        <v>127</v>
      </c>
      <c r="E11" s="27">
        <v>73</v>
      </c>
      <c r="F11" s="27">
        <v>78</v>
      </c>
      <c r="G11" s="50" t="s">
        <v>370</v>
      </c>
      <c r="H11" s="50" t="s">
        <v>377</v>
      </c>
      <c r="I11" s="50" t="s">
        <v>341</v>
      </c>
      <c r="J11" s="50"/>
    </row>
    <row r="12" spans="1:10" ht="19.5" customHeight="1" x14ac:dyDescent="0.2">
      <c r="A12" s="31" t="s">
        <v>378</v>
      </c>
      <c r="B12" s="31" t="s">
        <v>338</v>
      </c>
      <c r="C12" s="31">
        <v>109</v>
      </c>
      <c r="D12" s="31">
        <v>146</v>
      </c>
      <c r="E12" s="31">
        <v>64</v>
      </c>
      <c r="F12" s="31">
        <v>69</v>
      </c>
      <c r="G12" s="51" t="s">
        <v>379</v>
      </c>
      <c r="H12" s="51" t="s">
        <v>380</v>
      </c>
      <c r="I12" s="51" t="s">
        <v>341</v>
      </c>
      <c r="J12" s="51"/>
    </row>
    <row r="13" spans="1:10" ht="19.5" customHeight="1" x14ac:dyDescent="0.2">
      <c r="A13" s="27" t="s">
        <v>381</v>
      </c>
      <c r="B13" s="27" t="s">
        <v>338</v>
      </c>
      <c r="C13" s="27">
        <v>74</v>
      </c>
      <c r="D13" s="27" t="s">
        <v>54</v>
      </c>
      <c r="E13" s="27">
        <v>52</v>
      </c>
      <c r="F13" s="27">
        <v>60</v>
      </c>
      <c r="G13" s="50" t="s">
        <v>382</v>
      </c>
      <c r="H13" s="50" t="s">
        <v>383</v>
      </c>
      <c r="I13" s="50" t="s">
        <v>341</v>
      </c>
      <c r="J13" s="50" t="s">
        <v>384</v>
      </c>
    </row>
    <row r="14" spans="1:10" ht="19.5" customHeight="1" x14ac:dyDescent="0.2">
      <c r="A14" s="31" t="s">
        <v>385</v>
      </c>
      <c r="B14" s="31" t="s">
        <v>338</v>
      </c>
      <c r="C14" s="31">
        <v>97</v>
      </c>
      <c r="D14" s="31">
        <v>128</v>
      </c>
      <c r="E14" s="31">
        <v>45</v>
      </c>
      <c r="F14" s="31">
        <v>50</v>
      </c>
      <c r="G14" s="51" t="s">
        <v>386</v>
      </c>
      <c r="H14" s="51" t="s">
        <v>387</v>
      </c>
      <c r="I14" s="51" t="s">
        <v>341</v>
      </c>
      <c r="J14" s="51" t="s">
        <v>388</v>
      </c>
    </row>
    <row r="15" spans="1:10" ht="19.5" customHeight="1" x14ac:dyDescent="0.2">
      <c r="A15" s="27" t="s">
        <v>385</v>
      </c>
      <c r="B15" s="27" t="s">
        <v>365</v>
      </c>
      <c r="C15" s="27" t="s">
        <v>54</v>
      </c>
      <c r="D15" s="27" t="s">
        <v>54</v>
      </c>
      <c r="E15" s="27">
        <v>45</v>
      </c>
      <c r="F15" s="27">
        <v>50</v>
      </c>
      <c r="G15" s="50" t="s">
        <v>386</v>
      </c>
      <c r="H15" s="50" t="s">
        <v>389</v>
      </c>
      <c r="I15" s="50" t="s">
        <v>54</v>
      </c>
      <c r="J15" s="50"/>
    </row>
    <row r="18" spans="1:10" ht="19.5" customHeight="1" x14ac:dyDescent="0.2">
      <c r="A18" s="2" t="s">
        <v>390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6" x14ac:dyDescent="0.2">
      <c r="A19" s="15" t="s">
        <v>391</v>
      </c>
      <c r="B19" s="15" t="s">
        <v>392</v>
      </c>
      <c r="C19" s="15" t="s">
        <v>393</v>
      </c>
      <c r="D19" s="15" t="s">
        <v>394</v>
      </c>
      <c r="E19" s="15" t="s">
        <v>395</v>
      </c>
      <c r="F19" s="15" t="s">
        <v>10</v>
      </c>
    </row>
    <row r="20" spans="1:10" ht="19.5" customHeight="1" x14ac:dyDescent="0.2">
      <c r="A20" s="27" t="s">
        <v>396</v>
      </c>
      <c r="B20" s="27" t="s">
        <v>397</v>
      </c>
      <c r="C20" s="27" t="s">
        <v>357</v>
      </c>
      <c r="D20" s="27" t="s">
        <v>398</v>
      </c>
      <c r="E20" s="50" t="s">
        <v>399</v>
      </c>
      <c r="F20" s="50" t="s">
        <v>400</v>
      </c>
    </row>
    <row r="21" spans="1:10" ht="19.5" customHeight="1" x14ac:dyDescent="0.2">
      <c r="A21" s="31" t="s">
        <v>401</v>
      </c>
      <c r="B21" s="31" t="s">
        <v>402</v>
      </c>
      <c r="C21" s="31" t="s">
        <v>362</v>
      </c>
      <c r="D21" s="31" t="s">
        <v>403</v>
      </c>
      <c r="E21" s="51" t="s">
        <v>404</v>
      </c>
      <c r="F21" s="51" t="s">
        <v>405</v>
      </c>
    </row>
    <row r="22" spans="1:10" ht="19.5" customHeight="1" x14ac:dyDescent="0.2">
      <c r="A22" s="27" t="s">
        <v>406</v>
      </c>
      <c r="B22" s="27" t="s">
        <v>407</v>
      </c>
      <c r="C22" s="27" t="s">
        <v>357</v>
      </c>
      <c r="D22" s="27" t="s">
        <v>408</v>
      </c>
      <c r="E22" s="50" t="s">
        <v>409</v>
      </c>
      <c r="F22" s="50" t="s">
        <v>410</v>
      </c>
    </row>
    <row r="23" spans="1:10" ht="19.5" customHeight="1" x14ac:dyDescent="0.2">
      <c r="A23" s="31" t="s">
        <v>411</v>
      </c>
      <c r="B23" s="31" t="s">
        <v>412</v>
      </c>
      <c r="C23" s="31" t="s">
        <v>362</v>
      </c>
      <c r="D23" s="31" t="s">
        <v>413</v>
      </c>
      <c r="E23" s="51" t="s">
        <v>414</v>
      </c>
      <c r="F23" s="51" t="s">
        <v>415</v>
      </c>
    </row>
    <row r="24" spans="1:10" ht="19.5" customHeight="1" x14ac:dyDescent="0.2">
      <c r="A24" s="27" t="s">
        <v>416</v>
      </c>
      <c r="B24" s="27" t="s">
        <v>417</v>
      </c>
      <c r="C24" s="27" t="s">
        <v>357</v>
      </c>
      <c r="D24" s="27" t="s">
        <v>418</v>
      </c>
      <c r="E24" s="50" t="s">
        <v>419</v>
      </c>
      <c r="F24" s="50" t="s">
        <v>420</v>
      </c>
    </row>
    <row r="25" spans="1:10" ht="19.5" customHeight="1" x14ac:dyDescent="0.2">
      <c r="A25" s="31" t="s">
        <v>421</v>
      </c>
      <c r="B25" s="31" t="s">
        <v>422</v>
      </c>
      <c r="C25" s="31" t="s">
        <v>362</v>
      </c>
      <c r="D25" s="31" t="s">
        <v>423</v>
      </c>
      <c r="E25" s="51" t="s">
        <v>424</v>
      </c>
      <c r="F25" s="51" t="s">
        <v>425</v>
      </c>
    </row>
    <row r="26" spans="1:10" ht="19.5" customHeight="1" x14ac:dyDescent="0.2">
      <c r="A26" s="27" t="s">
        <v>426</v>
      </c>
      <c r="B26" s="27" t="s">
        <v>427</v>
      </c>
      <c r="C26" s="27" t="s">
        <v>357</v>
      </c>
      <c r="D26" s="27" t="s">
        <v>428</v>
      </c>
      <c r="E26" s="50" t="s">
        <v>429</v>
      </c>
      <c r="F26" s="50" t="s">
        <v>430</v>
      </c>
    </row>
    <row r="27" spans="1:10" ht="19.5" customHeight="1" x14ac:dyDescent="0.2">
      <c r="A27" s="31" t="s">
        <v>431</v>
      </c>
      <c r="B27" s="31" t="s">
        <v>432</v>
      </c>
      <c r="C27" s="31" t="s">
        <v>362</v>
      </c>
      <c r="D27" s="31" t="s">
        <v>433</v>
      </c>
      <c r="E27" s="51" t="s">
        <v>434</v>
      </c>
      <c r="F27" s="51" t="s">
        <v>435</v>
      </c>
    </row>
    <row r="28" spans="1:10" ht="19.5" customHeight="1" x14ac:dyDescent="0.2">
      <c r="A28" s="27" t="s">
        <v>436</v>
      </c>
      <c r="B28" s="27" t="s">
        <v>437</v>
      </c>
      <c r="C28" s="27" t="s">
        <v>341</v>
      </c>
      <c r="D28" s="27" t="s">
        <v>438</v>
      </c>
      <c r="E28" s="50" t="s">
        <v>439</v>
      </c>
      <c r="F28" s="50" t="s">
        <v>440</v>
      </c>
    </row>
    <row r="29" spans="1:10" ht="19.5" customHeight="1" x14ac:dyDescent="0.2">
      <c r="A29" s="31" t="s">
        <v>441</v>
      </c>
      <c r="B29" s="31" t="s">
        <v>442</v>
      </c>
      <c r="C29" s="31" t="s">
        <v>341</v>
      </c>
      <c r="D29" s="31" t="s">
        <v>443</v>
      </c>
      <c r="E29" s="51" t="s">
        <v>444</v>
      </c>
      <c r="F29" s="51" t="s">
        <v>445</v>
      </c>
    </row>
    <row r="30" spans="1:10" ht="19.5" customHeight="1" x14ac:dyDescent="0.2">
      <c r="A30" s="27" t="s">
        <v>446</v>
      </c>
      <c r="B30" s="27" t="s">
        <v>447</v>
      </c>
      <c r="C30" s="27" t="s">
        <v>341</v>
      </c>
      <c r="D30" s="27" t="s">
        <v>448</v>
      </c>
      <c r="E30" s="50" t="s">
        <v>354</v>
      </c>
      <c r="F30" s="50" t="s">
        <v>449</v>
      </c>
    </row>
    <row r="33" spans="1:10" ht="21.75" customHeight="1" x14ac:dyDescent="0.2">
      <c r="A33" s="1" t="s">
        <v>450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19.5" customHeight="1" x14ac:dyDescent="0.2">
      <c r="A34" s="54" t="s">
        <v>451</v>
      </c>
      <c r="B34" s="56" t="s">
        <v>452</v>
      </c>
      <c r="C34" s="56"/>
      <c r="D34" s="56"/>
      <c r="E34" s="56"/>
      <c r="F34" s="56"/>
      <c r="G34" s="56"/>
      <c r="H34" s="56"/>
      <c r="I34" s="56"/>
      <c r="J34" s="56"/>
    </row>
    <row r="35" spans="1:10" ht="19.5" customHeight="1" x14ac:dyDescent="0.2">
      <c r="A35" s="54" t="s">
        <v>453</v>
      </c>
      <c r="B35" s="57" t="s">
        <v>454</v>
      </c>
      <c r="C35" s="57"/>
      <c r="D35" s="57"/>
      <c r="E35" s="57"/>
      <c r="F35" s="57"/>
      <c r="G35" s="57"/>
      <c r="H35" s="57"/>
      <c r="I35" s="57"/>
      <c r="J35" s="57"/>
    </row>
    <row r="36" spans="1:10" ht="19.5" customHeight="1" x14ac:dyDescent="0.2">
      <c r="A36" s="54" t="s">
        <v>455</v>
      </c>
      <c r="B36" s="56" t="s">
        <v>456</v>
      </c>
      <c r="C36" s="56"/>
      <c r="D36" s="56"/>
      <c r="E36" s="56"/>
      <c r="F36" s="56"/>
      <c r="G36" s="56"/>
      <c r="H36" s="56"/>
      <c r="I36" s="56"/>
      <c r="J36" s="56"/>
    </row>
    <row r="37" spans="1:10" ht="19.5" customHeight="1" x14ac:dyDescent="0.2">
      <c r="A37" s="54" t="s">
        <v>457</v>
      </c>
      <c r="B37" s="57" t="s">
        <v>458</v>
      </c>
      <c r="C37" s="57"/>
      <c r="D37" s="57"/>
      <c r="E37" s="57"/>
      <c r="F37" s="57"/>
      <c r="G37" s="57"/>
      <c r="H37" s="57"/>
      <c r="I37" s="57"/>
      <c r="J37" s="57"/>
    </row>
    <row r="38" spans="1:10" ht="19.5" customHeight="1" x14ac:dyDescent="0.2">
      <c r="A38" s="54" t="s">
        <v>459</v>
      </c>
      <c r="B38" s="56" t="s">
        <v>460</v>
      </c>
      <c r="C38" s="56"/>
      <c r="D38" s="56"/>
      <c r="E38" s="56"/>
      <c r="F38" s="56"/>
      <c r="G38" s="56"/>
      <c r="H38" s="56"/>
      <c r="I38" s="56"/>
      <c r="J38" s="56"/>
    </row>
    <row r="39" spans="1:10" ht="19.5" customHeight="1" x14ac:dyDescent="0.2">
      <c r="A39" s="54" t="s">
        <v>461</v>
      </c>
      <c r="B39" s="57" t="s">
        <v>462</v>
      </c>
      <c r="C39" s="57"/>
      <c r="D39" s="57"/>
      <c r="E39" s="57"/>
      <c r="F39" s="57"/>
      <c r="G39" s="57"/>
      <c r="H39" s="57"/>
      <c r="I39" s="57"/>
      <c r="J39" s="57"/>
    </row>
    <row r="40" spans="1:10" ht="19.5" customHeight="1" x14ac:dyDescent="0.2">
      <c r="A40" s="54" t="s">
        <v>463</v>
      </c>
      <c r="B40" s="56" t="s">
        <v>464</v>
      </c>
      <c r="C40" s="56"/>
      <c r="D40" s="56"/>
      <c r="E40" s="56"/>
      <c r="F40" s="56"/>
      <c r="G40" s="56"/>
      <c r="H40" s="56"/>
      <c r="I40" s="56"/>
      <c r="J40" s="56"/>
    </row>
    <row r="41" spans="1:10" ht="19.5" customHeight="1" x14ac:dyDescent="0.2">
      <c r="A41" s="54" t="s">
        <v>465</v>
      </c>
      <c r="B41" s="57" t="s">
        <v>466</v>
      </c>
      <c r="C41" s="57"/>
      <c r="D41" s="57"/>
      <c r="E41" s="57"/>
      <c r="F41" s="57"/>
      <c r="G41" s="57"/>
      <c r="H41" s="57"/>
      <c r="I41" s="57"/>
      <c r="J41" s="57"/>
    </row>
    <row r="42" spans="1:10" ht="19.5" customHeight="1" x14ac:dyDescent="0.2">
      <c r="A42" s="54" t="s">
        <v>467</v>
      </c>
      <c r="B42" s="56" t="s">
        <v>468</v>
      </c>
      <c r="C42" s="56"/>
      <c r="D42" s="56"/>
      <c r="E42" s="56"/>
      <c r="F42" s="56"/>
      <c r="G42" s="56"/>
      <c r="H42" s="56"/>
      <c r="I42" s="56"/>
      <c r="J42" s="56"/>
    </row>
  </sheetData>
  <mergeCells count="12">
    <mergeCell ref="B41:J41"/>
    <mergeCell ref="B42:J42"/>
    <mergeCell ref="B36:J36"/>
    <mergeCell ref="B37:J37"/>
    <mergeCell ref="B38:J38"/>
    <mergeCell ref="B39:J39"/>
    <mergeCell ref="B40:J40"/>
    <mergeCell ref="A1:J1"/>
    <mergeCell ref="A18:J18"/>
    <mergeCell ref="A33:J33"/>
    <mergeCell ref="B34:J34"/>
    <mergeCell ref="B35:J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Training Plan</vt:lpstr>
      <vt:lpstr>Short Game Log</vt:lpstr>
      <vt:lpstr>Long Game Log</vt:lpstr>
      <vt:lpstr>Game Scorecard</vt:lpstr>
      <vt:lpstr>Performance Dashboard</vt:lpstr>
      <vt:lpstr>My Bag Reference</vt:lpstr>
      <vt:lpstr>'Training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sportsmanagementjb@gmail.com</cp:lastModifiedBy>
  <cp:revision>0</cp:revision>
  <dcterms:created xsi:type="dcterms:W3CDTF">2026-03-04T14:36:17Z</dcterms:created>
  <dcterms:modified xsi:type="dcterms:W3CDTF">2026-03-04T15:06:56Z</dcterms:modified>
  <dc:language>en-US</dc:language>
</cp:coreProperties>
</file>
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/>
  <mc:AlternateContent xmlns:mc="http://schemas.openxmlformats.org/markup-compatibility/2006">
    <mc:Choice Requires="x15">
      <x15ac:absPath xmlns:x15ac="http://schemas.microsoft.com/office/spreadsheetml/2010/11/ac" url="/Users/josinabernardes/Library/Mobile Documents/com~apple~CloudDocs/01 Claude in Docs/Jo files/Jo_training raw docs 25_2026/"/>
    </mc:Choice>
  </mc:AlternateContent>
  <xr:revisionPtr revIDLastSave="0" documentId="13_ncr:1_{4153C2F7-24E3-C646-8844-EAAAE86246A8}" xr6:coauthVersionLast="47" xr6:coauthVersionMax="47" xr10:uidLastSave="{00000000-0000-0000-0000-000000000000}"/>
  <bookViews>
    <workbookView xWindow="4320" yWindow="600" windowWidth="24480" windowHeight="15820" tabRatio="765" activeTab="2" xr2:uid="{00000000-000D-0000-FFFF-FFFF00000000}"/>
  </bookViews>
  <sheets>
    <sheet name="FH_25 Rehab" sheetId="6" r:id="rId1"/>
    <sheet name="Gym&amp;Cimb 2026" sheetId="1" r:id="rId2"/>
    <sheet name="Climbing assessement" sheetId="8" r:id="rId3"/>
    <sheet name="My Climb Jan26" sheetId="7" r:id="rId4"/>
    <sheet name="Climbing_Pyramid26" sheetId="3" r:id="rId5"/>
    <sheet name="MyCimbMicroCy26" sheetId="5" r:id="rId6"/>
  </sheets>
  <definedNames>
    <definedName name="_xlchart.v2.0" hidden="1">'My Climb Jan26'!$M$58:$M$65</definedName>
    <definedName name="_xlchart.v2.1" hidden="1">'My Climb Jan26'!$O$57</definedName>
    <definedName name="_xlchart.v2.2" hidden="1">'My Climb Jan26'!$O$58:$O$65</definedName>
    <definedName name="_xlchart.v2.3" hidden="1">'My Climb Jan26'!$M$58:$M$65</definedName>
    <definedName name="_xlchart.v2.4" hidden="1">'My Climb Jan26'!$N$57</definedName>
    <definedName name="_xlchart.v2.5" hidden="1">'My Climb Jan26'!$N$58:$N$65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8" l="1"/>
  <c r="M15" i="8" s="1"/>
  <c r="X48" i="3"/>
  <c r="X47" i="3"/>
  <c r="X46" i="3"/>
  <c r="X45" i="3"/>
  <c r="X44" i="3"/>
  <c r="X51" i="3"/>
  <c r="X41" i="3"/>
  <c r="AE44" i="3"/>
  <c r="O70" i="7"/>
  <c r="M107" i="7"/>
  <c r="X39" i="7"/>
  <c r="Y39" i="7"/>
  <c r="Y41" i="7"/>
  <c r="X41" i="7"/>
  <c r="T39" i="7"/>
  <c r="CT15" i="1" l="1"/>
  <c r="CR15" i="1"/>
  <c r="CB16" i="1"/>
  <c r="CA141" i="1"/>
  <c r="BY141" i="1" s="1"/>
  <c r="CA138" i="1"/>
  <c r="BY138" i="1" s="1"/>
  <c r="CA135" i="1"/>
  <c r="BY135" i="1" s="1"/>
  <c r="CA132" i="1"/>
  <c r="BY132" i="1" s="1"/>
  <c r="CA129" i="1"/>
  <c r="BY129" i="1" s="1"/>
  <c r="CA126" i="1"/>
  <c r="BY126" i="1"/>
  <c r="CA123" i="1"/>
  <c r="BY123" i="1"/>
  <c r="CA120" i="1"/>
  <c r="BY120" i="1" s="1"/>
  <c r="CA117" i="1"/>
  <c r="BY117" i="1" s="1"/>
  <c r="CA114" i="1"/>
  <c r="BY114" i="1"/>
  <c r="CA111" i="1"/>
  <c r="BY111" i="1"/>
  <c r="CA108" i="1"/>
  <c r="BY108" i="1" s="1"/>
  <c r="CA104" i="1"/>
  <c r="BY104" i="1" s="1"/>
  <c r="CA101" i="1"/>
  <c r="BY101" i="1"/>
  <c r="CA98" i="1"/>
  <c r="BY98" i="1"/>
  <c r="CA95" i="1"/>
  <c r="BY95" i="1" s="1"/>
  <c r="CA92" i="1"/>
  <c r="BY92" i="1" s="1"/>
  <c r="CA89" i="1"/>
  <c r="BY89" i="1"/>
  <c r="CA86" i="1"/>
  <c r="BY86" i="1"/>
  <c r="CA83" i="1"/>
  <c r="BY83" i="1" s="1"/>
  <c r="CA79" i="1"/>
  <c r="BY79" i="1" s="1"/>
  <c r="CA76" i="1"/>
  <c r="BY76" i="1"/>
  <c r="CA73" i="1"/>
  <c r="BY73" i="1"/>
  <c r="CA71" i="1"/>
  <c r="CA68" i="1"/>
  <c r="BY68" i="1"/>
  <c r="BY62" i="1"/>
  <c r="BX55" i="1"/>
  <c r="BX54" i="1"/>
  <c r="BX53" i="1"/>
  <c r="CA52" i="1"/>
  <c r="BX52" i="1"/>
  <c r="BX49" i="1"/>
  <c r="BX48" i="1"/>
  <c r="BX47" i="1"/>
  <c r="BX46" i="1"/>
  <c r="BX45" i="1"/>
  <c r="BX44" i="1"/>
  <c r="BX43" i="1"/>
  <c r="BX42" i="1"/>
  <c r="BX41" i="1"/>
  <c r="BX40" i="1"/>
  <c r="BX39" i="1"/>
  <c r="CB38" i="1"/>
  <c r="BX38" i="1"/>
  <c r="CA38" i="1" s="1"/>
  <c r="CA29" i="1"/>
  <c r="BX27" i="1"/>
  <c r="BX26" i="1"/>
  <c r="BX23" i="1"/>
  <c r="BX16" i="1"/>
  <c r="BX15" i="1"/>
  <c r="BX14" i="1"/>
  <c r="BX13" i="1"/>
  <c r="BX12" i="1"/>
  <c r="O120" i="7"/>
  <c r="AK104" i="7"/>
  <c r="AF104" i="7"/>
  <c r="AA104" i="7"/>
  <c r="V104" i="7"/>
  <c r="Q104" i="7"/>
  <c r="AJ103" i="7"/>
  <c r="AI103" i="7"/>
  <c r="AH103" i="7"/>
  <c r="AE103" i="7"/>
  <c r="AD103" i="7"/>
  <c r="AC103" i="7"/>
  <c r="Z103" i="7"/>
  <c r="Y103" i="7"/>
  <c r="X103" i="7"/>
  <c r="U103" i="7"/>
  <c r="T103" i="7"/>
  <c r="S103" i="7"/>
  <c r="P103" i="7"/>
  <c r="O103" i="7"/>
  <c r="N103" i="7"/>
  <c r="AK101" i="7"/>
  <c r="AF101" i="7"/>
  <c r="AA101" i="7"/>
  <c r="V101" i="7"/>
  <c r="Q101" i="7"/>
  <c r="N108" i="7" s="1"/>
  <c r="O108" i="7" s="1"/>
  <c r="AK100" i="7"/>
  <c r="AF100" i="7"/>
  <c r="AA100" i="7"/>
  <c r="V100" i="7"/>
  <c r="Q100" i="7"/>
  <c r="AK99" i="7"/>
  <c r="AF99" i="7"/>
  <c r="AA99" i="7"/>
  <c r="V99" i="7"/>
  <c r="Q99" i="7"/>
  <c r="N110" i="7" s="1"/>
  <c r="O110" i="7" s="1"/>
  <c r="AK98" i="7"/>
  <c r="AF98" i="7"/>
  <c r="AA98" i="7"/>
  <c r="V98" i="7"/>
  <c r="Q98" i="7"/>
  <c r="AK97" i="7"/>
  <c r="AF97" i="7"/>
  <c r="AA97" i="7"/>
  <c r="V97" i="7"/>
  <c r="Q97" i="7"/>
  <c r="AK96" i="7"/>
  <c r="AF96" i="7"/>
  <c r="AA96" i="7"/>
  <c r="V96" i="7"/>
  <c r="Q96" i="7"/>
  <c r="N113" i="7" s="1"/>
  <c r="O113" i="7" s="1"/>
  <c r="AK95" i="7"/>
  <c r="AF95" i="7"/>
  <c r="AA95" i="7"/>
  <c r="V95" i="7"/>
  <c r="Q95" i="7"/>
  <c r="AK94" i="7"/>
  <c r="AF94" i="7"/>
  <c r="AA94" i="7"/>
  <c r="V94" i="7"/>
  <c r="Q94" i="7"/>
  <c r="N115" i="7" s="1"/>
  <c r="O115" i="7" s="1"/>
  <c r="AK92" i="7"/>
  <c r="AF92" i="7"/>
  <c r="AA92" i="7"/>
  <c r="V92" i="7"/>
  <c r="Q92" i="7"/>
  <c r="AK91" i="7"/>
  <c r="AF91" i="7"/>
  <c r="AA91" i="7"/>
  <c r="V91" i="7"/>
  <c r="Q91" i="7"/>
  <c r="AK90" i="7"/>
  <c r="AF90" i="7"/>
  <c r="AA90" i="7"/>
  <c r="V90" i="7"/>
  <c r="Q90" i="7"/>
  <c r="AK89" i="7"/>
  <c r="AF89" i="7"/>
  <c r="AA89" i="7"/>
  <c r="V89" i="7"/>
  <c r="Q89" i="7"/>
  <c r="AK88" i="7"/>
  <c r="AF88" i="7"/>
  <c r="AA88" i="7"/>
  <c r="V88" i="7"/>
  <c r="Q88" i="7"/>
  <c r="AK87" i="7"/>
  <c r="AF87" i="7"/>
  <c r="AA87" i="7"/>
  <c r="V87" i="7"/>
  <c r="Q87" i="7"/>
  <c r="S86" i="7"/>
  <c r="X86" i="7" s="1"/>
  <c r="AC86" i="7" s="1"/>
  <c r="AH86" i="7" s="1"/>
  <c r="AC47" i="3"/>
  <c r="AE43" i="3"/>
  <c r="Y51" i="3"/>
  <c r="Q41" i="7"/>
  <c r="S36" i="7"/>
  <c r="X36" i="7" s="1"/>
  <c r="AC36" i="7" s="1"/>
  <c r="AH36" i="7" s="1"/>
  <c r="AK54" i="7"/>
  <c r="AF54" i="7"/>
  <c r="AA54" i="7"/>
  <c r="V54" i="7"/>
  <c r="Q54" i="7"/>
  <c r="AJ53" i="7"/>
  <c r="AI53" i="7"/>
  <c r="AH53" i="7"/>
  <c r="AE53" i="7"/>
  <c r="AD53" i="7"/>
  <c r="AC53" i="7"/>
  <c r="Z53" i="7"/>
  <c r="Y53" i="7"/>
  <c r="X53" i="7"/>
  <c r="U53" i="7"/>
  <c r="T53" i="7"/>
  <c r="S53" i="7"/>
  <c r="P53" i="7"/>
  <c r="O53" i="7"/>
  <c r="N53" i="7"/>
  <c r="AK51" i="7"/>
  <c r="AF51" i="7"/>
  <c r="AA51" i="7"/>
  <c r="V51" i="7"/>
  <c r="Q51" i="7"/>
  <c r="AK50" i="7"/>
  <c r="AF50" i="7"/>
  <c r="AA50" i="7"/>
  <c r="V50" i="7"/>
  <c r="Q50" i="7"/>
  <c r="AK49" i="7"/>
  <c r="AF49" i="7"/>
  <c r="AA49" i="7"/>
  <c r="V49" i="7"/>
  <c r="Q49" i="7"/>
  <c r="AK48" i="7"/>
  <c r="AF48" i="7"/>
  <c r="AA48" i="7"/>
  <c r="V48" i="7"/>
  <c r="Q48" i="7"/>
  <c r="AK47" i="7"/>
  <c r="AF47" i="7"/>
  <c r="AA47" i="7"/>
  <c r="V47" i="7"/>
  <c r="Q47" i="7"/>
  <c r="AK46" i="7"/>
  <c r="AF46" i="7"/>
  <c r="AA46" i="7"/>
  <c r="V46" i="7"/>
  <c r="Q46" i="7"/>
  <c r="AK45" i="7"/>
  <c r="AF45" i="7"/>
  <c r="AA45" i="7"/>
  <c r="V45" i="7"/>
  <c r="Q45" i="7"/>
  <c r="AK44" i="7"/>
  <c r="AF44" i="7"/>
  <c r="AA44" i="7"/>
  <c r="V44" i="7"/>
  <c r="Q44" i="7"/>
  <c r="AK42" i="7"/>
  <c r="AF42" i="7"/>
  <c r="AA42" i="7"/>
  <c r="V42" i="7"/>
  <c r="Q42" i="7"/>
  <c r="AK41" i="7"/>
  <c r="AF41" i="7"/>
  <c r="AA41" i="7"/>
  <c r="V41" i="7"/>
  <c r="AK40" i="7"/>
  <c r="AF40" i="7"/>
  <c r="AA40" i="7"/>
  <c r="V40" i="7"/>
  <c r="Q40" i="7"/>
  <c r="AK39" i="7"/>
  <c r="AF39" i="7"/>
  <c r="AA39" i="7"/>
  <c r="V39" i="7"/>
  <c r="Q39" i="7"/>
  <c r="AK38" i="7"/>
  <c r="AF38" i="7"/>
  <c r="AA38" i="7"/>
  <c r="V38" i="7"/>
  <c r="Q38" i="7"/>
  <c r="AK37" i="7"/>
  <c r="AF37" i="7"/>
  <c r="AA37" i="7"/>
  <c r="V37" i="7"/>
  <c r="Q37" i="7"/>
  <c r="AE46" i="3"/>
  <c r="AE45" i="3"/>
  <c r="AE42" i="3"/>
  <c r="AE41" i="3"/>
  <c r="AE40" i="3"/>
  <c r="N60" i="7" l="1"/>
  <c r="O60" i="7" s="1"/>
  <c r="N61" i="7"/>
  <c r="N120" i="7"/>
  <c r="N111" i="7"/>
  <c r="O111" i="7" s="1"/>
  <c r="N58" i="7"/>
  <c r="O58" i="7" s="1"/>
  <c r="P121" i="7"/>
  <c r="N114" i="7"/>
  <c r="O114" i="7" s="1"/>
  <c r="N59" i="7"/>
  <c r="O59" i="7" s="1"/>
  <c r="N109" i="7"/>
  <c r="O109" i="7" s="1"/>
  <c r="P120" i="7"/>
  <c r="N112" i="7"/>
  <c r="O112" i="7" s="1"/>
  <c r="N64" i="7"/>
  <c r="N62" i="7"/>
  <c r="O62" i="7" s="1"/>
  <c r="N63" i="7"/>
  <c r="O63" i="7" s="1"/>
  <c r="N65" i="7"/>
  <c r="O65" i="7" s="1"/>
  <c r="AE47" i="3"/>
  <c r="P122" i="7"/>
  <c r="O61" i="7"/>
  <c r="P71" i="7"/>
  <c r="O64" i="7"/>
  <c r="P70" i="7"/>
  <c r="P72" i="7"/>
  <c r="N70" i="7"/>
  <c r="BG12" i="1" l="1"/>
  <c r="BJ141" i="1"/>
  <c r="BH141" i="1" s="1"/>
  <c r="BJ138" i="1"/>
  <c r="BH138" i="1" s="1"/>
  <c r="BJ135" i="1"/>
  <c r="BH135" i="1"/>
  <c r="BJ132" i="1"/>
  <c r="BH132" i="1" s="1"/>
  <c r="BJ129" i="1"/>
  <c r="BH129" i="1"/>
  <c r="BJ126" i="1"/>
  <c r="BH126" i="1" s="1"/>
  <c r="BJ123" i="1"/>
  <c r="BH123" i="1" s="1"/>
  <c r="BJ120" i="1"/>
  <c r="BH120" i="1"/>
  <c r="BJ117" i="1"/>
  <c r="BH117" i="1"/>
  <c r="BJ114" i="1"/>
  <c r="BH114" i="1"/>
  <c r="BJ111" i="1"/>
  <c r="BH111" i="1" s="1"/>
  <c r="BJ108" i="1"/>
  <c r="BH108" i="1"/>
  <c r="BJ104" i="1"/>
  <c r="BH104" i="1"/>
  <c r="BJ101" i="1"/>
  <c r="BH101" i="1"/>
  <c r="BJ98" i="1"/>
  <c r="BH98" i="1" s="1"/>
  <c r="BJ95" i="1"/>
  <c r="BH95" i="1"/>
  <c r="BJ92" i="1"/>
  <c r="BH92" i="1"/>
  <c r="BJ89" i="1"/>
  <c r="BH89" i="1"/>
  <c r="BJ86" i="1"/>
  <c r="BH86" i="1" s="1"/>
  <c r="BJ83" i="1"/>
  <c r="BH83" i="1"/>
  <c r="BJ79" i="1"/>
  <c r="BH79" i="1"/>
  <c r="BJ76" i="1"/>
  <c r="BH76" i="1"/>
  <c r="BJ73" i="1"/>
  <c r="BH73" i="1" s="1"/>
  <c r="BJ71" i="1"/>
  <c r="BJ68" i="1"/>
  <c r="BH68" i="1" s="1"/>
  <c r="BH62" i="1"/>
  <c r="BG55" i="1"/>
  <c r="BG54" i="1"/>
  <c r="BG53" i="1"/>
  <c r="BJ52" i="1"/>
  <c r="BG52" i="1"/>
  <c r="BG49" i="1"/>
  <c r="BG48" i="1"/>
  <c r="BG47" i="1"/>
  <c r="BG46" i="1"/>
  <c r="BG45" i="1"/>
  <c r="BG44" i="1"/>
  <c r="BG43" i="1"/>
  <c r="BG42" i="1"/>
  <c r="BG41" i="1"/>
  <c r="BG40" i="1"/>
  <c r="BG39" i="1"/>
  <c r="BK38" i="1"/>
  <c r="BG38" i="1"/>
  <c r="BJ38" i="1" s="1"/>
  <c r="BJ29" i="1"/>
  <c r="BG27" i="1"/>
  <c r="BG26" i="1"/>
  <c r="BG23" i="1"/>
  <c r="BG16" i="1"/>
  <c r="BG15" i="1"/>
  <c r="BG14" i="1"/>
  <c r="BG13" i="1"/>
  <c r="H55" i="6"/>
  <c r="H54" i="6"/>
  <c r="H53" i="6"/>
  <c r="K52" i="6"/>
  <c r="H52" i="6"/>
  <c r="H49" i="6"/>
  <c r="H48" i="6"/>
  <c r="H47" i="6"/>
  <c r="H46" i="6"/>
  <c r="H45" i="6"/>
  <c r="H44" i="6"/>
  <c r="H43" i="6"/>
  <c r="H42" i="6"/>
  <c r="H41" i="6"/>
  <c r="H40" i="6"/>
  <c r="H39" i="6"/>
  <c r="L38" i="6"/>
  <c r="H38" i="6"/>
  <c r="K38" i="6" s="1"/>
  <c r="K29" i="6"/>
  <c r="H27" i="6"/>
  <c r="H26" i="6"/>
  <c r="H23" i="6"/>
  <c r="H16" i="6"/>
  <c r="W15" i="6"/>
  <c r="Y15" i="6" s="1"/>
  <c r="H15" i="6"/>
  <c r="H14" i="6"/>
  <c r="H13" i="6"/>
  <c r="H12" i="6"/>
  <c r="CD16" i="1" l="1"/>
  <c r="AO27" i="1" l="1"/>
  <c r="AO42" i="1"/>
  <c r="AS38" i="1" l="1"/>
  <c r="AO49" i="1"/>
  <c r="AO26" i="1"/>
  <c r="AO16" i="1"/>
  <c r="R43" i="3" l="1"/>
  <c r="R46" i="3" l="1"/>
  <c r="R45" i="3"/>
  <c r="R41" i="3"/>
  <c r="R42" i="3"/>
  <c r="R40" i="3"/>
  <c r="R44" i="3"/>
  <c r="R47" i="3" l="1"/>
  <c r="AR141" i="1"/>
  <c r="AP141" i="1" s="1"/>
  <c r="AR138" i="1"/>
  <c r="AP138" i="1" s="1"/>
  <c r="AR79" i="1"/>
  <c r="AP79" i="1" s="1"/>
  <c r="AR135" i="1"/>
  <c r="AP135" i="1" s="1"/>
  <c r="AR76" i="1"/>
  <c r="AP76" i="1" s="1"/>
  <c r="AR132" i="1"/>
  <c r="AP132" i="1" s="1"/>
  <c r="AR129" i="1"/>
  <c r="AP129" i="1" s="1"/>
  <c r="AR126" i="1"/>
  <c r="AP126" i="1" s="1"/>
  <c r="AR123" i="1"/>
  <c r="AP123" i="1" s="1"/>
  <c r="AR120" i="1"/>
  <c r="AP120" i="1" s="1"/>
  <c r="AR117" i="1"/>
  <c r="AP117" i="1" s="1"/>
  <c r="AR114" i="1"/>
  <c r="AP114" i="1" s="1"/>
  <c r="AR111" i="1"/>
  <c r="AP111" i="1" s="1"/>
  <c r="AR108" i="1"/>
  <c r="AP108" i="1" s="1"/>
  <c r="AR104" i="1"/>
  <c r="AP104" i="1" s="1"/>
  <c r="AR101" i="1"/>
  <c r="AP101" i="1" s="1"/>
  <c r="AR98" i="1"/>
  <c r="AP98" i="1" s="1"/>
  <c r="AR95" i="1"/>
  <c r="AP95" i="1" s="1"/>
  <c r="AR92" i="1"/>
  <c r="AP92" i="1" s="1"/>
  <c r="AR89" i="1"/>
  <c r="AP89" i="1" s="1"/>
  <c r="AR86" i="1"/>
  <c r="AP86" i="1" s="1"/>
  <c r="AR83" i="1"/>
  <c r="AP83" i="1" s="1"/>
  <c r="AR68" i="1"/>
  <c r="AP68" i="1" s="1"/>
  <c r="AR73" i="1"/>
  <c r="AP73" i="1" s="1"/>
  <c r="AR71" i="1"/>
  <c r="AO53" i="1"/>
  <c r="AO54" i="1"/>
  <c r="AO55" i="1"/>
  <c r="AO52" i="1"/>
  <c r="AO43" i="1"/>
  <c r="AO44" i="1"/>
  <c r="AO45" i="1"/>
  <c r="AO46" i="1"/>
  <c r="AO47" i="1"/>
  <c r="AO48" i="1"/>
  <c r="AO41" i="1"/>
  <c r="AO40" i="1"/>
  <c r="AO39" i="1"/>
  <c r="AO38" i="1"/>
  <c r="AR38" i="1" s="1"/>
  <c r="AP62" i="1"/>
  <c r="AR52" i="1"/>
  <c r="AR29" i="1"/>
  <c r="AO23" i="1"/>
  <c r="AO15" i="1"/>
  <c r="AO14" i="1"/>
  <c r="AO13" i="1"/>
  <c r="AO12" i="1"/>
  <c r="AD64" i="1" l="1"/>
  <c r="AC12" i="1"/>
  <c r="AC13" i="1"/>
  <c r="AC14" i="1"/>
  <c r="AC15" i="1"/>
  <c r="AF48" i="1"/>
  <c r="AC39" i="1"/>
  <c r="AF36" i="1"/>
  <c r="AF27" i="1"/>
  <c r="AC21" i="1"/>
  <c r="AF18" i="1"/>
  <c r="AF12" i="1"/>
  <c r="U47" i="1" l="1"/>
  <c r="R38" i="1"/>
  <c r="U35" i="1"/>
  <c r="U26" i="1"/>
  <c r="R20" i="1"/>
  <c r="U17" i="1"/>
  <c r="U12" i="1"/>
  <c r="J12" i="1" l="1"/>
  <c r="J17" i="1"/>
  <c r="J26" i="1"/>
  <c r="J35" i="1"/>
  <c r="J47" i="1"/>
  <c r="K56" i="1"/>
  <c r="G20" i="1"/>
  <c r="G3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Josina Bernardes</author>
  </authors>
  <commentList>
    <comment ref="K66" authorId="0" shapeId="0" xr:uid="{2EF2B6B1-3BB5-4C8F-B9E5-65E814AB36B6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K69" authorId="0" shapeId="0" xr:uid="{65DA6F7C-B29F-4339-B4CC-CB35616CAEFB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K72" authorId="0" shapeId="0" xr:uid="{CCCDC8C1-32A8-4269-A9BD-C83575788ED2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K78" authorId="0" shapeId="0" xr:uid="{1FBFE917-0A58-4BBC-8A10-472361210339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K81" authorId="0" shapeId="0" xr:uid="{3C7C79C6-DF88-4883-AA51-97407C9D614B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K84" authorId="0" shapeId="0" xr:uid="{A915D671-CDF1-4F0A-84A2-837FFA68CF31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K91" authorId="0" shapeId="0" xr:uid="{6EF03C49-964C-429D-826D-EF1FD28D832A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K94" authorId="0" shapeId="0" xr:uid="{1EC002B1-434F-4BDC-89CB-2124F4C96F45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K97" authorId="0" shapeId="0" xr:uid="{ECD9CB4D-B725-4BC1-BDF2-2B781BD852A8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K105" authorId="0" shapeId="0" xr:uid="{F7A3EC45-9DCE-4331-9C3D-5976509EC099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K108" authorId="0" shapeId="0" xr:uid="{5636D7BA-F197-460E-A320-96026F3FEDDF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K111" authorId="0" shapeId="0" xr:uid="{82DA1A56-92A8-4E1C-8BEE-E8396B1C9E9C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K120" authorId="0" shapeId="0" xr:uid="{0D7B4626-91A1-46F2-90CF-74480E99CCDD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K123" authorId="0" shapeId="0" xr:uid="{64C8C603-A6D8-4F55-8CBD-9830A5BD83D7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K126" authorId="0" shapeId="0" xr:uid="{08AFDF4F-E92A-4A79-97F1-F497504F8753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Josina Bernardes</author>
  </authors>
  <commentList>
    <comment ref="M44" authorId="0" shapeId="0" xr:uid="{E6094429-754F-4955-AE18-2DE8F9BA15ED}">
      <text>
        <r>
          <rPr>
            <b/>
            <sz val="9"/>
            <color indexed="81"/>
            <rFont val="Tahoma"/>
            <family val="2"/>
          </rPr>
          <t>Bar 11,3kg</t>
        </r>
      </text>
    </comment>
    <comment ref="AR61" authorId="0" shapeId="0" xr:uid="{07FE5B58-E46F-4FD0-BD56-4166418589A3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BJ61" authorId="0" shapeId="0" xr:uid="{18F9A85F-8EA2-4895-B96A-DDD998779176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CA61" authorId="0" shapeId="0" xr:uid="{C60B9F14-8C84-4F39-9D81-C6E7476339FD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AF63" authorId="0" shapeId="0" xr:uid="{77DFEC15-9B83-4B0E-9369-D5E94BCFCDF4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AT94" authorId="0" shapeId="0" xr:uid="{71DC5C3B-98F5-4E3C-9746-27D1BAFA638A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BL94" authorId="0" shapeId="0" xr:uid="{2A52482E-5E6D-4F96-B50C-1D6F19D3C2DE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CC94" authorId="0" shapeId="0" xr:uid="{2C1CD5DE-6BF0-4DDD-A6CB-8565B8B4577F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AT97" authorId="0" shapeId="0" xr:uid="{34969861-EDAB-4123-90B5-C0D61D0BBACF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BL97" authorId="0" shapeId="0" xr:uid="{62F004CA-F31B-4BFA-99C7-F62EA373DD4A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CC97" authorId="0" shapeId="0" xr:uid="{D9483603-C85C-4778-B505-41A0A701BD43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AT100" authorId="0" shapeId="0" xr:uid="{D6DF520C-318C-41B5-82D7-0E391BB83440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BL100" authorId="0" shapeId="0" xr:uid="{BA2B727C-A4BC-492C-9D69-1F232BF1C1FB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CC100" authorId="0" shapeId="0" xr:uid="{6B0C743E-668A-4D1A-AC3E-B0A0E6970780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AT103" authorId="0" shapeId="0" xr:uid="{62A026FD-D1E4-4ABD-8FF3-C1AD662251BB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BL103" authorId="0" shapeId="0" xr:uid="{F4A8AC4B-584D-485F-AB4F-DDCC0B3FA988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CC103" authorId="0" shapeId="0" xr:uid="{45924096-2B88-42E3-B146-4257C14D46B8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AT107" authorId="0" shapeId="0" xr:uid="{79E6D866-E860-4C53-AC9F-E502BC41BA48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BL107" authorId="0" shapeId="0" xr:uid="{5C7AB409-6EBC-4C15-8B09-C773AF6F58A1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CC107" authorId="0" shapeId="0" xr:uid="{40BF3284-5C87-4A96-88AF-16C8EC20CD78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AT110" authorId="0" shapeId="0" xr:uid="{F3365547-F2C9-4C47-85BE-46C00AE4B790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BL110" authorId="0" shapeId="0" xr:uid="{ED9259F3-0819-4593-BEA9-63A9B1216223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CC110" authorId="0" shapeId="0" xr:uid="{35F7CA68-28C9-4D1A-9611-54B60D021F2A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AT113" authorId="0" shapeId="0" xr:uid="{0631A400-FEDD-48F7-A27F-5460A219E8AD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BL113" authorId="0" shapeId="0" xr:uid="{3BD796FF-7887-430A-9756-4E64E05CB8E6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CC113" authorId="0" shapeId="0" xr:uid="{07AAA914-B038-473E-A4E8-564B93C7B12C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AT116" authorId="0" shapeId="0" xr:uid="{4F445B31-3BA5-458B-85A3-5DF7920E4C63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BL116" authorId="0" shapeId="0" xr:uid="{947F732A-84FD-4619-A4EB-3C26225ED05B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CC116" authorId="0" shapeId="0" xr:uid="{51872D04-B86B-4962-820C-C298A372D203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AT119" authorId="0" shapeId="0" xr:uid="{7743A52A-33A3-4FE3-83E9-AEA06C560458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BL119" authorId="0" shapeId="0" xr:uid="{E157479B-C2FC-4435-9215-A6030DA5EF90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CC119" authorId="0" shapeId="0" xr:uid="{325622B2-01CB-42B5-AF6B-D13C603BCC22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AT122" authorId="0" shapeId="0" xr:uid="{B327CA6B-DC22-411A-82BB-EC124A43F887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BL122" authorId="0" shapeId="0" xr:uid="{90C8FBB0-DC5D-4387-ABBF-93296AA24999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CC122" authorId="0" shapeId="0" xr:uid="{9EAC83D4-0D00-44FD-9B01-DCD68E95FC00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AT125" authorId="0" shapeId="0" xr:uid="{189C9EB8-70C5-4CFC-871E-3099031C2143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BL125" authorId="0" shapeId="0" xr:uid="{9755FC73-192B-439B-99ED-464B06C29DCF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CC125" authorId="0" shapeId="0" xr:uid="{DC19ED94-8C3E-466B-A145-BFEAEDE8B01A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AT128" authorId="0" shapeId="0" xr:uid="{B0564432-939A-41E5-AEFB-2F4307373F1D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BL128" authorId="0" shapeId="0" xr:uid="{11FAB33D-732E-421F-9558-CA1A11FCF43D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CC128" authorId="0" shapeId="0" xr:uid="{AEDB0865-30F5-4865-9F22-12245B6280BC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AT131" authorId="0" shapeId="0" xr:uid="{9D0B4982-19C6-4A8F-9C6B-8D93AF7B0A31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BL131" authorId="0" shapeId="0" xr:uid="{13321EC6-1108-4BD3-8AE0-AC1F4836F1B2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CC131" authorId="0" shapeId="0" xr:uid="{FEF72208-C4C4-45B1-B085-5A86C8C8B727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AT134" authorId="0" shapeId="0" xr:uid="{DDC00BDE-23E1-428A-9278-0450D014A2AD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BL134" authorId="0" shapeId="0" xr:uid="{91B797A2-CCDC-4C66-8CF1-EB28A8D5AD9D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CC134" authorId="0" shapeId="0" xr:uid="{D03E53CB-69FF-459E-B68E-6569BBC45238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AT137" authorId="0" shapeId="0" xr:uid="{3EEFC466-FC1B-48BF-9CFE-CFC4485DBD79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BL137" authorId="0" shapeId="0" xr:uid="{CA6B9573-EEB0-42C9-8918-750A4F372653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CC137" authorId="0" shapeId="0" xr:uid="{F5C8DE84-F0CE-4BE3-B4AC-9B042F1E53EF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AT140" authorId="0" shapeId="0" xr:uid="{8CE94EE7-0550-4B4F-89ED-91A70B3A46C7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BL140" authorId="0" shapeId="0" xr:uid="{3DE6610D-A54C-4B1E-B275-886832BD868B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CC140" authorId="0" shapeId="0" xr:uid="{AAFA29DD-6EAF-4BE6-9E96-FF7AC24A744D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Josina Bernardes</author>
  </authors>
  <commentList>
    <comment ref="O54" authorId="0" shapeId="0" xr:uid="{D50542D4-9626-4F88-BEDA-ED2A47875381}">
      <text>
        <r>
          <rPr>
            <b/>
            <sz val="9"/>
            <color indexed="81"/>
            <rFont val="Tahoma"/>
            <family val="2"/>
          </rPr>
          <t>Home: Fb</t>
        </r>
      </text>
    </comment>
    <comment ref="O57" authorId="0" shapeId="0" xr:uid="{6657C31E-8927-44DD-8DCB-89D089745FC5}">
      <text>
        <r>
          <rPr>
            <b/>
            <sz val="9"/>
            <color indexed="81"/>
            <rFont val="Tahoma"/>
            <family val="2"/>
          </rPr>
          <t>Average Neoliet 13m</t>
        </r>
      </text>
    </comment>
    <comment ref="O107" authorId="0" shapeId="0" xr:uid="{D36B536A-B2DB-43ED-89C1-5A3EF9DC56E9}">
      <text>
        <r>
          <rPr>
            <b/>
            <sz val="9"/>
            <color indexed="81"/>
            <rFont val="Tahoma"/>
            <family val="2"/>
          </rPr>
          <t>Average Neoliet 13m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Josina Bernardes</author>
  </authors>
  <commentList>
    <comment ref="O18" authorId="0" shapeId="0" xr:uid="{96A87C7C-6EA8-441E-89EC-2ECFF972AE59}">
      <text>
        <r>
          <rPr>
            <b/>
            <sz val="9"/>
            <color indexed="81"/>
            <rFont val="Tahoma"/>
            <family val="2"/>
          </rPr>
          <t>Klimmur</t>
        </r>
      </text>
    </comment>
    <comment ref="Q18" authorId="0" shapeId="0" xr:uid="{A06170C8-41BC-4574-AB00-D76CA4398B8B}">
      <text>
        <r>
          <rPr>
            <sz val="8"/>
            <color indexed="81"/>
            <rFont val="Tahoma"/>
            <family val="2"/>
          </rPr>
          <t>Neo: balck 6b+: 1st try, but had the big shoes, used a intermediate hand grip, made it all. The problem is in the beguinning session.</t>
        </r>
      </text>
    </comment>
    <comment ref="R18" authorId="0" shapeId="0" xr:uid="{96E07DDC-ECCD-482A-9767-F6BF724E20B1}">
      <text>
        <r>
          <rPr>
            <sz val="9"/>
            <color indexed="81"/>
            <rFont val="Tahoma"/>
            <family val="2"/>
          </rPr>
          <t>Klim: Black</t>
        </r>
      </text>
    </comment>
    <comment ref="S18" authorId="0" shapeId="0" xr:uid="{D36809FD-06E9-49A6-8080-6581E33C0C00}">
      <text>
        <r>
          <rPr>
            <sz val="9"/>
            <color indexed="81"/>
            <rFont val="Tahoma"/>
            <family val="2"/>
          </rPr>
          <t>Klim: yelow Up room</t>
        </r>
      </text>
    </comment>
    <comment ref="T18" authorId="0" shapeId="0" xr:uid="{FF3AA624-71CB-4ED5-854E-811634CCA104}">
      <text>
        <r>
          <rPr>
            <b/>
            <sz val="9"/>
            <color indexed="81"/>
            <rFont val="Tahoma"/>
            <family val="2"/>
          </rPr>
          <t>Neoliet Outd. Leadinhg</t>
        </r>
      </text>
    </comment>
    <comment ref="AA19" authorId="0" shapeId="0" xr:uid="{66E1C825-A0BF-4488-B0C6-A4847FDE27BD}">
      <text>
        <r>
          <rPr>
            <b/>
            <sz val="9"/>
            <color indexed="81"/>
            <rFont val="Tahoma"/>
            <family val="2"/>
          </rPr>
          <t>Neo: Pink OH</t>
        </r>
      </text>
    </comment>
    <comment ref="AB19" authorId="0" shapeId="0" xr:uid="{CBA5556B-B961-43F7-8958-CBFB7C5FF9F2}">
      <text>
        <r>
          <rPr>
            <b/>
            <sz val="9"/>
            <color indexed="81"/>
            <rFont val="Tahoma"/>
            <family val="2"/>
          </rPr>
          <t>Orange neo</t>
        </r>
      </text>
    </comment>
    <comment ref="AC19" authorId="0" shapeId="0" xr:uid="{9A5424BB-48CD-4D37-A3B1-14B7E60CE238}">
      <text>
        <r>
          <rPr>
            <b/>
            <sz val="9"/>
            <color indexed="81"/>
            <rFont val="Tahoma"/>
            <family val="2"/>
          </rPr>
          <t>Yellow neo</t>
        </r>
      </text>
    </comment>
    <comment ref="N20" authorId="0" shapeId="0" xr:uid="{148E10B9-E2F5-4235-8FC6-79D7D0E2E83A}">
      <text>
        <r>
          <rPr>
            <b/>
            <sz val="9"/>
            <color indexed="81"/>
            <rFont val="Tahoma"/>
            <family val="2"/>
          </rPr>
          <t>Klimmur</t>
        </r>
      </text>
    </comment>
    <comment ref="Z20" authorId="0" shapeId="0" xr:uid="{677C7BF8-FB7A-413A-992E-65CA6AF3E758}">
      <text>
        <r>
          <rPr>
            <b/>
            <sz val="9"/>
            <color indexed="81"/>
            <rFont val="Tahoma"/>
            <family val="2"/>
          </rPr>
          <t>Neo: Orange</t>
        </r>
      </text>
    </comment>
    <comment ref="AA20" authorId="0" shapeId="0" xr:uid="{57E42466-D599-4AA6-8043-E7E54F4543EE}">
      <text>
        <r>
          <rPr>
            <b/>
            <sz val="9"/>
            <color indexed="81"/>
            <rFont val="Tahoma"/>
            <family val="2"/>
          </rPr>
          <t>neo: Black</t>
        </r>
      </text>
    </comment>
    <comment ref="AB20" authorId="0" shapeId="0" xr:uid="{E35D3147-E36C-42B0-95D5-1053B15B0A77}">
      <text>
        <r>
          <rPr>
            <b/>
            <sz val="9"/>
            <color indexed="81"/>
            <rFont val="Tahoma"/>
            <family val="2"/>
          </rPr>
          <t>Neo: Lead</t>
        </r>
      </text>
    </comment>
    <comment ref="AD20" authorId="0" shapeId="0" xr:uid="{E0FA9D95-7F78-4B4B-8509-15F12FA92464}">
      <text>
        <r>
          <rPr>
            <b/>
            <sz val="9"/>
            <color indexed="81"/>
            <rFont val="Tahoma"/>
            <family val="2"/>
          </rPr>
          <t>Neo Green</t>
        </r>
      </text>
    </comment>
    <comment ref="AE20" authorId="0" shapeId="0" xr:uid="{38E764AD-B615-4DDE-9213-6884AB053494}">
      <text>
        <r>
          <rPr>
            <b/>
            <sz val="9"/>
            <color indexed="81"/>
            <rFont val="Tahoma"/>
            <family val="2"/>
          </rPr>
          <t>Neo Green</t>
        </r>
      </text>
    </comment>
    <comment ref="N21" authorId="0" shapeId="0" xr:uid="{26152FB9-3DCE-4AE2-96C5-5EEE3DB3AFC3}">
      <text>
        <r>
          <rPr>
            <b/>
            <sz val="9"/>
            <color indexed="81"/>
            <rFont val="Tahoma"/>
            <family val="2"/>
          </rPr>
          <t xml:space="preserve">Neo: Lead </t>
        </r>
      </text>
    </comment>
    <comment ref="O21" authorId="0" shapeId="0" xr:uid="{DE9D31A6-17E8-4694-AAB4-3DA69C6A65B7}">
      <text>
        <r>
          <rPr>
            <b/>
            <sz val="9"/>
            <color indexed="81"/>
            <rFont val="Tahoma"/>
            <family val="2"/>
          </rPr>
          <t>Neo</t>
        </r>
      </text>
    </comment>
    <comment ref="Q21" authorId="0" shapeId="0" xr:uid="{CA9ADCC5-65FD-4AA4-9B67-E69E7B98E3B3}">
      <text>
        <r>
          <rPr>
            <b/>
            <sz val="9"/>
            <color indexed="81"/>
            <rFont val="Tahoma"/>
            <family val="2"/>
          </rPr>
          <t>Neo</t>
        </r>
      </text>
    </comment>
    <comment ref="R21" authorId="0" shapeId="0" xr:uid="{F4927544-A341-44D7-A055-012487460B4A}">
      <text>
        <r>
          <rPr>
            <sz val="9"/>
            <color indexed="81"/>
            <rFont val="Tahoma"/>
            <family val="2"/>
          </rPr>
          <t>Klim: Green</t>
        </r>
      </text>
    </comment>
    <comment ref="S21" authorId="0" shapeId="0" xr:uid="{35D55494-3EA5-455D-9FE1-781B6704C504}">
      <text>
        <r>
          <rPr>
            <sz val="9"/>
            <color indexed="81"/>
            <rFont val="Tahoma"/>
            <family val="2"/>
          </rPr>
          <t>Klim: Pink up room</t>
        </r>
      </text>
    </comment>
    <comment ref="U21" authorId="0" shapeId="0" xr:uid="{741B59BA-F9CD-4943-8BF0-C476F4893605}">
      <text>
        <r>
          <rPr>
            <b/>
            <sz val="9"/>
            <color indexed="81"/>
            <rFont val="Tahoma"/>
            <family val="2"/>
          </rPr>
          <t>Neo, outside</t>
        </r>
      </text>
    </comment>
    <comment ref="AA21" authorId="0" shapeId="0" xr:uid="{439BA70B-2D05-4D73-9A8A-8F5A49B14383}">
      <text>
        <r>
          <rPr>
            <b/>
            <sz val="9"/>
            <color indexed="81"/>
            <rFont val="Tahoma"/>
            <family val="2"/>
          </rPr>
          <t>Neo: blue</t>
        </r>
      </text>
    </comment>
    <comment ref="AB21" authorId="0" shapeId="0" xr:uid="{C4BE32EC-D26C-4B38-9E37-E9697C14F230}">
      <text>
        <r>
          <rPr>
            <b/>
            <sz val="9"/>
            <color indexed="81"/>
            <rFont val="Tahoma"/>
            <family val="2"/>
          </rPr>
          <t>Neo: Pink</t>
        </r>
      </text>
    </comment>
    <comment ref="AC21" authorId="0" shapeId="0" xr:uid="{41242771-64C0-4103-9451-78C9AB0E0A27}">
      <text>
        <r>
          <rPr>
            <b/>
            <sz val="9"/>
            <color indexed="81"/>
            <rFont val="Tahoma"/>
            <family val="2"/>
          </rPr>
          <t>Neo yellow</t>
        </r>
      </text>
    </comment>
    <comment ref="AD21" authorId="0" shapeId="0" xr:uid="{566678F4-4CE5-4306-9B54-DC29DBBDBEC2}">
      <text>
        <r>
          <rPr>
            <b/>
            <sz val="9"/>
            <color indexed="81"/>
            <rFont val="Tahoma"/>
            <family val="2"/>
          </rPr>
          <t>Neo Red-Orange</t>
        </r>
      </text>
    </comment>
    <comment ref="AE21" authorId="0" shapeId="0" xr:uid="{6CE67789-A534-4D72-A5B1-D02A37DB6266}">
      <text>
        <r>
          <rPr>
            <b/>
            <sz val="9"/>
            <color indexed="81"/>
            <rFont val="Tahoma"/>
            <family val="2"/>
          </rPr>
          <t>Neo Red</t>
        </r>
      </text>
    </comment>
    <comment ref="R29" authorId="0" shapeId="0" xr:uid="{944D14D5-3AE1-4E15-A682-9F7E893DF31B}">
      <text>
        <r>
          <rPr>
            <sz val="9"/>
            <color indexed="81"/>
            <rFont val="Tahoma"/>
            <family val="2"/>
          </rPr>
          <t>Sterk: Pink OH</t>
        </r>
      </text>
    </comment>
    <comment ref="S29" authorId="0" shapeId="0" xr:uid="{1AE20B50-2D59-4624-B757-31CE585A5FC4}">
      <text>
        <r>
          <rPr>
            <b/>
            <sz val="9"/>
            <color indexed="81"/>
            <rFont val="Tahoma"/>
            <family val="2"/>
          </rPr>
          <t>Klimmur 6b: white &amp; Pink OH</t>
        </r>
      </text>
    </comment>
    <comment ref="O30" authorId="0" shapeId="0" xr:uid="{AEAFF819-EEE4-45D6-8701-8B7E189987BA}">
      <text>
        <r>
          <rPr>
            <b/>
            <sz val="9"/>
            <color indexed="81"/>
            <rFont val="Tahoma"/>
            <family val="2"/>
          </rPr>
          <t>Spoor</t>
        </r>
      </text>
    </comment>
    <comment ref="P31" authorId="0" shapeId="0" xr:uid="{CE42E7CD-3A23-4FA2-AF35-E750D48F8BA7}">
      <text>
        <r>
          <rPr>
            <b/>
            <sz val="9"/>
            <color indexed="81"/>
            <rFont val="Tahoma"/>
            <family val="2"/>
          </rPr>
          <t>Sterk</t>
        </r>
      </text>
    </comment>
    <comment ref="T31" authorId="0" shapeId="0" xr:uid="{3D2AF372-6CCD-46E6-9159-12C10A5B315D}">
      <text>
        <r>
          <rPr>
            <sz val="9"/>
            <color indexed="81"/>
            <rFont val="Tahoma"/>
            <family val="2"/>
          </rPr>
          <t>Klimmur Up</t>
        </r>
      </text>
    </comment>
    <comment ref="P32" authorId="0" shapeId="0" xr:uid="{15A3DEA1-BAC3-4FD1-B604-7F86303D1151}">
      <text>
        <r>
          <rPr>
            <b/>
            <sz val="9"/>
            <color indexed="81"/>
            <rFont val="Tahoma"/>
            <family val="2"/>
          </rPr>
          <t xml:space="preserve">Sterk: Balck, Blue </t>
        </r>
      </text>
    </comment>
    <comment ref="Q32" authorId="0" shapeId="0" xr:uid="{43B4D042-95E7-47D7-8019-88155127E96D}">
      <text>
        <r>
          <rPr>
            <b/>
            <sz val="9"/>
            <color indexed="81"/>
            <rFont val="Tahoma"/>
            <family val="2"/>
          </rPr>
          <t xml:space="preserve">Sterk: Balck, Blue 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Josina Bernardes</author>
  </authors>
  <commentList>
    <comment ref="C22" authorId="0" shapeId="0" xr:uid="{B9B2C970-54DD-4BFE-ABE8-F41515BEB6B3}">
      <text>
        <r>
          <rPr>
            <b/>
            <sz val="9"/>
            <color indexed="81"/>
            <rFont val="Tahoma"/>
            <family val="2"/>
          </rPr>
          <t>85% = -25kg</t>
        </r>
      </text>
    </comment>
  </commentList>
</comments>
</file>

<file path=xl/sharedStrings.xml><?xml version="1.0" encoding="utf-8"?>
<sst xmlns="http://schemas.openxmlformats.org/spreadsheetml/2006/main" count="4692" uniqueCount="501">
  <si>
    <t>Training Gym 2024</t>
  </si>
  <si>
    <t>Day:</t>
  </si>
  <si>
    <t>Bike</t>
  </si>
  <si>
    <t>Assault Bike</t>
  </si>
  <si>
    <t>Eiptica</t>
  </si>
  <si>
    <t>Inferior members</t>
  </si>
  <si>
    <t>Core</t>
  </si>
  <si>
    <t>Superior members</t>
  </si>
  <si>
    <t>Fingers</t>
  </si>
  <si>
    <t>Stretching</t>
  </si>
  <si>
    <t>warm-1</t>
  </si>
  <si>
    <t>Warm-2</t>
  </si>
  <si>
    <t>Hip Abdu. N.3</t>
  </si>
  <si>
    <t>Hip Adu. N.3</t>
  </si>
  <si>
    <t>Set</t>
  </si>
  <si>
    <t>Rep</t>
  </si>
  <si>
    <t>Rest</t>
  </si>
  <si>
    <t>Kg</t>
  </si>
  <si>
    <t>3'</t>
  </si>
  <si>
    <t>Exe.N.º</t>
  </si>
  <si>
    <t>Ext.Quaricipets</t>
  </si>
  <si>
    <t>%</t>
  </si>
  <si>
    <t>Max</t>
  </si>
  <si>
    <t>without Machine:</t>
  </si>
  <si>
    <t>With Machine:</t>
  </si>
  <si>
    <t>Scapular pull up</t>
  </si>
  <si>
    <t>1'</t>
  </si>
  <si>
    <t>btw</t>
  </si>
  <si>
    <t>ISO Scapular Pull</t>
  </si>
  <si>
    <t>Time</t>
  </si>
  <si>
    <t>-</t>
  </si>
  <si>
    <t>10''</t>
  </si>
  <si>
    <t>1 arm Scap. Pull up</t>
  </si>
  <si>
    <t>Pull-up</t>
  </si>
  <si>
    <t>?</t>
  </si>
  <si>
    <t>Pull-up Bar</t>
  </si>
  <si>
    <t>Kg:</t>
  </si>
  <si>
    <t>Rear delt. N1</t>
  </si>
  <si>
    <t>Fly Delt. N2</t>
  </si>
  <si>
    <t>Shoulder Press</t>
  </si>
  <si>
    <t>Chest Press</t>
  </si>
  <si>
    <t>Cable Cross Over</t>
  </si>
  <si>
    <t>Plank</t>
  </si>
  <si>
    <t>30''</t>
  </si>
  <si>
    <t>Russian Sit-ups</t>
  </si>
  <si>
    <t>Leg + arms ups</t>
  </si>
  <si>
    <t>Matrix Abd.N.4</t>
  </si>
  <si>
    <t>Low Row</t>
  </si>
  <si>
    <t>Shoulder Rotation</t>
  </si>
  <si>
    <t>Matrix Back&amp;Lat</t>
  </si>
  <si>
    <t>Biciptes</t>
  </si>
  <si>
    <t>Floor ABS rotation</t>
  </si>
  <si>
    <t>2x2kg</t>
  </si>
  <si>
    <t xml:space="preserve">Wrist </t>
  </si>
  <si>
    <t>Wrist Ext.</t>
  </si>
  <si>
    <t>Wrist Int.</t>
  </si>
  <si>
    <t>Wrist Curls Int Roll</t>
  </si>
  <si>
    <t>Wrist Curls Ext Roll</t>
  </si>
  <si>
    <t>Grips w/ Machine</t>
  </si>
  <si>
    <t xml:space="preserve">Rest </t>
  </si>
  <si>
    <t>5'</t>
  </si>
  <si>
    <t>53''</t>
  </si>
  <si>
    <t>Exercises</t>
  </si>
  <si>
    <t>2x</t>
  </si>
  <si>
    <t>10"/20"</t>
  </si>
  <si>
    <t>4'</t>
  </si>
  <si>
    <t>20"10"</t>
  </si>
  <si>
    <t>1x</t>
  </si>
  <si>
    <t>20'</t>
  </si>
  <si>
    <t>R3-5</t>
  </si>
  <si>
    <t>2x3kg</t>
  </si>
  <si>
    <t>Matrix Abd. Up</t>
  </si>
  <si>
    <t>Seated Row bar Matrix</t>
  </si>
  <si>
    <t>week</t>
  </si>
  <si>
    <t>date</t>
  </si>
  <si>
    <t>Macrocycle:</t>
  </si>
  <si>
    <t>6mth</t>
  </si>
  <si>
    <t>Peak:</t>
  </si>
  <si>
    <t>October</t>
  </si>
  <si>
    <t>Start</t>
  </si>
  <si>
    <t>Base</t>
  </si>
  <si>
    <t>Build</t>
  </si>
  <si>
    <t>End</t>
  </si>
  <si>
    <t>Peak</t>
  </si>
  <si>
    <t>Climbing goal?</t>
  </si>
  <si>
    <t>Gen.Prep</t>
  </si>
  <si>
    <t>Build&amp;Taper</t>
  </si>
  <si>
    <t>Preparation</t>
  </si>
  <si>
    <t>2 - 4 weeks</t>
  </si>
  <si>
    <t>Training Cycle</t>
  </si>
  <si>
    <t>&lt; 8 weeks</t>
  </si>
  <si>
    <t>4 - 6 weeks</t>
  </si>
  <si>
    <t>Phase</t>
  </si>
  <si>
    <t>Taper</t>
  </si>
  <si>
    <t>Deload/Re</t>
  </si>
  <si>
    <t>1 - 2 weeks</t>
  </si>
  <si>
    <t>Duration</t>
  </si>
  <si>
    <t xml:space="preserve"> [1 - 4]</t>
  </si>
  <si>
    <t xml:space="preserve"> [4 - 12]</t>
  </si>
  <si>
    <t xml:space="preserve"> [1 - 2]</t>
  </si>
  <si>
    <t xml:space="preserve"> [1 - 6]</t>
  </si>
  <si>
    <t>Performance</t>
  </si>
  <si>
    <t>2-6 weeks</t>
  </si>
  <si>
    <t>{1 - 2}</t>
  </si>
  <si>
    <t>Deload/Recover</t>
  </si>
  <si>
    <t>2 -4 weeks</t>
  </si>
  <si>
    <t>Training focus</t>
  </si>
  <si>
    <t>Fitness</t>
  </si>
  <si>
    <t>Strengh</t>
  </si>
  <si>
    <t>Max.Strengh</t>
  </si>
  <si>
    <t>Power</t>
  </si>
  <si>
    <t>Recover</t>
  </si>
  <si>
    <t>Perform</t>
  </si>
  <si>
    <t>Specific Fitness</t>
  </si>
  <si>
    <t>Non-Spec</t>
  </si>
  <si>
    <t>Gen/target</t>
  </si>
  <si>
    <t>Very Spec</t>
  </si>
  <si>
    <t>Rec/Spec</t>
  </si>
  <si>
    <t>Goal Focus</t>
  </si>
  <si>
    <t>Non-spec</t>
  </si>
  <si>
    <t>Training Vol:</t>
  </si>
  <si>
    <t>Moderate</t>
  </si>
  <si>
    <t>High</t>
  </si>
  <si>
    <t>Low</t>
  </si>
  <si>
    <t>Training Int.:</t>
  </si>
  <si>
    <t>Mod - High</t>
  </si>
  <si>
    <t>high</t>
  </si>
  <si>
    <t>Fatige from Train</t>
  </si>
  <si>
    <t>Low - Mod</t>
  </si>
  <si>
    <t>Month</t>
  </si>
  <si>
    <t>Goal</t>
  </si>
  <si>
    <t>Training Focus</t>
  </si>
  <si>
    <t>Training Vol.</t>
  </si>
  <si>
    <t>Training Int.</t>
  </si>
  <si>
    <t>Fatigue</t>
  </si>
  <si>
    <t>Fitness/Non specific</t>
  </si>
  <si>
    <t>Week</t>
  </si>
  <si>
    <t>Nº Sessions</t>
  </si>
  <si>
    <t>Meters</t>
  </si>
  <si>
    <t>NºRoutes</t>
  </si>
  <si>
    <t>Av_meter</t>
  </si>
  <si>
    <t>Gades:</t>
  </si>
  <si>
    <t>3-4c</t>
  </si>
  <si>
    <t>6a-6a+</t>
  </si>
  <si>
    <t>6b-6b+</t>
  </si>
  <si>
    <t>6c-6c+</t>
  </si>
  <si>
    <t>7a-7a+</t>
  </si>
  <si>
    <t>7b-7b+</t>
  </si>
  <si>
    <t>Total</t>
  </si>
  <si>
    <t>5a-5b+</t>
  </si>
  <si>
    <t>5c-5c+</t>
  </si>
  <si>
    <t>Total:</t>
  </si>
  <si>
    <t>Base phase:</t>
  </si>
  <si>
    <t>Week:</t>
  </si>
  <si>
    <t>Sunday</t>
  </si>
  <si>
    <t>Monday</t>
  </si>
  <si>
    <t>Tuesday</t>
  </si>
  <si>
    <t>Wednesday</t>
  </si>
  <si>
    <t>Thursday</t>
  </si>
  <si>
    <t>Friday</t>
  </si>
  <si>
    <t>Saturday</t>
  </si>
  <si>
    <t>AM</t>
  </si>
  <si>
    <t>Climb</t>
  </si>
  <si>
    <t>Tenis</t>
  </si>
  <si>
    <t>PM</t>
  </si>
  <si>
    <t>Conditioning</t>
  </si>
  <si>
    <t>Daily Minimum - Morning Mobility</t>
  </si>
  <si>
    <t>8 exercises</t>
  </si>
  <si>
    <t>Two Arm Engagement ISO</t>
  </si>
  <si>
    <t>3 set - 1 rep x 10sec - 30sec rest (4/10RPE)</t>
  </si>
  <si>
    <t>Two Arm Engagement Lifts</t>
  </si>
  <si>
    <t>3 set - 6 rep - 30sec rest (4/10RPE)</t>
  </si>
  <si>
    <t>Pull ups - Strengh capacity</t>
  </si>
  <si>
    <t>3 set - 8 rep - 60sec rest / 10RM</t>
  </si>
  <si>
    <t>Arnold press - Strengh Capacity</t>
  </si>
  <si>
    <t>Shoulder Rotations - Prone - Stg.capacity</t>
  </si>
  <si>
    <t>Face Pulls - Banded - Stg.Capacity</t>
  </si>
  <si>
    <t>Green</t>
  </si>
  <si>
    <t>Low Row - Strengh Capaciy</t>
  </si>
  <si>
    <t>12?14?</t>
  </si>
  <si>
    <t>Bicipets Curl - Strengh Capacity</t>
  </si>
  <si>
    <t>Lat Pullover - Strengh Capacity</t>
  </si>
  <si>
    <t>?2</t>
  </si>
  <si>
    <t>Finger Board</t>
  </si>
  <si>
    <t>FB Test (10'') - 1 arm</t>
  </si>
  <si>
    <t>8 set - 1 rep x  10sec - 3min rest / (10/10RPE)</t>
  </si>
  <si>
    <t>FB (10'') - 1 arm</t>
  </si>
  <si>
    <t>6 set - 1 rep x  10sec - 3min rest / (10/10RPE) 85% of 10' hang</t>
  </si>
  <si>
    <t>MS RPE (7'') - No hang ISSO Holds</t>
  </si>
  <si>
    <t>6 set - 1 rep x  7sec - 3min rest / (8/10RPE)</t>
  </si>
  <si>
    <t>Boulder/ Climbing</t>
  </si>
  <si>
    <t>Board Climbing - Volume - Stg. Power</t>
  </si>
  <si>
    <t>1 set - 1 rep - 60min  - 4'-90mov 2'res/mov / (8/10RPE)</t>
  </si>
  <si>
    <t>Climbing: Red Point - Anae. Power End.</t>
  </si>
  <si>
    <t>4 set - 1 rep x rest 2' each bolt -  30min  rest / (5/10RPE)</t>
  </si>
  <si>
    <t>Climbing: 3 x 4 - Aerobic Base</t>
  </si>
  <si>
    <t>3 set - 4 rep x  60sec - 10min rest / (5/10RPE)</t>
  </si>
  <si>
    <t>New</t>
  </si>
  <si>
    <t>nr.Rotes</t>
  </si>
  <si>
    <t>meters</t>
  </si>
  <si>
    <t>m/grade</t>
  </si>
  <si>
    <t>Gym Time:</t>
  </si>
  <si>
    <t>Trials:</t>
  </si>
  <si>
    <t>January</t>
  </si>
  <si>
    <t>Pyramid 2025</t>
  </si>
  <si>
    <t>Training Gym 2025</t>
  </si>
  <si>
    <t>Rowing</t>
  </si>
  <si>
    <t>10'</t>
  </si>
  <si>
    <t>1805m</t>
  </si>
  <si>
    <t>R1-3</t>
  </si>
  <si>
    <t>22w</t>
  </si>
  <si>
    <t>Hip Abdu. N.1</t>
  </si>
  <si>
    <t>Prone Leg Curl (P7/P1-2)</t>
  </si>
  <si>
    <t xml:space="preserve">Seated Tricipets Press </t>
  </si>
  <si>
    <t>Calfs</t>
  </si>
  <si>
    <t>Calfs Machine</t>
  </si>
  <si>
    <t>Bar weight</t>
  </si>
  <si>
    <t>Obs:</t>
  </si>
  <si>
    <t>4 - 12 weeks</t>
  </si>
  <si>
    <t>From:</t>
  </si>
  <si>
    <t>February</t>
  </si>
  <si>
    <t>15'</t>
  </si>
  <si>
    <t>BW</t>
  </si>
  <si>
    <t>Weight less</t>
  </si>
  <si>
    <t>Add weight</t>
  </si>
  <si>
    <t>7''</t>
  </si>
  <si>
    <t>Hang 1 arm hang</t>
  </si>
  <si>
    <t>Day Max</t>
  </si>
  <si>
    <t>T.Max</t>
  </si>
  <si>
    <t>have to check on this…</t>
  </si>
  <si>
    <t>RPE</t>
  </si>
  <si>
    <t>8/10</t>
  </si>
  <si>
    <t>Strengh Intervals &amp; Pw</t>
  </si>
  <si>
    <t>Boulder protocol</t>
  </si>
  <si>
    <t>Power Endurance</t>
  </si>
  <si>
    <t>Routes</t>
  </si>
  <si>
    <t>Quick Redpoint</t>
  </si>
  <si>
    <t>Boulder</t>
  </si>
  <si>
    <t>Volume</t>
  </si>
  <si>
    <t>Route Pyramid</t>
  </si>
  <si>
    <t>AER.Power Protocol</t>
  </si>
  <si>
    <t>ERA. Power Protocol</t>
  </si>
  <si>
    <t>Pyramid</t>
  </si>
  <si>
    <t>R1</t>
  </si>
  <si>
    <t>R2</t>
  </si>
  <si>
    <t>R3</t>
  </si>
  <si>
    <t>R4</t>
  </si>
  <si>
    <t>R5</t>
  </si>
  <si>
    <t>R6</t>
  </si>
  <si>
    <t>R7</t>
  </si>
  <si>
    <t>R8</t>
  </si>
  <si>
    <t>RP: 7b</t>
  </si>
  <si>
    <t>OS: 6c+</t>
  </si>
  <si>
    <t>5c</t>
  </si>
  <si>
    <t>6a+</t>
  </si>
  <si>
    <t>6c</t>
  </si>
  <si>
    <t>7a+</t>
  </si>
  <si>
    <t>7b</t>
  </si>
  <si>
    <t>7a</t>
  </si>
  <si>
    <t>6b+</t>
  </si>
  <si>
    <t>6b</t>
  </si>
  <si>
    <t>Now: Feb 25</t>
  </si>
  <si>
    <t>-1</t>
  </si>
  <si>
    <t>1.5</t>
  </si>
  <si>
    <t>-2</t>
  </si>
  <si>
    <t>max</t>
  </si>
  <si>
    <t>-0.5</t>
  </si>
  <si>
    <t>5a</t>
  </si>
  <si>
    <t>4c</t>
  </si>
  <si>
    <t>5b</t>
  </si>
  <si>
    <t>60'</t>
  </si>
  <si>
    <t>9/10</t>
  </si>
  <si>
    <t>2'</t>
  </si>
  <si>
    <t>6'</t>
  </si>
  <si>
    <t>Lattice training plan assessment:</t>
  </si>
  <si>
    <t>Body Mass:</t>
  </si>
  <si>
    <t>48.9kg</t>
  </si>
  <si>
    <t>Side Split - Isso</t>
  </si>
  <si>
    <t>160cm</t>
  </si>
  <si>
    <t>Pull ups 2rep:</t>
  </si>
  <si>
    <t>12kg</t>
  </si>
  <si>
    <t>Two arm straight hang:</t>
  </si>
  <si>
    <t>44kg</t>
  </si>
  <si>
    <t>Repeaters:</t>
  </si>
  <si>
    <t>+7kg</t>
  </si>
  <si>
    <t>22rep</t>
  </si>
  <si>
    <t>8set.1rep.7''.3'set rest</t>
  </si>
  <si>
    <t>1set.90resp.7''.3''rep rest</t>
  </si>
  <si>
    <t>RPE 10/10</t>
  </si>
  <si>
    <t>Finger boarding and Climbing training</t>
  </si>
  <si>
    <t>1/2 half wooden ball</t>
  </si>
  <si>
    <t>Wide wood pinch</t>
  </si>
  <si>
    <t>Narrow wood pinch</t>
  </si>
  <si>
    <t>Small finger pinch block</t>
  </si>
  <si>
    <t>Shoulder Rot. - Prone</t>
  </si>
  <si>
    <t>60''</t>
  </si>
  <si>
    <t>RM</t>
  </si>
  <si>
    <t>10RM</t>
  </si>
  <si>
    <t>Face Pulls - TRX/Band</t>
  </si>
  <si>
    <t>6/10</t>
  </si>
  <si>
    <t>5RM</t>
  </si>
  <si>
    <t>Arnold Press - Strength</t>
  </si>
  <si>
    <t>Board climb - Max efforts</t>
  </si>
  <si>
    <t>30'</t>
  </si>
  <si>
    <t>10/10</t>
  </si>
  <si>
    <t>Intensity</t>
  </si>
  <si>
    <t>Board climb - Volume</t>
  </si>
  <si>
    <t>Low Row - Strength</t>
  </si>
  <si>
    <t>Bicep Curl</t>
  </si>
  <si>
    <t>Lat pullover - Floor</t>
  </si>
  <si>
    <t>Redpoint - Links</t>
  </si>
  <si>
    <t>Strength &amp; Power</t>
  </si>
  <si>
    <r>
      <rPr>
        <b/>
        <sz val="11"/>
        <color theme="1"/>
        <rFont val="Calibri"/>
        <family val="2"/>
        <scheme val="minor"/>
      </rPr>
      <t>Board Climb</t>
    </r>
    <r>
      <rPr>
        <sz val="11"/>
        <color theme="1"/>
        <rFont val="Calibri"/>
        <family val="2"/>
        <scheme val="minor"/>
      </rPr>
      <t xml:space="preserve"> - Send session</t>
    </r>
  </si>
  <si>
    <r>
      <rPr>
        <b/>
        <sz val="11"/>
        <color theme="1"/>
        <rFont val="Calibri"/>
        <family val="2"/>
        <scheme val="minor"/>
      </rPr>
      <t>Board Climb</t>
    </r>
    <r>
      <rPr>
        <sz val="11"/>
        <color theme="1"/>
        <rFont val="Calibri"/>
        <family val="2"/>
        <scheme val="minor"/>
      </rPr>
      <t xml:space="preserve"> - Volume</t>
    </r>
  </si>
  <si>
    <t>4/10</t>
  </si>
  <si>
    <t>Two Arm Engagement - Lift</t>
  </si>
  <si>
    <t>Two Arm Engagement - ISO</t>
  </si>
  <si>
    <t>Shoulder Press (dumbell)</t>
  </si>
  <si>
    <t>Shoulder Rot. - Seated</t>
  </si>
  <si>
    <t>14RM</t>
  </si>
  <si>
    <t>IYTA Sequence - Prone: 2arms</t>
  </si>
  <si>
    <t>Wide pull ups / Weighted</t>
  </si>
  <si>
    <t>-15</t>
  </si>
  <si>
    <t>Red band</t>
  </si>
  <si>
    <t>AnaCap FB - two arms</t>
  </si>
  <si>
    <t>IYT Sequence - Prone: 2arms</t>
  </si>
  <si>
    <t>3RM</t>
  </si>
  <si>
    <t>Edge Iso Holds</t>
  </si>
  <si>
    <t>F.Board - Power Endurance</t>
  </si>
  <si>
    <t>MS Load (7'') straight</t>
  </si>
  <si>
    <t>Forearms curls - Extensor</t>
  </si>
  <si>
    <t>7RM</t>
  </si>
  <si>
    <t>Forearms curls - Flexor</t>
  </si>
  <si>
    <t>Aerobic Base - Split Continuity</t>
  </si>
  <si>
    <t>Boulder protocol - Streng.&amp;Pw</t>
  </si>
  <si>
    <t>20''</t>
  </si>
  <si>
    <t>AER. Capacity Protocol</t>
  </si>
  <si>
    <t>5/10</t>
  </si>
  <si>
    <t>7/10</t>
  </si>
  <si>
    <t xml:space="preserve">Aerobic Base </t>
  </si>
  <si>
    <t>3 x 4</t>
  </si>
  <si>
    <t>Strength Intervals</t>
  </si>
  <si>
    <t>Aerobic Power Protocol (30-40 Movs)</t>
  </si>
  <si>
    <t>C/B</t>
  </si>
  <si>
    <t>Pull-up + weight</t>
  </si>
  <si>
    <t>+5kg</t>
  </si>
  <si>
    <t>Nov</t>
  </si>
  <si>
    <t>Dec</t>
  </si>
  <si>
    <t>Jan</t>
  </si>
  <si>
    <t>Feb</t>
  </si>
  <si>
    <t>Mar</t>
  </si>
  <si>
    <t>Apr</t>
  </si>
  <si>
    <t>Mai</t>
  </si>
  <si>
    <t>Pyramid 25</t>
  </si>
  <si>
    <r>
      <t>6a-</t>
    </r>
    <r>
      <rPr>
        <b/>
        <sz val="11"/>
        <color theme="1"/>
        <rFont val="Calibri"/>
        <family val="2"/>
        <scheme val="minor"/>
      </rPr>
      <t>6a+</t>
    </r>
  </si>
  <si>
    <r>
      <t>6b-</t>
    </r>
    <r>
      <rPr>
        <b/>
        <sz val="11"/>
        <color theme="1"/>
        <rFont val="Calibri"/>
        <family val="2"/>
        <scheme val="minor"/>
      </rPr>
      <t>6b+</t>
    </r>
  </si>
  <si>
    <r>
      <t>6c-</t>
    </r>
    <r>
      <rPr>
        <b/>
        <sz val="11"/>
        <color theme="1"/>
        <rFont val="Calibri"/>
        <family val="2"/>
        <scheme val="minor"/>
      </rPr>
      <t>6c+</t>
    </r>
  </si>
  <si>
    <r>
      <t>7a-</t>
    </r>
    <r>
      <rPr>
        <b/>
        <sz val="11"/>
        <color theme="1"/>
        <rFont val="Calibri"/>
        <family val="2"/>
        <scheme val="minor"/>
      </rPr>
      <t>7a+</t>
    </r>
  </si>
  <si>
    <r>
      <t>7b-</t>
    </r>
    <r>
      <rPr>
        <b/>
        <sz val="11"/>
        <color theme="1"/>
        <rFont val="Calibri"/>
        <family val="2"/>
        <scheme val="minor"/>
      </rPr>
      <t>7b+</t>
    </r>
  </si>
  <si>
    <t>Moummo, SW</t>
  </si>
  <si>
    <t>+10pts</t>
  </si>
  <si>
    <t>Points:</t>
  </si>
  <si>
    <t>Points</t>
  </si>
  <si>
    <t>Grades</t>
  </si>
  <si>
    <t>Bonus: +10</t>
  </si>
  <si>
    <t>Power 6a+</t>
  </si>
  <si>
    <t>W.U</t>
  </si>
  <si>
    <t>set 1</t>
  </si>
  <si>
    <t>set 2</t>
  </si>
  <si>
    <t>set 3</t>
  </si>
  <si>
    <t>set 4</t>
  </si>
  <si>
    <t>C.D</t>
  </si>
  <si>
    <t>6a</t>
  </si>
  <si>
    <t>15x</t>
  </si>
  <si>
    <t>Base 6a+</t>
  </si>
  <si>
    <t>Power 6b</t>
  </si>
  <si>
    <t>Base 6b</t>
  </si>
  <si>
    <t xml:space="preserve">6a </t>
  </si>
  <si>
    <t>4a</t>
  </si>
  <si>
    <t>1km</t>
  </si>
  <si>
    <t>R1-2</t>
  </si>
  <si>
    <t>6.9km</t>
  </si>
  <si>
    <t>Leg Press</t>
  </si>
  <si>
    <t>Lat Pulldown-up Bar</t>
  </si>
  <si>
    <t>Rotary Torso</t>
  </si>
  <si>
    <t>Arm curls (Bicipets)</t>
  </si>
  <si>
    <t>48.5kg</t>
  </si>
  <si>
    <t>48.4kg</t>
  </si>
  <si>
    <t>0kg</t>
  </si>
  <si>
    <t>One arm straight hang:</t>
  </si>
  <si>
    <t>Priority:</t>
  </si>
  <si>
    <t>Knee-knee:</t>
  </si>
  <si>
    <t>85cm</t>
  </si>
  <si>
    <t>157cm</t>
  </si>
  <si>
    <t>Hip Adu. N.2 better, its wide</t>
  </si>
  <si>
    <t>Conv.Shoulder Press</t>
  </si>
  <si>
    <t>From 02-25</t>
  </si>
  <si>
    <t>Climbing:</t>
  </si>
  <si>
    <t>RP:</t>
  </si>
  <si>
    <t>Boulder:</t>
  </si>
  <si>
    <t>OS: 6a+/6b</t>
  </si>
  <si>
    <t>Week 1 Plan</t>
  </si>
  <si>
    <t>Rest:</t>
  </si>
  <si>
    <t>C/B:</t>
  </si>
  <si>
    <t>Gym/Power:</t>
  </si>
  <si>
    <t>Tennis:</t>
  </si>
  <si>
    <t>3x</t>
  </si>
  <si>
    <t>Week 2 Plan</t>
  </si>
  <si>
    <t>19rep</t>
  </si>
  <si>
    <t>seconds</t>
  </si>
  <si>
    <t>minutes</t>
  </si>
  <si>
    <t>Combined</t>
  </si>
  <si>
    <t>Comb.Points Average:</t>
  </si>
  <si>
    <t>16x</t>
  </si>
  <si>
    <t>4x</t>
  </si>
  <si>
    <t>Project</t>
  </si>
  <si>
    <t>RP</t>
  </si>
  <si>
    <t>8x</t>
  </si>
  <si>
    <t>OS</t>
  </si>
  <si>
    <t>To finish</t>
  </si>
  <si>
    <t>16-8-4-2-1</t>
  </si>
  <si>
    <t>Hr:</t>
  </si>
  <si>
    <t>Gym</t>
  </si>
  <si>
    <t>Resist.</t>
  </si>
  <si>
    <t>Dist.</t>
  </si>
  <si>
    <t>Heel-Heel</t>
  </si>
  <si>
    <t>Exercises calf 2x 2 dif.positions</t>
  </si>
  <si>
    <t>1'-2'</t>
  </si>
  <si>
    <t>8''-10''</t>
  </si>
  <si>
    <t>Reps</t>
  </si>
  <si>
    <t>12-15</t>
  </si>
  <si>
    <t>8-12</t>
  </si>
  <si>
    <t>6-8</t>
  </si>
  <si>
    <t>4-6</t>
  </si>
  <si>
    <t>Calfs Raise</t>
  </si>
  <si>
    <t>With a weight unde the feet</t>
  </si>
  <si>
    <t>bw</t>
  </si>
  <si>
    <t>Calfs Raise with machine</t>
  </si>
  <si>
    <t>Leg Prone/ Leg Curl</t>
  </si>
  <si>
    <t>Week 1 (wed-wed)2-3x/week (42H-72H)</t>
  </si>
  <si>
    <t>Week 2-3 (wed-wed)2-3x/week (42H-72H)</t>
  </si>
  <si>
    <t>3'-5'</t>
  </si>
  <si>
    <t>Date:</t>
  </si>
  <si>
    <t>Week 4-5 (wed-wed)2-3x/week (42H-72H)</t>
  </si>
  <si>
    <t>Week 6-7-8 (wed-wed)2-3x/week (42H-72H)</t>
  </si>
  <si>
    <t>Week 9-10-11-12 (wed-wed)2-3x/week (42H-72H)</t>
  </si>
  <si>
    <t>42,3</t>
  </si>
  <si>
    <t>In Portugal</t>
  </si>
  <si>
    <t>Rehab FisyoHolland (Dyllan)</t>
  </si>
  <si>
    <t>August</t>
  </si>
  <si>
    <t>Here!</t>
  </si>
  <si>
    <t>Surgery</t>
  </si>
  <si>
    <t>12'</t>
  </si>
  <si>
    <t>R1-5</t>
  </si>
  <si>
    <t>4.40km</t>
  </si>
  <si>
    <t>v</t>
  </si>
  <si>
    <t>Leg Extension</t>
  </si>
  <si>
    <t>Leg Press (P3/2)</t>
  </si>
  <si>
    <t>Div. Seated  Row</t>
  </si>
  <si>
    <t>N.º Mov. Avg:</t>
  </si>
  <si>
    <t>Work</t>
  </si>
  <si>
    <t>WC Tennis</t>
  </si>
  <si>
    <t>Week 00</t>
  </si>
  <si>
    <t>Climbing</t>
  </si>
  <si>
    <t>Restarted the Fisio Treatement Here, Againt!</t>
  </si>
  <si>
    <t>29th August!</t>
  </si>
  <si>
    <t>13-31</t>
  </si>
  <si>
    <t>Pyramid 26</t>
  </si>
  <si>
    <t>Date</t>
  </si>
  <si>
    <t>Lead</t>
  </si>
  <si>
    <t>From 01-26</t>
  </si>
  <si>
    <t>Total Routes:</t>
  </si>
  <si>
    <t>Week 03</t>
  </si>
  <si>
    <t>Total meters january</t>
  </si>
  <si>
    <t>Total meters February</t>
  </si>
  <si>
    <t>Total meters March</t>
  </si>
  <si>
    <t>Moves</t>
  </si>
  <si>
    <t>Meters 2026</t>
  </si>
  <si>
    <t>Re-Start</t>
  </si>
  <si>
    <t>05-08</t>
  </si>
  <si>
    <t>6b+/6c</t>
  </si>
  <si>
    <t>Training Gym 2026</t>
  </si>
  <si>
    <t>Climbing Performance</t>
  </si>
  <si>
    <t>Source:</t>
  </si>
  <si>
    <t>Sport OS</t>
  </si>
  <si>
    <t>Sport RP</t>
  </si>
  <si>
    <t>Boulder OS</t>
  </si>
  <si>
    <t>Boulder RP</t>
  </si>
  <si>
    <t>6c+</t>
  </si>
  <si>
    <t>V4</t>
  </si>
  <si>
    <t>V5</t>
  </si>
  <si>
    <t>154cm</t>
  </si>
  <si>
    <r>
      <rPr>
        <b/>
        <sz val="11"/>
        <color theme="1"/>
        <rFont val="Calibri"/>
        <family val="2"/>
        <scheme val="minor"/>
      </rPr>
      <t>OS:</t>
    </r>
    <r>
      <rPr>
        <sz val="11"/>
        <color theme="1"/>
        <rFont val="Calibri"/>
        <family val="2"/>
        <scheme val="minor"/>
      </rPr>
      <t xml:space="preserve"> 6a+/6b</t>
    </r>
  </si>
  <si>
    <r>
      <rPr>
        <b/>
        <sz val="11"/>
        <color theme="1"/>
        <rFont val="Calibri"/>
        <family val="2"/>
        <scheme val="minor"/>
      </rPr>
      <t>OS:</t>
    </r>
    <r>
      <rPr>
        <sz val="11"/>
        <color theme="1"/>
        <rFont val="Calibri"/>
        <family val="2"/>
        <scheme val="minor"/>
      </rPr>
      <t xml:space="preserve"> 6a+</t>
    </r>
  </si>
  <si>
    <t>Focus Spray wall</t>
  </si>
  <si>
    <t>Week 04</t>
  </si>
  <si>
    <t>O.S:</t>
  </si>
  <si>
    <t>R.P:</t>
  </si>
  <si>
    <t>Power 6c</t>
  </si>
  <si>
    <t>Next in line</t>
  </si>
  <si>
    <t>Base 6c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</si>
</sst>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hh:mm:ss;@"/>
    <numFmt numFmtId="166" formatCode="0.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u/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sz val="8"/>
      <color indexed="81"/>
      <name val="Tahoma"/>
      <family val="2"/>
    </font>
    <font>
      <b/>
      <sz val="11"/>
      <color theme="7" tint="-0.249977111117893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color rgb="FF7030A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F93E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/>
      <right/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Dashed">
        <color indexed="64"/>
      </top>
      <bottom style="mediumDashed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16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9" fontId="0" fillId="0" borderId="0" xfId="0" applyNumberFormat="1"/>
    <xf numFmtId="9" fontId="0" fillId="0" borderId="0" xfId="0" applyNumberFormat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16" fontId="0" fillId="0" borderId="0" xfId="0" applyNumberFormat="1" applyAlignment="1">
      <alignment horizontal="left"/>
    </xf>
    <xf numFmtId="1" fontId="0" fillId="0" borderId="0" xfId="0" applyNumberFormat="1"/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right"/>
    </xf>
    <xf numFmtId="0" fontId="0" fillId="0" borderId="1" xfId="0" applyBorder="1" applyAlignment="1">
      <alignment horizontal="center"/>
    </xf>
    <xf numFmtId="20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5" fillId="4" borderId="0" xfId="0" applyFont="1" applyFill="1"/>
    <xf numFmtId="0" fontId="5" fillId="5" borderId="0" xfId="0" applyFont="1" applyFill="1"/>
    <xf numFmtId="0" fontId="5" fillId="6" borderId="0" xfId="0" applyFont="1" applyFill="1"/>
    <xf numFmtId="0" fontId="5" fillId="7" borderId="0" xfId="0" applyFont="1" applyFill="1"/>
    <xf numFmtId="0" fontId="5" fillId="8" borderId="0" xfId="0" applyFont="1" applyFill="1"/>
    <xf numFmtId="0" fontId="5" fillId="0" borderId="0" xfId="0" applyFont="1"/>
    <xf numFmtId="0" fontId="0" fillId="9" borderId="0" xfId="0" applyFill="1"/>
    <xf numFmtId="16" fontId="0" fillId="10" borderId="0" xfId="0" applyNumberFormat="1" applyFill="1"/>
    <xf numFmtId="16" fontId="0" fillId="0" borderId="0" xfId="0" applyNumberFormat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7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1" xfId="0" applyBorder="1"/>
    <xf numFmtId="0" fontId="0" fillId="0" borderId="18" xfId="0" applyBorder="1"/>
    <xf numFmtId="0" fontId="0" fillId="0" borderId="21" xfId="0" applyBorder="1"/>
    <xf numFmtId="0" fontId="0" fillId="0" borderId="1" xfId="0" applyBorder="1" applyAlignment="1">
      <alignment horizontal="right"/>
    </xf>
    <xf numFmtId="20" fontId="6" fillId="0" borderId="1" xfId="0" applyNumberFormat="1" applyFont="1" applyBorder="1" applyAlignment="1">
      <alignment horizontal="right" wrapText="1"/>
    </xf>
    <xf numFmtId="20" fontId="0" fillId="0" borderId="1" xfId="0" applyNumberFormat="1" applyBorder="1"/>
    <xf numFmtId="1" fontId="6" fillId="0" borderId="1" xfId="0" applyNumberFormat="1" applyFont="1" applyBorder="1" applyAlignment="1">
      <alignment horizontal="right" wrapText="1"/>
    </xf>
    <xf numFmtId="0" fontId="0" fillId="0" borderId="13" xfId="0" applyBorder="1" applyAlignment="1">
      <alignment horizontal="right"/>
    </xf>
    <xf numFmtId="0" fontId="0" fillId="0" borderId="14" xfId="0" applyBorder="1"/>
    <xf numFmtId="0" fontId="0" fillId="0" borderId="15" xfId="0" applyBorder="1"/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16" xfId="0" applyBorder="1" applyAlignment="1">
      <alignment horizontal="right"/>
    </xf>
    <xf numFmtId="0" fontId="0" fillId="0" borderId="17" xfId="0" applyBorder="1"/>
    <xf numFmtId="0" fontId="1" fillId="0" borderId="10" xfId="0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12" borderId="14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5" borderId="17" xfId="0" applyFont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" xfId="0" applyFont="1" applyBorder="1"/>
    <xf numFmtId="0" fontId="1" fillId="0" borderId="26" xfId="0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14" borderId="0" xfId="0" applyFill="1"/>
    <xf numFmtId="0" fontId="0" fillId="14" borderId="1" xfId="0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0" fillId="11" borderId="0" xfId="0" applyFill="1"/>
    <xf numFmtId="0" fontId="8" fillId="0" borderId="1" xfId="0" applyFont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3" borderId="0" xfId="0" applyFill="1"/>
    <xf numFmtId="0" fontId="0" fillId="13" borderId="1" xfId="0" applyFill="1" applyBorder="1" applyAlignment="1">
      <alignment horizontal="center"/>
    </xf>
    <xf numFmtId="0" fontId="0" fillId="4" borderId="0" xfId="0" applyFill="1"/>
    <xf numFmtId="0" fontId="0" fillId="4" borderId="1" xfId="0" applyFill="1" applyBorder="1" applyAlignment="1">
      <alignment horizontal="center"/>
    </xf>
    <xf numFmtId="0" fontId="0" fillId="6" borderId="0" xfId="0" applyFill="1"/>
    <xf numFmtId="0" fontId="0" fillId="15" borderId="1" xfId="0" applyFill="1" applyBorder="1" applyAlignment="1">
      <alignment horizontal="center"/>
    </xf>
    <xf numFmtId="0" fontId="0" fillId="16" borderId="0" xfId="0" applyFill="1"/>
    <xf numFmtId="0" fontId="0" fillId="16" borderId="1" xfId="0" applyFill="1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27" xfId="0" applyFont="1" applyBorder="1"/>
    <xf numFmtId="0" fontId="0" fillId="0" borderId="26" xfId="0" applyBorder="1" applyAlignment="1">
      <alignment horizontal="right"/>
    </xf>
    <xf numFmtId="0" fontId="0" fillId="0" borderId="30" xfId="0" applyBorder="1"/>
    <xf numFmtId="0" fontId="0" fillId="0" borderId="31" xfId="0" applyBorder="1"/>
    <xf numFmtId="0" fontId="1" fillId="0" borderId="8" xfId="0" applyFont="1" applyBorder="1" applyAlignment="1">
      <alignment horizontal="right"/>
    </xf>
    <xf numFmtId="0" fontId="0" fillId="0" borderId="32" xfId="0" applyBorder="1"/>
    <xf numFmtId="0" fontId="4" fillId="0" borderId="28" xfId="0" applyFont="1" applyBorder="1" applyAlignment="1">
      <alignment horizontal="right"/>
    </xf>
    <xf numFmtId="0" fontId="5" fillId="17" borderId="0" xfId="0" applyFont="1" applyFill="1"/>
    <xf numFmtId="0" fontId="0" fillId="0" borderId="33" xfId="0" applyBorder="1"/>
    <xf numFmtId="16" fontId="0" fillId="0" borderId="35" xfId="0" quotePrefix="1" applyNumberFormat="1" applyBorder="1"/>
    <xf numFmtId="0" fontId="0" fillId="0" borderId="27" xfId="0" applyBorder="1" applyAlignment="1">
      <alignment horizontal="right"/>
    </xf>
    <xf numFmtId="0" fontId="0" fillId="0" borderId="36" xfId="0" applyBorder="1"/>
    <xf numFmtId="0" fontId="0" fillId="0" borderId="37" xfId="0" applyBorder="1"/>
    <xf numFmtId="0" fontId="0" fillId="0" borderId="27" xfId="0" applyBorder="1"/>
    <xf numFmtId="0" fontId="0" fillId="18" borderId="0" xfId="0" applyFill="1"/>
    <xf numFmtId="0" fontId="0" fillId="18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2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8" xfId="0" applyBorder="1" applyAlignment="1">
      <alignment horizontal="left"/>
    </xf>
    <xf numFmtId="16" fontId="0" fillId="0" borderId="39" xfId="0" applyNumberFormat="1" applyBorder="1" applyAlignment="1">
      <alignment horizontal="left"/>
    </xf>
    <xf numFmtId="0" fontId="0" fillId="0" borderId="25" xfId="0" applyBorder="1"/>
    <xf numFmtId="0" fontId="0" fillId="0" borderId="40" xfId="0" applyBorder="1" applyAlignment="1">
      <alignment horizontal="center"/>
    </xf>
    <xf numFmtId="0" fontId="1" fillId="18" borderId="24" xfId="0" applyFont="1" applyFill="1" applyBorder="1"/>
    <xf numFmtId="16" fontId="0" fillId="18" borderId="40" xfId="0" applyNumberFormat="1" applyFill="1" applyBorder="1" applyAlignment="1">
      <alignment horizontal="left"/>
    </xf>
    <xf numFmtId="0" fontId="1" fillId="0" borderId="41" xfId="0" applyFont="1" applyBorder="1" applyAlignment="1">
      <alignment horizontal="left"/>
    </xf>
    <xf numFmtId="20" fontId="0" fillId="0" borderId="32" xfId="0" applyNumberFormat="1" applyBorder="1"/>
    <xf numFmtId="0" fontId="1" fillId="0" borderId="27" xfId="0" applyFont="1" applyBorder="1" applyAlignment="1">
      <alignment horizontal="right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44" xfId="0" applyBorder="1"/>
    <xf numFmtId="0" fontId="0" fillId="0" borderId="45" xfId="0" applyBorder="1"/>
    <xf numFmtId="0" fontId="9" fillId="0" borderId="43" xfId="0" applyFont="1" applyBorder="1" applyAlignment="1">
      <alignment horizontal="center"/>
    </xf>
    <xf numFmtId="0" fontId="0" fillId="0" borderId="20" xfId="0" applyBorder="1"/>
    <xf numFmtId="0" fontId="1" fillId="19" borderId="15" xfId="0" applyFont="1" applyFill="1" applyBorder="1"/>
    <xf numFmtId="0" fontId="0" fillId="17" borderId="0" xfId="0" applyFill="1"/>
    <xf numFmtId="0" fontId="0" fillId="12" borderId="0" xfId="0" applyFill="1"/>
    <xf numFmtId="0" fontId="0" fillId="3" borderId="0" xfId="0" quotePrefix="1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20" borderId="1" xfId="0" applyFill="1" applyBorder="1" applyAlignment="1">
      <alignment horizontal="center"/>
    </xf>
    <xf numFmtId="0" fontId="0" fillId="20" borderId="1" xfId="0" applyFill="1" applyBorder="1"/>
    <xf numFmtId="0" fontId="4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66" fontId="0" fillId="0" borderId="0" xfId="0" applyNumberFormat="1"/>
    <xf numFmtId="0" fontId="0" fillId="20" borderId="0" xfId="0" applyFill="1"/>
    <xf numFmtId="16" fontId="9" fillId="0" borderId="1" xfId="0" quotePrefix="1" applyNumberFormat="1" applyFont="1" applyBorder="1" applyAlignment="1">
      <alignment horizontal="center"/>
    </xf>
    <xf numFmtId="0" fontId="0" fillId="21" borderId="0" xfId="0" applyFill="1"/>
    <xf numFmtId="0" fontId="0" fillId="0" borderId="1" xfId="0" quotePrefix="1" applyBorder="1" applyAlignment="1">
      <alignment horizontal="center"/>
    </xf>
    <xf numFmtId="0" fontId="1" fillId="0" borderId="16" xfId="0" applyFont="1" applyBorder="1" applyAlignment="1">
      <alignment horizontal="right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21" borderId="17" xfId="0" applyFill="1" applyBorder="1" applyAlignment="1">
      <alignment horizontal="center"/>
    </xf>
    <xf numFmtId="0" fontId="0" fillId="0" borderId="0" xfId="0" quotePrefix="1" applyAlignment="1">
      <alignment horizontal="center"/>
    </xf>
    <xf numFmtId="0" fontId="0" fillId="0" borderId="43" xfId="0" applyBorder="1" applyAlignment="1">
      <alignment horizontal="right"/>
    </xf>
    <xf numFmtId="0" fontId="1" fillId="21" borderId="27" xfId="0" applyFont="1" applyFill="1" applyBorder="1"/>
    <xf numFmtId="0" fontId="0" fillId="21" borderId="42" xfId="0" applyFill="1" applyBorder="1" applyAlignment="1">
      <alignment horizontal="center"/>
    </xf>
    <xf numFmtId="0" fontId="0" fillId="21" borderId="42" xfId="0" applyFill="1" applyBorder="1"/>
    <xf numFmtId="17" fontId="0" fillId="21" borderId="37" xfId="0" applyNumberFormat="1" applyFill="1" applyBorder="1"/>
    <xf numFmtId="0" fontId="0" fillId="23" borderId="0" xfId="0" applyFill="1"/>
    <xf numFmtId="0" fontId="0" fillId="23" borderId="1" xfId="0" applyFill="1" applyBorder="1" applyAlignment="1">
      <alignment horizontal="center"/>
    </xf>
    <xf numFmtId="0" fontId="0" fillId="23" borderId="1" xfId="0" applyFill="1" applyBorder="1"/>
    <xf numFmtId="0" fontId="0" fillId="21" borderId="38" xfId="0" applyFill="1" applyBorder="1"/>
    <xf numFmtId="0" fontId="0" fillId="2" borderId="14" xfId="0" applyFill="1" applyBorder="1" applyAlignment="1">
      <alignment horizontal="center"/>
    </xf>
    <xf numFmtId="0" fontId="0" fillId="12" borderId="14" xfId="0" applyFill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0" fillId="0" borderId="51" xfId="0" applyBorder="1"/>
    <xf numFmtId="0" fontId="0" fillId="0" borderId="53" xfId="0" applyBorder="1"/>
    <xf numFmtId="0" fontId="0" fillId="0" borderId="17" xfId="0" quotePrefix="1" applyBorder="1" applyAlignment="1">
      <alignment horizontal="center"/>
    </xf>
    <xf numFmtId="9" fontId="0" fillId="0" borderId="17" xfId="0" applyNumberFormat="1" applyBorder="1" applyAlignment="1">
      <alignment horizontal="center"/>
    </xf>
    <xf numFmtId="16" fontId="9" fillId="0" borderId="17" xfId="0" quotePrefix="1" applyNumberFormat="1" applyFont="1" applyBorder="1" applyAlignment="1">
      <alignment horizontal="center"/>
    </xf>
    <xf numFmtId="0" fontId="0" fillId="23" borderId="1" xfId="0" quotePrefix="1" applyFill="1" applyBorder="1"/>
    <xf numFmtId="0" fontId="1" fillId="0" borderId="54" xfId="0" applyFont="1" applyBorder="1" applyAlignment="1">
      <alignment horizontal="right"/>
    </xf>
    <xf numFmtId="0" fontId="0" fillId="21" borderId="26" xfId="0" applyFill="1" applyBorder="1" applyAlignment="1">
      <alignment horizontal="center"/>
    </xf>
    <xf numFmtId="0" fontId="0" fillId="0" borderId="47" xfId="0" applyBorder="1" applyAlignment="1">
      <alignment horizontal="center"/>
    </xf>
    <xf numFmtId="0" fontId="0" fillId="21" borderId="24" xfId="0" applyFill="1" applyBorder="1"/>
    <xf numFmtId="0" fontId="0" fillId="0" borderId="22" xfId="0" applyBorder="1"/>
    <xf numFmtId="0" fontId="0" fillId="0" borderId="16" xfId="0" applyBorder="1"/>
    <xf numFmtId="17" fontId="7" fillId="0" borderId="0" xfId="0" applyNumberFormat="1" applyFont="1"/>
    <xf numFmtId="0" fontId="1" fillId="0" borderId="13" xfId="0" applyFont="1" applyBorder="1" applyAlignment="1">
      <alignment horizontal="center"/>
    </xf>
    <xf numFmtId="0" fontId="0" fillId="0" borderId="55" xfId="0" applyBorder="1" applyAlignment="1">
      <alignment horizontal="center"/>
    </xf>
    <xf numFmtId="16" fontId="0" fillId="0" borderId="0" xfId="0" applyNumberFormat="1" applyAlignment="1">
      <alignment horizontal="center"/>
    </xf>
    <xf numFmtId="16" fontId="0" fillId="0" borderId="51" xfId="0" applyNumberFormat="1" applyBorder="1" applyAlignment="1">
      <alignment horizontal="center"/>
    </xf>
    <xf numFmtId="0" fontId="0" fillId="0" borderId="25" xfId="0" applyBorder="1" applyAlignment="1">
      <alignment horizontal="center"/>
    </xf>
    <xf numFmtId="9" fontId="0" fillId="0" borderId="40" xfId="0" applyNumberFormat="1" applyBorder="1" applyAlignment="1">
      <alignment horizontal="center"/>
    </xf>
    <xf numFmtId="9" fontId="0" fillId="0" borderId="41" xfId="0" applyNumberForma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56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53" xfId="0" applyBorder="1" applyAlignment="1">
      <alignment horizontal="right"/>
    </xf>
    <xf numFmtId="0" fontId="0" fillId="0" borderId="41" xfId="0" applyBorder="1"/>
    <xf numFmtId="0" fontId="0" fillId="0" borderId="25" xfId="0" applyBorder="1" applyAlignment="1">
      <alignment horizontal="right"/>
    </xf>
    <xf numFmtId="0" fontId="0" fillId="0" borderId="57" xfId="0" applyBorder="1"/>
    <xf numFmtId="0" fontId="1" fillId="22" borderId="2" xfId="0" applyFont="1" applyFill="1" applyBorder="1" applyAlignment="1">
      <alignment horizontal="left" indent="4"/>
    </xf>
    <xf numFmtId="0" fontId="1" fillId="22" borderId="3" xfId="0" applyFont="1" applyFill="1" applyBorder="1" applyAlignment="1">
      <alignment horizontal="left" indent="4"/>
    </xf>
    <xf numFmtId="0" fontId="1" fillId="22" borderId="4" xfId="0" applyFont="1" applyFill="1" applyBorder="1" applyAlignment="1">
      <alignment horizontal="left" indent="4"/>
    </xf>
    <xf numFmtId="0" fontId="0" fillId="23" borderId="0" xfId="0" applyFill="1" applyAlignment="1">
      <alignment horizontal="center"/>
    </xf>
    <xf numFmtId="0" fontId="0" fillId="21" borderId="49" xfId="0" applyFill="1" applyBorder="1" applyAlignment="1">
      <alignment horizontal="center"/>
    </xf>
    <xf numFmtId="0" fontId="0" fillId="21" borderId="50" xfId="0" applyFill="1" applyBorder="1" applyAlignment="1">
      <alignment horizontal="center"/>
    </xf>
    <xf numFmtId="0" fontId="0" fillId="21" borderId="52" xfId="0" applyFill="1" applyBorder="1" applyAlignment="1">
      <alignment horizontal="center"/>
    </xf>
    <xf numFmtId="0" fontId="0" fillId="0" borderId="40" xfId="0" applyBorder="1"/>
    <xf numFmtId="0" fontId="0" fillId="0" borderId="2" xfId="0" applyBorder="1" applyAlignment="1">
      <alignment horizontal="right"/>
    </xf>
    <xf numFmtId="0" fontId="0" fillId="0" borderId="13" xfId="0" applyBorder="1"/>
    <xf numFmtId="0" fontId="0" fillId="0" borderId="5" xfId="0" applyBorder="1" applyAlignment="1">
      <alignment horizontal="right"/>
    </xf>
    <xf numFmtId="0" fontId="1" fillId="24" borderId="43" xfId="0" applyFont="1" applyFill="1" applyBorder="1"/>
    <xf numFmtId="0" fontId="1" fillId="2" borderId="43" xfId="0" applyFont="1" applyFill="1" applyBorder="1"/>
    <xf numFmtId="0" fontId="0" fillId="19" borderId="0" xfId="0" applyFill="1"/>
    <xf numFmtId="0" fontId="8" fillId="25" borderId="0" xfId="0" applyFont="1" applyFill="1"/>
    <xf numFmtId="0" fontId="4" fillId="0" borderId="0" xfId="0" applyFont="1"/>
    <xf numFmtId="16" fontId="4" fillId="0" borderId="13" xfId="0" applyNumberFormat="1" applyFont="1" applyBorder="1"/>
    <xf numFmtId="16" fontId="4" fillId="0" borderId="14" xfId="0" applyNumberFormat="1" applyFont="1" applyBorder="1"/>
    <xf numFmtId="16" fontId="4" fillId="0" borderId="13" xfId="0" applyNumberFormat="1" applyFont="1" applyBorder="1" applyAlignment="1">
      <alignment horizontal="center"/>
    </xf>
    <xf numFmtId="16" fontId="4" fillId="0" borderId="14" xfId="0" applyNumberFormat="1" applyFont="1" applyBorder="1" applyAlignment="1">
      <alignment horizontal="center"/>
    </xf>
    <xf numFmtId="16" fontId="9" fillId="0" borderId="14" xfId="0" applyNumberFormat="1" applyFont="1" applyBorder="1" applyAlignment="1">
      <alignment horizontal="center"/>
    </xf>
    <xf numFmtId="16" fontId="9" fillId="0" borderId="15" xfId="0" applyNumberFormat="1" applyFont="1" applyBorder="1" applyAlignment="1">
      <alignment horizontal="center"/>
    </xf>
    <xf numFmtId="16" fontId="4" fillId="0" borderId="16" xfId="0" applyNumberFormat="1" applyFont="1" applyBorder="1" applyAlignment="1">
      <alignment horizontal="center"/>
    </xf>
    <xf numFmtId="0" fontId="0" fillId="0" borderId="59" xfId="0" applyBorder="1"/>
    <xf numFmtId="0" fontId="0" fillId="0" borderId="60" xfId="0" applyBorder="1"/>
    <xf numFmtId="16" fontId="4" fillId="0" borderId="17" xfId="0" applyNumberFormat="1" applyFont="1" applyBorder="1" applyAlignment="1">
      <alignment horizontal="center"/>
    </xf>
    <xf numFmtId="16" fontId="9" fillId="0" borderId="17" xfId="0" applyNumberFormat="1" applyFont="1" applyBorder="1" applyAlignment="1">
      <alignment horizontal="center"/>
    </xf>
    <xf numFmtId="0" fontId="11" fillId="0" borderId="62" xfId="0" applyFont="1" applyBorder="1" applyAlignment="1">
      <alignment horizontal="right"/>
    </xf>
    <xf numFmtId="0" fontId="0" fillId="0" borderId="63" xfId="0" applyBorder="1"/>
    <xf numFmtId="0" fontId="0" fillId="0" borderId="0" xfId="0" quotePrefix="1"/>
    <xf numFmtId="0" fontId="0" fillId="0" borderId="64" xfId="0" applyBorder="1"/>
    <xf numFmtId="0" fontId="0" fillId="0" borderId="58" xfId="0" applyBorder="1"/>
    <xf numFmtId="0" fontId="0" fillId="0" borderId="61" xfId="0" applyBorder="1"/>
    <xf numFmtId="0" fontId="0" fillId="18" borderId="29" xfId="0" applyFill="1" applyBorder="1"/>
    <xf numFmtId="0" fontId="0" fillId="18" borderId="30" xfId="0" applyFill="1" applyBorder="1"/>
    <xf numFmtId="0" fontId="0" fillId="18" borderId="31" xfId="0" applyFill="1" applyBorder="1"/>
    <xf numFmtId="0" fontId="0" fillId="18" borderId="24" xfId="0" applyFill="1" applyBorder="1" applyAlignment="1">
      <alignment horizontal="center"/>
    </xf>
    <xf numFmtId="0" fontId="0" fillId="18" borderId="13" xfId="0" applyFill="1" applyBorder="1" applyAlignment="1">
      <alignment horizontal="right"/>
    </xf>
    <xf numFmtId="0" fontId="0" fillId="18" borderId="22" xfId="0" applyFill="1" applyBorder="1" applyAlignment="1">
      <alignment horizontal="right"/>
    </xf>
    <xf numFmtId="0" fontId="0" fillId="18" borderId="16" xfId="0" applyFill="1" applyBorder="1" applyAlignment="1">
      <alignment horizontal="right"/>
    </xf>
    <xf numFmtId="0" fontId="0" fillId="0" borderId="43" xfId="0" applyBorder="1" applyAlignment="1">
      <alignment horizontal="center"/>
    </xf>
    <xf numFmtId="16" fontId="0" fillId="25" borderId="14" xfId="0" applyNumberFormat="1" applyFill="1" applyBorder="1"/>
    <xf numFmtId="0" fontId="0" fillId="0" borderId="42" xfId="0" applyBorder="1"/>
    <xf numFmtId="0" fontId="1" fillId="0" borderId="5" xfId="0" applyFont="1" applyBorder="1"/>
    <xf numFmtId="0" fontId="0" fillId="0" borderId="6" xfId="0" applyBorder="1" applyAlignment="1">
      <alignment horizontal="right"/>
    </xf>
    <xf numFmtId="0" fontId="0" fillId="26" borderId="0" xfId="0" applyFill="1"/>
    <xf numFmtId="0" fontId="0" fillId="26" borderId="9" xfId="0" applyFill="1" applyBorder="1"/>
    <xf numFmtId="0" fontId="0" fillId="26" borderId="11" xfId="0" applyFill="1" applyBorder="1"/>
    <xf numFmtId="0" fontId="0" fillId="26" borderId="12" xfId="0" applyFill="1" applyBorder="1"/>
    <xf numFmtId="0" fontId="11" fillId="0" borderId="39" xfId="0" applyFont="1" applyBorder="1" applyAlignment="1">
      <alignment horizontal="right"/>
    </xf>
    <xf numFmtId="0" fontId="0" fillId="0" borderId="65" xfId="0" applyBorder="1"/>
    <xf numFmtId="16" fontId="4" fillId="0" borderId="17" xfId="0" applyNumberFormat="1" applyFont="1" applyBorder="1"/>
    <xf numFmtId="0" fontId="1" fillId="18" borderId="52" xfId="0" applyFont="1" applyFill="1" applyBorder="1"/>
    <xf numFmtId="1" fontId="1" fillId="18" borderId="48" xfId="0" applyNumberFormat="1" applyFont="1" applyFill="1" applyBorder="1"/>
    <xf numFmtId="0" fontId="0" fillId="27" borderId="0" xfId="0" applyFill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9" fontId="5" fillId="0" borderId="5" xfId="0" applyNumberFormat="1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1" fillId="21" borderId="42" xfId="0" applyFont="1" applyFill="1" applyBorder="1"/>
    <xf numFmtId="0" fontId="0" fillId="15" borderId="0" xfId="0" applyFill="1"/>
    <xf numFmtId="0" fontId="0" fillId="24" borderId="0" xfId="0" applyFill="1"/>
    <xf numFmtId="0" fontId="0" fillId="27" borderId="0" xfId="0" applyFill="1" applyAlignment="1">
      <alignment horizontal="center"/>
    </xf>
    <xf numFmtId="0" fontId="0" fillId="27" borderId="66" xfId="0" applyFill="1" applyBorder="1" applyAlignment="1">
      <alignment horizontal="right"/>
    </xf>
    <xf numFmtId="9" fontId="0" fillId="27" borderId="0" xfId="0" applyNumberFormat="1" applyFill="1" applyAlignment="1">
      <alignment horizontal="center"/>
    </xf>
    <xf numFmtId="20" fontId="0" fillId="0" borderId="0" xfId="0" applyNumberFormat="1"/>
    <xf numFmtId="0" fontId="4" fillId="0" borderId="17" xfId="0" applyFont="1" applyBorder="1"/>
    <xf numFmtId="0" fontId="8" fillId="0" borderId="20" xfId="0" applyFont="1" applyBorder="1" applyAlignment="1">
      <alignment horizontal="center"/>
    </xf>
    <xf numFmtId="0" fontId="0" fillId="0" borderId="8" xfId="0" quotePrefix="1" applyBorder="1"/>
    <xf numFmtId="0" fontId="4" fillId="0" borderId="2" xfId="0" applyFont="1" applyBorder="1" applyAlignment="1">
      <alignment horizontal="center"/>
    </xf>
    <xf numFmtId="0" fontId="16" fillId="0" borderId="3" xfId="0" applyFont="1" applyBorder="1"/>
    <xf numFmtId="2" fontId="0" fillId="0" borderId="3" xfId="0" applyNumberFormat="1" applyBorder="1"/>
    <xf numFmtId="0" fontId="17" fillId="0" borderId="0" xfId="0" applyFont="1"/>
    <xf numFmtId="16" fontId="4" fillId="0" borderId="15" xfId="0" applyNumberFormat="1" applyFont="1" applyBorder="1"/>
    <xf numFmtId="0" fontId="0" fillId="0" borderId="0" xfId="0" applyAlignment="1">
      <alignment horizontal="right"/>
    </xf>
    <xf numFmtId="16" fontId="4" fillId="29" borderId="14" xfId="0" applyNumberFormat="1" applyFont="1" applyFill="1" applyBorder="1"/>
    <xf numFmtId="16" fontId="4" fillId="29" borderId="15" xfId="0" applyNumberFormat="1" applyFont="1" applyFill="1" applyBorder="1"/>
    <xf numFmtId="0" fontId="0" fillId="2" borderId="1" xfId="0" applyFill="1" applyBorder="1"/>
    <xf numFmtId="16" fontId="9" fillId="0" borderId="18" xfId="0" applyNumberFormat="1" applyFont="1" applyBorder="1" applyAlignment="1">
      <alignment horizontal="center"/>
    </xf>
    <xf numFmtId="16" fontId="4" fillId="0" borderId="16" xfId="0" applyNumberFormat="1" applyFont="1" applyBorder="1"/>
    <xf numFmtId="0" fontId="0" fillId="11" borderId="20" xfId="0" applyFill="1" applyBorder="1" applyAlignment="1">
      <alignment horizontal="center"/>
    </xf>
    <xf numFmtId="0" fontId="0" fillId="18" borderId="1" xfId="0" applyFill="1" applyBorder="1"/>
    <xf numFmtId="0" fontId="0" fillId="18" borderId="1" xfId="0" applyFill="1" applyBorder="1" applyAlignment="1">
      <alignment horizontal="center"/>
    </xf>
    <xf numFmtId="17" fontId="0" fillId="0" borderId="1" xfId="0" quotePrefix="1" applyNumberFormat="1" applyBorder="1"/>
    <xf numFmtId="9" fontId="0" fillId="0" borderId="1" xfId="0" applyNumberFormat="1" applyBorder="1"/>
    <xf numFmtId="16" fontId="0" fillId="0" borderId="1" xfId="0" quotePrefix="1" applyNumberFormat="1" applyBorder="1" applyAlignment="1">
      <alignment horizontal="right"/>
    </xf>
    <xf numFmtId="0" fontId="0" fillId="0" borderId="1" xfId="0" quotePrefix="1" applyBorder="1"/>
    <xf numFmtId="16" fontId="0" fillId="0" borderId="1" xfId="0" quotePrefix="1" applyNumberFormat="1" applyBorder="1"/>
    <xf numFmtId="0" fontId="0" fillId="0" borderId="1" xfId="0" quotePrefix="1" applyBorder="1" applyAlignment="1">
      <alignment horizontal="right"/>
    </xf>
    <xf numFmtId="0" fontId="0" fillId="31" borderId="1" xfId="0" quotePrefix="1" applyFill="1" applyBorder="1"/>
    <xf numFmtId="9" fontId="0" fillId="31" borderId="1" xfId="0" applyNumberFormat="1" applyFill="1" applyBorder="1"/>
    <xf numFmtId="0" fontId="0" fillId="31" borderId="1" xfId="0" quotePrefix="1" applyFill="1" applyBorder="1" applyAlignment="1">
      <alignment horizontal="right"/>
    </xf>
    <xf numFmtId="0" fontId="0" fillId="2" borderId="1" xfId="0" quotePrefix="1" applyFill="1" applyBorder="1"/>
    <xf numFmtId="9" fontId="0" fillId="2" borderId="1" xfId="0" applyNumberFormat="1" applyFill="1" applyBorder="1"/>
    <xf numFmtId="0" fontId="0" fillId="2" borderId="1" xfId="0" quotePrefix="1" applyFill="1" applyBorder="1" applyAlignment="1">
      <alignment horizontal="right"/>
    </xf>
    <xf numFmtId="0" fontId="0" fillId="6" borderId="1" xfId="0" quotePrefix="1" applyFill="1" applyBorder="1"/>
    <xf numFmtId="9" fontId="0" fillId="6" borderId="1" xfId="0" applyNumberFormat="1" applyFill="1" applyBorder="1"/>
    <xf numFmtId="0" fontId="0" fillId="6" borderId="1" xfId="0" quotePrefix="1" applyFill="1" applyBorder="1" applyAlignment="1">
      <alignment horizontal="right"/>
    </xf>
    <xf numFmtId="0" fontId="1" fillId="18" borderId="0" xfId="0" applyFont="1" applyFill="1"/>
    <xf numFmtId="0" fontId="9" fillId="0" borderId="0" xfId="0" applyFont="1" applyAlignment="1">
      <alignment horizontal="center"/>
    </xf>
    <xf numFmtId="17" fontId="1" fillId="13" borderId="0" xfId="0" applyNumberFormat="1" applyFont="1" applyFill="1" applyAlignment="1">
      <alignment horizontal="center" vertical="center"/>
    </xf>
    <xf numFmtId="16" fontId="0" fillId="0" borderId="19" xfId="0" applyNumberFormat="1" applyBorder="1"/>
    <xf numFmtId="16" fontId="1" fillId="0" borderId="19" xfId="0" applyNumberFormat="1" applyFont="1" applyBorder="1"/>
    <xf numFmtId="16" fontId="0" fillId="0" borderId="20" xfId="0" applyNumberFormat="1" applyBorder="1"/>
    <xf numFmtId="16" fontId="1" fillId="0" borderId="13" xfId="0" applyNumberFormat="1" applyFont="1" applyBorder="1" applyAlignment="1">
      <alignment horizontal="center"/>
    </xf>
    <xf numFmtId="16" fontId="1" fillId="0" borderId="14" xfId="0" applyNumberFormat="1" applyFont="1" applyBorder="1" applyAlignment="1">
      <alignment horizontal="center"/>
    </xf>
    <xf numFmtId="16" fontId="0" fillId="0" borderId="14" xfId="0" applyNumberFormat="1" applyBorder="1" applyAlignment="1">
      <alignment horizontal="center"/>
    </xf>
    <xf numFmtId="16" fontId="0" fillId="0" borderId="15" xfId="0" applyNumberFormat="1" applyBorder="1" applyAlignment="1">
      <alignment horizontal="center"/>
    </xf>
    <xf numFmtId="16" fontId="4" fillId="18" borderId="40" xfId="0" applyNumberFormat="1" applyFont="1" applyFill="1" applyBorder="1" applyAlignment="1">
      <alignment horizontal="left"/>
    </xf>
    <xf numFmtId="0" fontId="0" fillId="28" borderId="0" xfId="0" applyFill="1"/>
    <xf numFmtId="17" fontId="0" fillId="0" borderId="28" xfId="0" applyNumberFormat="1" applyBorder="1" applyAlignment="1">
      <alignment horizontal="center"/>
    </xf>
    <xf numFmtId="0" fontId="0" fillId="0" borderId="62" xfId="0" applyBorder="1" applyAlignment="1">
      <alignment horizontal="center"/>
    </xf>
    <xf numFmtId="165" fontId="0" fillId="0" borderId="68" xfId="0" applyNumberFormat="1" applyBorder="1"/>
    <xf numFmtId="165" fontId="0" fillId="0" borderId="69" xfId="0" applyNumberFormat="1" applyBorder="1"/>
    <xf numFmtId="0" fontId="1" fillId="0" borderId="24" xfId="0" applyFont="1" applyBorder="1"/>
    <xf numFmtId="0" fontId="0" fillId="0" borderId="49" xfId="0" applyBorder="1" applyAlignment="1">
      <alignment horizontal="center"/>
    </xf>
    <xf numFmtId="0" fontId="0" fillId="0" borderId="71" xfId="0" applyBorder="1" applyAlignment="1">
      <alignment horizontal="center"/>
    </xf>
    <xf numFmtId="0" fontId="1" fillId="19" borderId="23" xfId="0" applyFont="1" applyFill="1" applyBorder="1"/>
    <xf numFmtId="0" fontId="15" fillId="0" borderId="1" xfId="0" applyFont="1" applyBorder="1"/>
    <xf numFmtId="0" fontId="14" fillId="0" borderId="1" xfId="0" applyFont="1" applyBorder="1"/>
    <xf numFmtId="0" fontId="1" fillId="32" borderId="1" xfId="0" applyFont="1" applyFill="1" applyBorder="1"/>
    <xf numFmtId="0" fontId="15" fillId="6" borderId="1" xfId="0" applyFont="1" applyFill="1" applyBorder="1"/>
    <xf numFmtId="0" fontId="1" fillId="13" borderId="1" xfId="0" applyFont="1" applyFill="1" applyBorder="1"/>
    <xf numFmtId="0" fontId="0" fillId="12" borderId="1" xfId="0" applyFill="1" applyBorder="1"/>
    <xf numFmtId="16" fontId="0" fillId="0" borderId="2" xfId="0" applyNumberFormat="1" applyBorder="1"/>
    <xf numFmtId="0" fontId="18" fillId="0" borderId="0" xfId="0" applyFont="1"/>
    <xf numFmtId="17" fontId="0" fillId="0" borderId="0" xfId="0" applyNumberFormat="1"/>
    <xf numFmtId="16" fontId="4" fillId="0" borderId="58" xfId="0" applyNumberFormat="1" applyFont="1" applyBorder="1" applyAlignment="1">
      <alignment horizontal="center"/>
    </xf>
    <xf numFmtId="0" fontId="0" fillId="0" borderId="19" xfId="0" applyBorder="1"/>
    <xf numFmtId="0" fontId="0" fillId="26" borderId="29" xfId="0" applyFill="1" applyBorder="1"/>
    <xf numFmtId="0" fontId="0" fillId="26" borderId="30" xfId="0" applyFill="1" applyBorder="1"/>
    <xf numFmtId="0" fontId="0" fillId="26" borderId="31" xfId="0" applyFill="1" applyBorder="1"/>
    <xf numFmtId="20" fontId="0" fillId="0" borderId="2" xfId="0" applyNumberFormat="1" applyBorder="1"/>
    <xf numFmtId="1" fontId="6" fillId="0" borderId="2" xfId="0" applyNumberFormat="1" applyFont="1" applyBorder="1" applyAlignment="1">
      <alignment horizontal="right" wrapText="1"/>
    </xf>
    <xf numFmtId="0" fontId="0" fillId="26" borderId="62" xfId="0" applyFill="1" applyBorder="1" applyAlignment="1">
      <alignment horizontal="center"/>
    </xf>
    <xf numFmtId="164" fontId="0" fillId="26" borderId="30" xfId="0" applyNumberFormat="1" applyFill="1" applyBorder="1"/>
    <xf numFmtId="165" fontId="0" fillId="26" borderId="43" xfId="0" applyNumberFormat="1" applyFill="1" applyBorder="1"/>
    <xf numFmtId="20" fontId="0" fillId="0" borderId="45" xfId="0" applyNumberFormat="1" applyBorder="1"/>
    <xf numFmtId="0" fontId="0" fillId="25" borderId="55" xfId="0" applyFill="1" applyBorder="1" applyAlignment="1">
      <alignment horizontal="center"/>
    </xf>
    <xf numFmtId="0" fontId="0" fillId="25" borderId="0" xfId="0" applyFill="1" applyAlignment="1">
      <alignment horizontal="center"/>
    </xf>
    <xf numFmtId="0" fontId="0" fillId="18" borderId="38" xfId="0" applyFill="1" applyBorder="1" applyAlignment="1">
      <alignment horizontal="center"/>
    </xf>
    <xf numFmtId="0" fontId="19" fillId="0" borderId="0" xfId="0" applyFont="1"/>
    <xf numFmtId="16" fontId="19" fillId="0" borderId="14" xfId="0" applyNumberFormat="1" applyFont="1" applyBorder="1" applyAlignment="1">
      <alignment horizontal="center"/>
    </xf>
    <xf numFmtId="16" fontId="0" fillId="0" borderId="46" xfId="0" applyNumberFormat="1" applyBorder="1" applyAlignment="1">
      <alignment horizontal="center"/>
    </xf>
    <xf numFmtId="16" fontId="0" fillId="0" borderId="68" xfId="0" applyNumberFormat="1" applyBorder="1" applyAlignment="1">
      <alignment horizontal="center"/>
    </xf>
    <xf numFmtId="16" fontId="4" fillId="0" borderId="70" xfId="0" applyNumberFormat="1" applyFont="1" applyBorder="1" applyAlignment="1">
      <alignment horizontal="center"/>
    </xf>
    <xf numFmtId="16" fontId="0" fillId="0" borderId="13" xfId="0" applyNumberFormat="1" applyBorder="1"/>
    <xf numFmtId="16" fontId="0" fillId="0" borderId="14" xfId="0" applyNumberFormat="1" applyBorder="1"/>
    <xf numFmtId="16" fontId="0" fillId="29" borderId="14" xfId="0" applyNumberFormat="1" applyFill="1" applyBorder="1"/>
    <xf numFmtId="16" fontId="0" fillId="0" borderId="17" xfId="0" applyNumberFormat="1" applyBorder="1"/>
    <xf numFmtId="16" fontId="0" fillId="0" borderId="18" xfId="0" applyNumberFormat="1" applyBorder="1"/>
    <xf numFmtId="1" fontId="0" fillId="0" borderId="43" xfId="0" applyNumberFormat="1" applyBorder="1" applyAlignment="1">
      <alignment horizontal="right"/>
    </xf>
    <xf numFmtId="0" fontId="1" fillId="18" borderId="5" xfId="0" applyFont="1" applyFill="1" applyBorder="1"/>
    <xf numFmtId="0" fontId="0" fillId="18" borderId="6" xfId="0" applyFill="1" applyBorder="1" applyAlignment="1">
      <alignment horizontal="right"/>
    </xf>
    <xf numFmtId="0" fontId="0" fillId="18" borderId="6" xfId="0" applyFill="1" applyBorder="1"/>
    <xf numFmtId="0" fontId="0" fillId="18" borderId="7" xfId="0" applyFill="1" applyBorder="1"/>
    <xf numFmtId="0" fontId="0" fillId="18" borderId="8" xfId="0" applyFill="1" applyBorder="1"/>
    <xf numFmtId="0" fontId="0" fillId="18" borderId="9" xfId="0" applyFill="1" applyBorder="1"/>
    <xf numFmtId="0" fontId="0" fillId="18" borderId="10" xfId="0" applyFill="1" applyBorder="1"/>
    <xf numFmtId="0" fontId="0" fillId="18" borderId="11" xfId="0" applyFill="1" applyBorder="1"/>
    <xf numFmtId="0" fontId="0" fillId="18" borderId="12" xfId="0" applyFill="1" applyBorder="1"/>
    <xf numFmtId="0" fontId="1" fillId="25" borderId="5" xfId="0" applyFont="1" applyFill="1" applyBorder="1"/>
    <xf numFmtId="0" fontId="0" fillId="25" borderId="6" xfId="0" applyFill="1" applyBorder="1" applyAlignment="1">
      <alignment horizontal="right"/>
    </xf>
    <xf numFmtId="0" fontId="0" fillId="25" borderId="6" xfId="0" applyFill="1" applyBorder="1"/>
    <xf numFmtId="0" fontId="0" fillId="25" borderId="7" xfId="0" applyFill="1" applyBorder="1"/>
    <xf numFmtId="0" fontId="0" fillId="25" borderId="8" xfId="0" applyFill="1" applyBorder="1"/>
    <xf numFmtId="0" fontId="0" fillId="25" borderId="0" xfId="0" applyFill="1"/>
    <xf numFmtId="0" fontId="0" fillId="25" borderId="9" xfId="0" applyFill="1" applyBorder="1"/>
    <xf numFmtId="0" fontId="0" fillId="25" borderId="10" xfId="0" applyFill="1" applyBorder="1"/>
    <xf numFmtId="0" fontId="0" fillId="25" borderId="11" xfId="0" applyFill="1" applyBorder="1"/>
    <xf numFmtId="0" fontId="0" fillId="25" borderId="12" xfId="0" applyFill="1" applyBorder="1"/>
    <xf numFmtId="0" fontId="0" fillId="33" borderId="0" xfId="0" applyFill="1"/>
    <xf numFmtId="17" fontId="0" fillId="18" borderId="1" xfId="0" applyNumberFormat="1" applyFill="1" applyBorder="1" applyAlignment="1">
      <alignment horizontal="center"/>
    </xf>
    <xf numFmtId="17" fontId="0" fillId="24" borderId="37" xfId="0" applyNumberFormat="1" applyFill="1" applyBorder="1"/>
    <xf numFmtId="0" fontId="1" fillId="24" borderId="24" xfId="0" applyFont="1" applyFill="1" applyBorder="1"/>
    <xf numFmtId="16" fontId="9" fillId="0" borderId="46" xfId="0" applyNumberFormat="1" applyFont="1" applyBorder="1" applyAlignment="1">
      <alignment horizontal="center"/>
    </xf>
    <xf numFmtId="16" fontId="9" fillId="0" borderId="17" xfId="0" applyNumberFormat="1" applyFont="1" applyBorder="1"/>
    <xf numFmtId="0" fontId="1" fillId="0" borderId="16" xfId="0" applyFont="1" applyBorder="1"/>
    <xf numFmtId="0" fontId="9" fillId="0" borderId="13" xfId="0" applyFont="1" applyBorder="1"/>
    <xf numFmtId="0" fontId="1" fillId="12" borderId="5" xfId="0" applyFont="1" applyFill="1" applyBorder="1"/>
    <xf numFmtId="0" fontId="0" fillId="12" borderId="6" xfId="0" applyFill="1" applyBorder="1" applyAlignment="1">
      <alignment horizontal="right"/>
    </xf>
    <xf numFmtId="0" fontId="0" fillId="12" borderId="6" xfId="0" applyFill="1" applyBorder="1"/>
    <xf numFmtId="0" fontId="0" fillId="12" borderId="7" xfId="0" applyFill="1" applyBorder="1"/>
    <xf numFmtId="0" fontId="0" fillId="12" borderId="8" xfId="0" applyFill="1" applyBorder="1"/>
    <xf numFmtId="0" fontId="0" fillId="12" borderId="9" xfId="0" applyFill="1" applyBorder="1"/>
    <xf numFmtId="0" fontId="0" fillId="12" borderId="10" xfId="0" applyFill="1" applyBorder="1"/>
    <xf numFmtId="0" fontId="0" fillId="12" borderId="11" xfId="0" applyFill="1" applyBorder="1"/>
    <xf numFmtId="0" fontId="0" fillId="12" borderId="12" xfId="0" applyFill="1" applyBorder="1"/>
    <xf numFmtId="0" fontId="1" fillId="19" borderId="5" xfId="0" applyFont="1" applyFill="1" applyBorder="1"/>
    <xf numFmtId="0" fontId="0" fillId="19" borderId="6" xfId="0" applyFill="1" applyBorder="1" applyAlignment="1">
      <alignment horizontal="right"/>
    </xf>
    <xf numFmtId="0" fontId="0" fillId="19" borderId="6" xfId="0" applyFill="1" applyBorder="1"/>
    <xf numFmtId="0" fontId="0" fillId="19" borderId="7" xfId="0" applyFill="1" applyBorder="1"/>
    <xf numFmtId="0" fontId="0" fillId="19" borderId="8" xfId="0" applyFill="1" applyBorder="1"/>
    <xf numFmtId="0" fontId="0" fillId="19" borderId="9" xfId="0" applyFill="1" applyBorder="1"/>
    <xf numFmtId="0" fontId="0" fillId="19" borderId="10" xfId="0" applyFill="1" applyBorder="1"/>
    <xf numFmtId="0" fontId="0" fillId="19" borderId="11" xfId="0" applyFill="1" applyBorder="1"/>
    <xf numFmtId="0" fontId="0" fillId="19" borderId="12" xfId="0" applyFill="1" applyBorder="1"/>
    <xf numFmtId="0" fontId="10" fillId="0" borderId="49" xfId="0" applyFont="1" applyBorder="1" applyAlignment="1">
      <alignment horizontal="center" vertical="center" textRotation="90" wrapText="1"/>
    </xf>
    <xf numFmtId="0" fontId="10" fillId="0" borderId="50" xfId="0" applyFont="1" applyBorder="1" applyAlignment="1">
      <alignment horizontal="center" vertical="center" textRotation="90" wrapText="1"/>
    </xf>
    <xf numFmtId="0" fontId="10" fillId="0" borderId="52" xfId="0" applyFont="1" applyBorder="1" applyAlignment="1">
      <alignment horizontal="center" vertical="center" textRotation="90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24" borderId="20" xfId="0" applyFont="1" applyFill="1" applyBorder="1" applyAlignment="1">
      <alignment horizontal="center" vertical="center"/>
    </xf>
    <xf numFmtId="0" fontId="1" fillId="24" borderId="26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30" borderId="0" xfId="0" applyFill="1" applyAlignment="1">
      <alignment horizontal="center"/>
    </xf>
    <xf numFmtId="0" fontId="0" fillId="19" borderId="13" xfId="0" applyFill="1" applyBorder="1" applyAlignment="1">
      <alignment horizontal="center"/>
    </xf>
    <xf numFmtId="0" fontId="0" fillId="19" borderId="14" xfId="0" applyFill="1" applyBorder="1" applyAlignment="1">
      <alignment horizontal="center"/>
    </xf>
    <xf numFmtId="0" fontId="0" fillId="19" borderId="22" xfId="0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21" borderId="67" xfId="0" applyFill="1" applyBorder="1" applyAlignment="1">
      <alignment horizontal="center"/>
    </xf>
    <xf numFmtId="0" fontId="0" fillId="21" borderId="34" xfId="0" applyFill="1" applyBorder="1" applyAlignment="1">
      <alignment horizontal="center"/>
    </xf>
    <xf numFmtId="0" fontId="0" fillId="21" borderId="35" xfId="0" applyFill="1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42" xfId="0" applyBorder="1" applyAlignment="1">
      <alignment horizontal="left"/>
    </xf>
    <xf numFmtId="0" fontId="0" fillId="0" borderId="37" xfId="0" applyBorder="1" applyAlignment="1">
      <alignment horizontal="left"/>
    </xf>
    <xf numFmtId="0" fontId="1" fillId="21" borderId="0" xfId="0" applyFont="1" applyFill="1" applyAlignment="1">
      <alignment horizontal="center"/>
    </xf>
    <xf numFmtId="0" fontId="7" fillId="19" borderId="27" xfId="0" applyFont="1" applyFill="1" applyBorder="1" applyAlignment="1">
      <alignment horizontal="center"/>
    </xf>
    <xf numFmtId="0" fontId="7" fillId="19" borderId="37" xfId="0" applyFont="1" applyFill="1" applyBorder="1" applyAlignment="1">
      <alignment horizontal="center"/>
    </xf>
    <xf numFmtId="0" fontId="0" fillId="18" borderId="24" xfId="0" applyFill="1" applyBorder="1" applyAlignment="1">
      <alignment horizontal="center"/>
    </xf>
    <xf numFmtId="0" fontId="0" fillId="18" borderId="38" xfId="0" applyFill="1" applyBorder="1" applyAlignment="1">
      <alignment horizontal="center"/>
    </xf>
    <xf numFmtId="0" fontId="1" fillId="18" borderId="24" xfId="0" applyFont="1" applyFill="1" applyBorder="1" applyAlignment="1">
      <alignment horizontal="center" wrapText="1"/>
    </xf>
    <xf numFmtId="0" fontId="1" fillId="18" borderId="39" xfId="0" applyFont="1" applyFill="1" applyBorder="1" applyAlignment="1">
      <alignment horizontal="center" wrapText="1"/>
    </xf>
    <xf numFmtId="0" fontId="1" fillId="18" borderId="55" xfId="0" applyFont="1" applyFill="1" applyBorder="1" applyAlignment="1">
      <alignment horizontal="center" wrapText="1"/>
    </xf>
    <xf numFmtId="0" fontId="1" fillId="18" borderId="5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6C2F5"/>
      <color rgb="FFEF93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February</a:t>
            </a:r>
            <a:r>
              <a:rPr lang="en-US" baseline="0"/>
              <a:t> Grade routes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'My Climb Jan26'!$N$107</c:f>
              <c:strCache>
                <c:ptCount val="1"/>
                <c:pt idx="0">
                  <c:v>nr.Rotes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'My Climb Jan26'!$M$108:$M$115</c:f>
              <c:strCache>
                <c:ptCount val="8"/>
                <c:pt idx="0">
                  <c:v>7b-7b+</c:v>
                </c:pt>
                <c:pt idx="1">
                  <c:v>7a-7a+</c:v>
                </c:pt>
                <c:pt idx="2">
                  <c:v>6c-6c+</c:v>
                </c:pt>
                <c:pt idx="3">
                  <c:v>6b-6b+</c:v>
                </c:pt>
                <c:pt idx="4">
                  <c:v>6a-6a+</c:v>
                </c:pt>
                <c:pt idx="5">
                  <c:v>5c-5c+</c:v>
                </c:pt>
                <c:pt idx="6">
                  <c:v>5a-5b+</c:v>
                </c:pt>
                <c:pt idx="7">
                  <c:v>3-4c</c:v>
                </c:pt>
              </c:strCache>
            </c:strRef>
          </c:cat>
          <c:val>
            <c:numRef>
              <c:f>'My Climb Jan26'!$N$108:$N$115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F8-43E8-B0EA-B718FD3D2E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11394224"/>
        <c:axId val="1011395184"/>
      </c:barChart>
      <c:catAx>
        <c:axId val="1011394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395184"/>
        <c:crosses val="autoZero"/>
        <c:auto val="1"/>
        <c:lblAlgn val="ctr"/>
        <c:lblOffset val="100"/>
        <c:noMultiLvlLbl val="0"/>
      </c:catAx>
      <c:valAx>
        <c:axId val="1011395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394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February</a:t>
            </a:r>
            <a:r>
              <a:rPr lang="en-GB" baseline="0"/>
              <a:t> </a:t>
            </a:r>
            <a:r>
              <a:rPr lang="en-GB"/>
              <a:t>m/grade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'My Climb Jan26'!$O$107</c:f>
              <c:strCache>
                <c:ptCount val="1"/>
                <c:pt idx="0">
                  <c:v>m/grade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'My Climb Jan26'!$M$108:$M$115</c:f>
              <c:strCache>
                <c:ptCount val="8"/>
                <c:pt idx="0">
                  <c:v>7b-7b+</c:v>
                </c:pt>
                <c:pt idx="1">
                  <c:v>7a-7a+</c:v>
                </c:pt>
                <c:pt idx="2">
                  <c:v>6c-6c+</c:v>
                </c:pt>
                <c:pt idx="3">
                  <c:v>6b-6b+</c:v>
                </c:pt>
                <c:pt idx="4">
                  <c:v>6a-6a+</c:v>
                </c:pt>
                <c:pt idx="5">
                  <c:v>5c-5c+</c:v>
                </c:pt>
                <c:pt idx="6">
                  <c:v>5a-5b+</c:v>
                </c:pt>
                <c:pt idx="7">
                  <c:v>3-4c</c:v>
                </c:pt>
              </c:strCache>
            </c:strRef>
          </c:cat>
          <c:val>
            <c:numRef>
              <c:f>'My Climb Jan26'!$O$108:$O$115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CD-4367-B196-D43B17E413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62282976"/>
        <c:axId val="762279616"/>
      </c:barChart>
      <c:catAx>
        <c:axId val="762282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279616"/>
        <c:crosses val="autoZero"/>
        <c:auto val="1"/>
        <c:lblAlgn val="ctr"/>
        <c:lblOffset val="100"/>
        <c:noMultiLvlLbl val="0"/>
      </c:catAx>
      <c:valAx>
        <c:axId val="762279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282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_xlchart.v2.3</cx:f>
      </cx:strDim>
      <cx:numDim type="val">
        <cx:f>_xlchart.v2.5</cx:f>
      </cx:numDim>
    </cx:data>
  </cx:chartData>
  <cx:chart>
    <cx:title pos="t" align="ctr" overlay="0">
      <cx:tx>
        <cx:txData>
          <cx:v>January grades climbed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P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January grades climbed</a:t>
          </a:r>
        </a:p>
      </cx:txPr>
    </cx:title>
    <cx:plotArea>
      <cx:plotAreaRegion>
        <cx:series layoutId="funnel" uniqueId="{A003F98F-E273-486D-B8EF-26A149080445}">
          <cx:tx>
            <cx:txData>
              <cx:f>_xlchart.v2.4</cx:f>
              <cx:v>nr.Rotes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txData>
          <cx:v>January meters climbed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P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January meters climbed</a:t>
          </a:r>
        </a:p>
      </cx:txPr>
    </cx:title>
    <cx:plotArea>
      <cx:plotAreaRegion>
        <cx:series layoutId="funnel" uniqueId="{A4ED4C9B-2694-4B9B-A798-8D85DE668EBF}">
          <cx:tx>
            <cx:txData>
              <cx:f>_xlchart.v2.1</cx:f>
              <cx:v>m/grade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4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488680</xdr:colOff>
      <xdr:row>56</xdr:row>
      <xdr:rowOff>105465</xdr:rowOff>
    </xdr:from>
    <xdr:to>
      <xdr:col>22</xdr:col>
      <xdr:colOff>745441</xdr:colOff>
      <xdr:row>68</xdr:row>
      <xdr:rowOff>82826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22EA597C-AD38-F22F-30BA-386D40356AE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998180" y="11002065"/>
              <a:ext cx="4358861" cy="230146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24</xdr:col>
      <xdr:colOff>37733</xdr:colOff>
      <xdr:row>56</xdr:row>
      <xdr:rowOff>87059</xdr:rowOff>
    </xdr:from>
    <xdr:to>
      <xdr:col>30</xdr:col>
      <xdr:colOff>386522</xdr:colOff>
      <xdr:row>68</xdr:row>
      <xdr:rowOff>18406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7621AF2D-BF88-3D12-9302-5EECA5C7CC9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249533" y="10983659"/>
              <a:ext cx="4641389" cy="225544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17</xdr:col>
      <xdr:colOff>83746</xdr:colOff>
      <xdr:row>107</xdr:row>
      <xdr:rowOff>41045</xdr:rowOff>
    </xdr:from>
    <xdr:to>
      <xdr:col>24</xdr:col>
      <xdr:colOff>100312</xdr:colOff>
      <xdr:row>121</xdr:row>
      <xdr:rowOff>179825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E661949-F05C-4AB6-087F-7965299CB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562297</xdr:colOff>
      <xdr:row>107</xdr:row>
      <xdr:rowOff>31843</xdr:rowOff>
    </xdr:from>
    <xdr:to>
      <xdr:col>32</xdr:col>
      <xdr:colOff>35891</xdr:colOff>
      <xdr:row>121</xdr:row>
      <xdr:rowOff>170623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23EA8B2-38B9-151D-98CC-304E34E506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374650</xdr:colOff>
      <xdr:row>26</xdr:row>
      <xdr:rowOff>19050</xdr:rowOff>
    </xdr:from>
    <xdr:to>
      <xdr:col>0</xdr:col>
      <xdr:colOff>393700</xdr:colOff>
      <xdr:row>34</xdr:row>
      <xdr:rowOff>76200</xdr:rowOff>
    </xdr:to>
    <xdr:cxnSp macro="">
      <xdr:nvCxnSpPr>
        <xdr:cNvPr id="2" name="Conexão reta unidirecional 1">
          <a:extLst>
            <a:ext uri="{FF2B5EF4-FFF2-40B4-BE49-F238E27FC236}">
              <a16:creationId xmlns:a16="http://schemas.microsoft.com/office/drawing/2014/main" id="{97F6A959-2944-4C9B-8550-7E8AF107EC67}"/>
            </a:ext>
          </a:extLst>
        </xdr:cNvPr>
        <xdr:cNvCxnSpPr/>
      </xdr:nvCxnSpPr>
      <xdr:spPr>
        <a:xfrm flipV="1">
          <a:off x="6445250" y="1123950"/>
          <a:ext cx="19050" cy="1530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400050</xdr:colOff>
      <xdr:row>34</xdr:row>
      <xdr:rowOff>127000</xdr:rowOff>
    </xdr:from>
    <xdr:to>
      <xdr:col>7</xdr:col>
      <xdr:colOff>393700</xdr:colOff>
      <xdr:row>34</xdr:row>
      <xdr:rowOff>177800</xdr:rowOff>
    </xdr:to>
    <xdr:cxnSp macro="">
      <xdr:nvCxnSpPr>
        <xdr:cNvPr id="3" name="Conexão reta unidirecional 2">
          <a:extLst>
            <a:ext uri="{FF2B5EF4-FFF2-40B4-BE49-F238E27FC236}">
              <a16:creationId xmlns:a16="http://schemas.microsoft.com/office/drawing/2014/main" id="{ADB225EE-7C82-4D59-B6D7-E4BF05D39EFF}"/>
            </a:ext>
          </a:extLst>
        </xdr:cNvPr>
        <xdr:cNvCxnSpPr/>
      </xdr:nvCxnSpPr>
      <xdr:spPr>
        <a:xfrm>
          <a:off x="6470650" y="2705100"/>
          <a:ext cx="4260850" cy="50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425450</xdr:colOff>
      <xdr:row>7</xdr:row>
      <xdr:rowOff>0</xdr:rowOff>
    </xdr:from>
    <xdr:to>
      <xdr:col>5</xdr:col>
      <xdr:colOff>6350</xdr:colOff>
      <xdr:row>8</xdr:row>
      <xdr:rowOff>0</xdr:rowOff>
    </xdr:to>
    <xdr:pic>
      <xdr:nvPicPr>
        <xdr:cNvPr id="2" name="Gráfico 1" descr="Raquete e bola de ténis destaque">
          <a:extLst>
            <a:ext uri="{FF2B5EF4-FFF2-40B4-BE49-F238E27FC236}">
              <a16:creationId xmlns:a16="http://schemas.microsoft.com/office/drawing/2014/main" id="{EA2188E4-5110-4BDE-A200-98CA42978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581900" y="1314450"/>
          <a:ext cx="190500" cy="1905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25400</xdr:rowOff>
    </xdr:from>
    <xdr:to>
      <xdr:col>10</xdr:col>
      <xdr:colOff>190500</xdr:colOff>
      <xdr:row>8</xdr:row>
      <xdr:rowOff>31750</xdr:rowOff>
    </xdr:to>
    <xdr:pic>
      <xdr:nvPicPr>
        <xdr:cNvPr id="3" name="Gráfico 2" descr="Raquete e bola de ténis destaque">
          <a:extLst>
            <a:ext uri="{FF2B5EF4-FFF2-40B4-BE49-F238E27FC236}">
              <a16:creationId xmlns:a16="http://schemas.microsoft.com/office/drawing/2014/main" id="{F1042AC9-7638-4B93-B3E7-2AA08CF72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649200" y="1333500"/>
          <a:ext cx="190500" cy="190500"/>
        </a:xfrm>
        <a:prstGeom prst="rect">
          <a:avLst/>
        </a:prstGeom>
      </xdr:spPr>
    </xdr:pic>
    <xdr:clientData/>
  </xdr:twoCellAnchor>
  <xdr:twoCellAnchor editAs="oneCell">
    <xdr:from>
      <xdr:col>7</xdr:col>
      <xdr:colOff>158750</xdr:colOff>
      <xdr:row>2</xdr:row>
      <xdr:rowOff>6350</xdr:rowOff>
    </xdr:from>
    <xdr:to>
      <xdr:col>7</xdr:col>
      <xdr:colOff>349250</xdr:colOff>
      <xdr:row>3</xdr:row>
      <xdr:rowOff>19050</xdr:rowOff>
    </xdr:to>
    <xdr:pic>
      <xdr:nvPicPr>
        <xdr:cNvPr id="11" name="Gráfico 10" descr="Raquete e bola de ténis destaque">
          <a:extLst>
            <a:ext uri="{FF2B5EF4-FFF2-40B4-BE49-F238E27FC236}">
              <a16:creationId xmlns:a16="http://schemas.microsoft.com/office/drawing/2014/main" id="{D59A718F-25F2-454B-B1A6-9FC5E91AC1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277350" y="387350"/>
          <a:ext cx="190500" cy="196850"/>
        </a:xfrm>
        <a:prstGeom prst="rect">
          <a:avLst/>
        </a:prstGeom>
      </xdr:spPr>
    </xdr:pic>
    <xdr:clientData/>
  </xdr:twoCellAnchor>
  <xdr:twoCellAnchor editAs="oneCell">
    <xdr:from>
      <xdr:col>5</xdr:col>
      <xdr:colOff>196850</xdr:colOff>
      <xdr:row>5</xdr:row>
      <xdr:rowOff>146050</xdr:rowOff>
    </xdr:from>
    <xdr:to>
      <xdr:col>5</xdr:col>
      <xdr:colOff>495300</xdr:colOff>
      <xdr:row>7</xdr:row>
      <xdr:rowOff>69850</xdr:rowOff>
    </xdr:to>
    <xdr:pic>
      <xdr:nvPicPr>
        <xdr:cNvPr id="12" name="Gráfico 11" descr="Haltere com preenchimento sólido">
          <a:extLst>
            <a:ext uri="{FF2B5EF4-FFF2-40B4-BE49-F238E27FC236}">
              <a16:creationId xmlns:a16="http://schemas.microsoft.com/office/drawing/2014/main" id="{3169B3D3-C307-449B-A426-AE463AFCE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962900" y="1079500"/>
          <a:ext cx="298450" cy="304800"/>
        </a:xfrm>
        <a:prstGeom prst="rect">
          <a:avLst/>
        </a:prstGeom>
      </xdr:spPr>
    </xdr:pic>
    <xdr:clientData/>
  </xdr:twoCellAnchor>
  <xdr:oneCellAnchor>
    <xdr:from>
      <xdr:col>9</xdr:col>
      <xdr:colOff>25400</xdr:colOff>
      <xdr:row>2</xdr:row>
      <xdr:rowOff>19050</xdr:rowOff>
    </xdr:from>
    <xdr:ext cx="222250" cy="228600"/>
    <xdr:pic>
      <xdr:nvPicPr>
        <xdr:cNvPr id="14" name="Gráfico 13" descr="Escalada com preenchimento sólido">
          <a:extLst>
            <a:ext uri="{FF2B5EF4-FFF2-40B4-BE49-F238E27FC236}">
              <a16:creationId xmlns:a16="http://schemas.microsoft.com/office/drawing/2014/main" id="{198014A1-901A-4DE0-8570-4DF6335A8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0363200" y="400050"/>
          <a:ext cx="222250" cy="228600"/>
        </a:xfrm>
        <a:prstGeom prst="rect">
          <a:avLst/>
        </a:prstGeom>
      </xdr:spPr>
    </xdr:pic>
    <xdr:clientData/>
  </xdr:oneCellAnchor>
  <xdr:oneCellAnchor>
    <xdr:from>
      <xdr:col>8</xdr:col>
      <xdr:colOff>450850</xdr:colOff>
      <xdr:row>5</xdr:row>
      <xdr:rowOff>184150</xdr:rowOff>
    </xdr:from>
    <xdr:ext cx="222250" cy="228600"/>
    <xdr:pic>
      <xdr:nvPicPr>
        <xdr:cNvPr id="17" name="Gráfico 16" descr="Escalada com preenchimento sólido">
          <a:extLst>
            <a:ext uri="{FF2B5EF4-FFF2-40B4-BE49-F238E27FC236}">
              <a16:creationId xmlns:a16="http://schemas.microsoft.com/office/drawing/2014/main" id="{DD7FDB8B-E533-4A1E-BC5B-085AEC2FD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8826500" y="1117600"/>
          <a:ext cx="222250" cy="228600"/>
        </a:xfrm>
        <a:prstGeom prst="rect">
          <a:avLst/>
        </a:prstGeom>
      </xdr:spPr>
    </xdr:pic>
    <xdr:clientData/>
  </xdr:oneCellAnchor>
  <xdr:oneCellAnchor>
    <xdr:from>
      <xdr:col>9</xdr:col>
      <xdr:colOff>425450</xdr:colOff>
      <xdr:row>6</xdr:row>
      <xdr:rowOff>0</xdr:rowOff>
    </xdr:from>
    <xdr:ext cx="190500" cy="190500"/>
    <xdr:pic>
      <xdr:nvPicPr>
        <xdr:cNvPr id="19" name="Gráfico 18" descr="Raquete e bola de ténis destaque">
          <a:extLst>
            <a:ext uri="{FF2B5EF4-FFF2-40B4-BE49-F238E27FC236}">
              <a16:creationId xmlns:a16="http://schemas.microsoft.com/office/drawing/2014/main" id="{37A0DA3F-0C90-4CFD-8E48-01A32718F5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581900" y="1314450"/>
          <a:ext cx="190500" cy="190500"/>
        </a:xfrm>
        <a:prstGeom prst="rect">
          <a:avLst/>
        </a:prstGeom>
      </xdr:spPr>
    </xdr:pic>
    <xdr:clientData/>
  </xdr:oneCellAnchor>
  <xdr:oneCellAnchor>
    <xdr:from>
      <xdr:col>6</xdr:col>
      <xdr:colOff>508000</xdr:colOff>
      <xdr:row>7</xdr:row>
      <xdr:rowOff>0</xdr:rowOff>
    </xdr:from>
    <xdr:ext cx="190500" cy="190500"/>
    <xdr:pic>
      <xdr:nvPicPr>
        <xdr:cNvPr id="23" name="Gráfico 22" descr="Raquete e bola de ténis destaque">
          <a:extLst>
            <a:ext uri="{FF2B5EF4-FFF2-40B4-BE49-F238E27FC236}">
              <a16:creationId xmlns:a16="http://schemas.microsoft.com/office/drawing/2014/main" id="{ED98E196-7304-4CEF-B795-ACDA4CA79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883650" y="1314450"/>
          <a:ext cx="190500" cy="190500"/>
        </a:xfrm>
        <a:prstGeom prst="rect">
          <a:avLst/>
        </a:prstGeom>
      </xdr:spPr>
    </xdr:pic>
    <xdr:clientData/>
  </xdr:oneCellAnchor>
  <xdr:oneCellAnchor>
    <xdr:from>
      <xdr:col>4</xdr:col>
      <xdr:colOff>450850</xdr:colOff>
      <xdr:row>5</xdr:row>
      <xdr:rowOff>184150</xdr:rowOff>
    </xdr:from>
    <xdr:ext cx="222250" cy="228600"/>
    <xdr:pic>
      <xdr:nvPicPr>
        <xdr:cNvPr id="4" name="Gráfico 3" descr="Escalada com preenchimento sólido">
          <a:extLst>
            <a:ext uri="{FF2B5EF4-FFF2-40B4-BE49-F238E27FC236}">
              <a16:creationId xmlns:a16="http://schemas.microsoft.com/office/drawing/2014/main" id="{E3A4C66D-7080-4211-868A-784300F4D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8826500" y="1117600"/>
          <a:ext cx="222250" cy="228600"/>
        </a:xfrm>
        <a:prstGeom prst="rect">
          <a:avLst/>
        </a:prstGeom>
      </xdr:spPr>
    </xdr:pic>
    <xdr:clientData/>
  </xdr:oneCellAnchor>
  <xdr:twoCellAnchor editAs="oneCell">
    <xdr:from>
      <xdr:col>8</xdr:col>
      <xdr:colOff>63500</xdr:colOff>
      <xdr:row>1</xdr:row>
      <xdr:rowOff>152400</xdr:rowOff>
    </xdr:from>
    <xdr:to>
      <xdr:col>8</xdr:col>
      <xdr:colOff>361950</xdr:colOff>
      <xdr:row>3</xdr:row>
      <xdr:rowOff>76200</xdr:rowOff>
    </xdr:to>
    <xdr:pic>
      <xdr:nvPicPr>
        <xdr:cNvPr id="6" name="Gráfico 5" descr="Haltere com preenchimento sólido">
          <a:extLst>
            <a:ext uri="{FF2B5EF4-FFF2-40B4-BE49-F238E27FC236}">
              <a16:creationId xmlns:a16="http://schemas.microsoft.com/office/drawing/2014/main" id="{35885693-E6EE-453D-87CF-0AF7DA50F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791700" y="336550"/>
          <a:ext cx="298450" cy="304800"/>
        </a:xfrm>
        <a:prstGeom prst="rect">
          <a:avLst/>
        </a:prstGeom>
      </xdr:spPr>
    </xdr:pic>
    <xdr:clientData/>
  </xdr:twoCellAnchor>
  <xdr:oneCellAnchor>
    <xdr:from>
      <xdr:col>12</xdr:col>
      <xdr:colOff>450850</xdr:colOff>
      <xdr:row>5</xdr:row>
      <xdr:rowOff>184150</xdr:rowOff>
    </xdr:from>
    <xdr:ext cx="222250" cy="228600"/>
    <xdr:pic>
      <xdr:nvPicPr>
        <xdr:cNvPr id="7" name="Gráfico 6" descr="Escalada com preenchimento sólido">
          <a:extLst>
            <a:ext uri="{FF2B5EF4-FFF2-40B4-BE49-F238E27FC236}">
              <a16:creationId xmlns:a16="http://schemas.microsoft.com/office/drawing/2014/main" id="{140B862F-9CAC-4401-8B3B-D0AE1FD842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2617450" y="1117600"/>
          <a:ext cx="222250" cy="2286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FBE28-2E42-4909-9FEC-965E8E8054D7}">
  <dimension ref="A1:Z135"/>
  <sheetViews>
    <sheetView topLeftCell="H7" workbookViewId="0">
      <selection activeCell="M2" sqref="M2:Z21"/>
    </sheetView>
  </sheetViews>
  <sheetFormatPr baseColWidth="10" defaultColWidth="8.83203125" defaultRowHeight="15" x14ac:dyDescent="0.2"/>
  <cols>
    <col min="1" max="1" width="8.6640625" style="124"/>
    <col min="2" max="2" width="3.6640625" customWidth="1"/>
    <col min="3" max="3" width="32.1640625" bestFit="1" customWidth="1"/>
    <col min="4" max="4" width="4.83203125" style="2" bestFit="1" customWidth="1"/>
    <col min="5" max="5" width="7.1640625" style="2" bestFit="1" customWidth="1"/>
    <col min="6" max="6" width="7.83203125" style="2" customWidth="1"/>
    <col min="7" max="7" width="6.6640625" style="2" bestFit="1" customWidth="1"/>
    <col min="8" max="8" width="7.5" style="2" customWidth="1"/>
    <col min="9" max="9" width="6.5" bestFit="1" customWidth="1"/>
    <col min="10" max="10" width="5.33203125" bestFit="1" customWidth="1"/>
    <col min="11" max="11" width="9.6640625" bestFit="1" customWidth="1"/>
    <col min="12" max="12" width="5.83203125" bestFit="1" customWidth="1"/>
    <col min="13" max="13" width="8.5" bestFit="1" customWidth="1"/>
    <col min="14" max="14" width="8.1640625" customWidth="1"/>
    <col min="15" max="15" width="12.5" customWidth="1"/>
    <col min="16" max="16" width="9.5" customWidth="1"/>
    <col min="23" max="23" width="4.83203125" bestFit="1" customWidth="1"/>
    <col min="24" max="24" width="6.6640625" bestFit="1" customWidth="1"/>
    <col min="25" max="25" width="8.33203125" bestFit="1" customWidth="1"/>
  </cols>
  <sheetData>
    <row r="1" spans="2:26" ht="16" thickBot="1" x14ac:dyDescent="0.25"/>
    <row r="2" spans="2:26" ht="16" thickBot="1" x14ac:dyDescent="0.25">
      <c r="C2" s="111" t="s">
        <v>205</v>
      </c>
      <c r="D2" s="106"/>
      <c r="E2" s="107" t="s">
        <v>1</v>
      </c>
      <c r="F2" s="108" t="s">
        <v>36</v>
      </c>
      <c r="I2" s="15" t="s">
        <v>429</v>
      </c>
      <c r="J2" s="15" t="s">
        <v>21</v>
      </c>
      <c r="K2" s="42" t="s">
        <v>288</v>
      </c>
      <c r="N2" s="144" t="s">
        <v>274</v>
      </c>
      <c r="O2" s="145"/>
      <c r="P2" s="145"/>
      <c r="Q2" s="145"/>
      <c r="R2" s="145"/>
      <c r="S2" s="145"/>
      <c r="T2" s="146"/>
      <c r="U2" s="146"/>
      <c r="V2" s="147">
        <v>45413</v>
      </c>
    </row>
    <row r="3" spans="2:26" ht="16" thickBot="1" x14ac:dyDescent="0.25">
      <c r="C3" s="109"/>
      <c r="D3" s="110"/>
      <c r="E3" s="112">
        <v>45868</v>
      </c>
      <c r="F3" s="113">
        <v>48.5</v>
      </c>
      <c r="I3" s="268" t="s">
        <v>430</v>
      </c>
      <c r="J3" s="269">
        <v>0.6</v>
      </c>
      <c r="K3" s="270" t="s">
        <v>299</v>
      </c>
      <c r="M3">
        <v>1</v>
      </c>
      <c r="N3" t="s">
        <v>275</v>
      </c>
      <c r="O3" s="2"/>
      <c r="P3" s="2"/>
      <c r="Q3" s="2"/>
      <c r="R3" s="2"/>
      <c r="S3" s="2"/>
      <c r="V3" s="3" t="s">
        <v>276</v>
      </c>
    </row>
    <row r="4" spans="2:26" x14ac:dyDescent="0.2">
      <c r="B4" t="s">
        <v>19</v>
      </c>
      <c r="E4" s="3"/>
      <c r="F4" s="3"/>
      <c r="I4" s="272" t="s">
        <v>431</v>
      </c>
      <c r="J4" s="269">
        <v>0.75</v>
      </c>
      <c r="K4" s="273" t="s">
        <v>338</v>
      </c>
      <c r="M4">
        <v>2</v>
      </c>
      <c r="N4" t="s">
        <v>277</v>
      </c>
      <c r="O4" s="2"/>
      <c r="P4" s="2"/>
      <c r="Q4" s="2"/>
      <c r="R4" s="2"/>
      <c r="S4" s="2"/>
      <c r="V4" s="3" t="s">
        <v>278</v>
      </c>
    </row>
    <row r="5" spans="2:26" x14ac:dyDescent="0.2">
      <c r="B5" s="238">
        <v>1</v>
      </c>
      <c r="C5" s="1" t="s">
        <v>10</v>
      </c>
      <c r="I5" s="271" t="s">
        <v>432</v>
      </c>
      <c r="J5" s="269">
        <v>0.85</v>
      </c>
      <c r="K5" s="273" t="s">
        <v>231</v>
      </c>
      <c r="M5">
        <v>3</v>
      </c>
      <c r="N5" t="s">
        <v>279</v>
      </c>
      <c r="O5" s="2"/>
      <c r="P5" s="2"/>
      <c r="Q5" s="2"/>
      <c r="R5" s="2"/>
      <c r="S5" s="2"/>
      <c r="V5" s="2" t="s">
        <v>280</v>
      </c>
    </row>
    <row r="6" spans="2:26" x14ac:dyDescent="0.2">
      <c r="C6" s="262" t="s">
        <v>62</v>
      </c>
      <c r="D6" s="265" t="s">
        <v>29</v>
      </c>
      <c r="E6" s="265" t="s">
        <v>423</v>
      </c>
      <c r="F6" s="265" t="s">
        <v>424</v>
      </c>
      <c r="I6" s="271" t="s">
        <v>433</v>
      </c>
      <c r="J6" s="269">
        <v>0.9</v>
      </c>
      <c r="K6" s="273" t="s">
        <v>271</v>
      </c>
      <c r="M6">
        <v>4</v>
      </c>
      <c r="N6" t="s">
        <v>281</v>
      </c>
      <c r="O6" s="2"/>
      <c r="P6" s="3" t="s">
        <v>286</v>
      </c>
      <c r="Q6" s="2"/>
      <c r="R6" s="2"/>
      <c r="S6" s="2"/>
      <c r="T6" t="s">
        <v>288</v>
      </c>
      <c r="V6" s="2" t="s">
        <v>282</v>
      </c>
    </row>
    <row r="7" spans="2:26" x14ac:dyDescent="0.2">
      <c r="B7" s="238">
        <v>2</v>
      </c>
      <c r="C7" s="42" t="s">
        <v>2</v>
      </c>
      <c r="D7" s="15"/>
      <c r="E7" s="15"/>
      <c r="F7" s="15"/>
      <c r="M7">
        <v>5</v>
      </c>
      <c r="N7" t="s">
        <v>283</v>
      </c>
      <c r="O7" s="2"/>
      <c r="P7" s="3" t="s">
        <v>287</v>
      </c>
      <c r="Q7" s="2"/>
      <c r="R7" s="2"/>
      <c r="S7" s="142" t="s">
        <v>284</v>
      </c>
      <c r="T7" t="s">
        <v>288</v>
      </c>
      <c r="V7" s="2" t="s">
        <v>285</v>
      </c>
    </row>
    <row r="8" spans="2:26" x14ac:dyDescent="0.2">
      <c r="B8" s="102">
        <v>2</v>
      </c>
      <c r="C8" s="266" t="s">
        <v>206</v>
      </c>
      <c r="D8" s="267"/>
      <c r="E8" s="267"/>
      <c r="F8" s="267"/>
    </row>
    <row r="9" spans="2:26" ht="16" thickBot="1" x14ac:dyDescent="0.25">
      <c r="B9" s="238">
        <v>2</v>
      </c>
      <c r="C9" s="42" t="s">
        <v>4</v>
      </c>
      <c r="D9" s="15"/>
      <c r="E9" s="15"/>
      <c r="F9" s="15"/>
    </row>
    <row r="10" spans="2:26" ht="16" thickBot="1" x14ac:dyDescent="0.25">
      <c r="M10" s="17" t="s">
        <v>390</v>
      </c>
      <c r="N10" s="244" t="s">
        <v>274</v>
      </c>
      <c r="O10" s="145"/>
      <c r="P10" s="145"/>
      <c r="Q10" s="145"/>
      <c r="R10" s="145"/>
      <c r="S10" s="145"/>
      <c r="T10" s="146"/>
      <c r="U10" s="146"/>
      <c r="V10" s="147">
        <v>45719</v>
      </c>
    </row>
    <row r="11" spans="2:26" x14ac:dyDescent="0.2">
      <c r="C11" s="1" t="s">
        <v>5</v>
      </c>
      <c r="D11" s="6" t="s">
        <v>14</v>
      </c>
      <c r="E11" s="7" t="s">
        <v>15</v>
      </c>
      <c r="F11" s="7" t="s">
        <v>29</v>
      </c>
      <c r="G11" s="7" t="s">
        <v>16</v>
      </c>
      <c r="H11" s="8" t="s">
        <v>17</v>
      </c>
      <c r="I11" s="105" t="s">
        <v>21</v>
      </c>
      <c r="J11" s="15" t="s">
        <v>22</v>
      </c>
      <c r="M11" s="246">
        <v>1</v>
      </c>
      <c r="N11" t="s">
        <v>275</v>
      </c>
      <c r="O11" s="2"/>
      <c r="P11" s="2"/>
      <c r="Q11" s="2"/>
      <c r="R11" s="2"/>
      <c r="S11" s="2"/>
      <c r="V11" s="239" t="s">
        <v>387</v>
      </c>
    </row>
    <row r="12" spans="2:26" x14ac:dyDescent="0.2">
      <c r="B12" s="238">
        <v>3</v>
      </c>
      <c r="C12" t="s">
        <v>211</v>
      </c>
      <c r="D12" s="2">
        <v>4</v>
      </c>
      <c r="E12" s="2">
        <v>6</v>
      </c>
      <c r="G12" s="2" t="s">
        <v>18</v>
      </c>
      <c r="H12" s="2">
        <f t="shared" ref="H12:H14" si="0">J12*I12</f>
        <v>36.549999999999997</v>
      </c>
      <c r="I12" s="5">
        <v>0.85</v>
      </c>
      <c r="J12" s="42">
        <v>43</v>
      </c>
      <c r="M12" s="246">
        <v>2</v>
      </c>
      <c r="N12" t="s">
        <v>277</v>
      </c>
      <c r="O12" s="2"/>
      <c r="P12" s="2" t="s">
        <v>391</v>
      </c>
      <c r="Q12" s="2" t="s">
        <v>392</v>
      </c>
      <c r="R12" s="2"/>
      <c r="S12" s="2"/>
      <c r="V12" s="239" t="s">
        <v>393</v>
      </c>
    </row>
    <row r="13" spans="2:26" x14ac:dyDescent="0.2">
      <c r="B13" s="238">
        <v>4</v>
      </c>
      <c r="C13" t="s">
        <v>394</v>
      </c>
      <c r="D13" s="2">
        <v>4</v>
      </c>
      <c r="E13" s="2">
        <v>6</v>
      </c>
      <c r="G13" s="2" t="s">
        <v>18</v>
      </c>
      <c r="H13" s="2">
        <f t="shared" si="0"/>
        <v>31.96</v>
      </c>
      <c r="I13" s="5">
        <v>0.85</v>
      </c>
      <c r="J13" s="45">
        <v>37.6</v>
      </c>
      <c r="M13" s="246">
        <v>2</v>
      </c>
      <c r="N13" t="s">
        <v>277</v>
      </c>
      <c r="O13" s="2"/>
      <c r="P13" s="2" t="s">
        <v>425</v>
      </c>
      <c r="Q13" s="2"/>
      <c r="S13" s="2"/>
      <c r="V13" s="240" t="s">
        <v>388</v>
      </c>
      <c r="W13" s="241" t="s">
        <v>21</v>
      </c>
      <c r="X13" s="242" t="s">
        <v>227</v>
      </c>
      <c r="Y13" s="243" t="s">
        <v>223</v>
      </c>
    </row>
    <row r="14" spans="2:26" x14ac:dyDescent="0.2">
      <c r="B14" s="238">
        <v>6</v>
      </c>
      <c r="C14" t="s">
        <v>20</v>
      </c>
      <c r="D14" s="2">
        <v>4</v>
      </c>
      <c r="E14" s="2">
        <v>6</v>
      </c>
      <c r="G14" s="2" t="s">
        <v>18</v>
      </c>
      <c r="H14" s="2">
        <f t="shared" si="0"/>
        <v>27.285</v>
      </c>
      <c r="I14" s="5">
        <v>0.85</v>
      </c>
      <c r="J14" s="45">
        <v>32.1</v>
      </c>
      <c r="M14" s="9">
        <v>3</v>
      </c>
      <c r="N14" t="s">
        <v>279</v>
      </c>
      <c r="O14" s="2"/>
      <c r="P14" s="2"/>
      <c r="Q14" s="2"/>
      <c r="R14" s="2"/>
      <c r="S14" s="2"/>
      <c r="T14" t="s">
        <v>288</v>
      </c>
      <c r="V14" s="252" t="s">
        <v>386</v>
      </c>
      <c r="W14" s="253">
        <v>0.95</v>
      </c>
      <c r="X14">
        <v>41.5</v>
      </c>
      <c r="Y14" s="33">
        <v>7</v>
      </c>
    </row>
    <row r="15" spans="2:26" x14ac:dyDescent="0.2">
      <c r="B15" s="238">
        <v>6</v>
      </c>
      <c r="C15" t="s">
        <v>212</v>
      </c>
      <c r="D15" s="2">
        <v>3</v>
      </c>
      <c r="E15" s="2">
        <v>8</v>
      </c>
      <c r="G15" s="2" t="s">
        <v>18</v>
      </c>
      <c r="H15" s="2">
        <f>J15*I15</f>
        <v>18.02</v>
      </c>
      <c r="I15" s="5">
        <v>0.85</v>
      </c>
      <c r="J15" s="42">
        <v>21.2</v>
      </c>
      <c r="M15" s="79">
        <v>4</v>
      </c>
      <c r="N15" t="s">
        <v>389</v>
      </c>
      <c r="O15" s="2"/>
      <c r="P15" s="3" t="s">
        <v>286</v>
      </c>
      <c r="Q15" s="2"/>
      <c r="R15" s="2"/>
      <c r="S15" s="142" t="s">
        <v>284</v>
      </c>
      <c r="T15" t="s">
        <v>288</v>
      </c>
      <c r="V15" s="254" t="s">
        <v>408</v>
      </c>
      <c r="W15" s="38">
        <f>19*10</f>
        <v>190</v>
      </c>
      <c r="X15" s="255" t="s">
        <v>409</v>
      </c>
      <c r="Y15" s="256">
        <f>W15/60</f>
        <v>3.1666666666666665</v>
      </c>
      <c r="Z15" s="39" t="s">
        <v>410</v>
      </c>
    </row>
    <row r="16" spans="2:26" x14ac:dyDescent="0.2">
      <c r="B16" s="238">
        <v>7</v>
      </c>
      <c r="C16" t="s">
        <v>382</v>
      </c>
      <c r="D16" s="2">
        <v>4</v>
      </c>
      <c r="E16" s="2">
        <v>8</v>
      </c>
      <c r="G16" s="2" t="s">
        <v>18</v>
      </c>
      <c r="H16" s="2">
        <f>J16*I16</f>
        <v>33.15</v>
      </c>
      <c r="I16" s="5">
        <v>0.85</v>
      </c>
      <c r="J16" s="42">
        <v>39</v>
      </c>
      <c r="M16" s="245">
        <v>5</v>
      </c>
      <c r="N16" t="s">
        <v>283</v>
      </c>
      <c r="O16" s="2"/>
      <c r="P16" s="3" t="s">
        <v>287</v>
      </c>
      <c r="Q16" s="2"/>
      <c r="R16" s="2"/>
    </row>
    <row r="18" spans="2:17" x14ac:dyDescent="0.2">
      <c r="M18" t="s">
        <v>397</v>
      </c>
      <c r="N18" t="s">
        <v>400</v>
      </c>
    </row>
    <row r="19" spans="2:17" x14ac:dyDescent="0.2">
      <c r="C19" s="1" t="s">
        <v>6</v>
      </c>
      <c r="D19" s="6" t="s">
        <v>14</v>
      </c>
      <c r="E19" s="7" t="s">
        <v>15</v>
      </c>
      <c r="F19" s="7" t="s">
        <v>29</v>
      </c>
      <c r="G19" s="7" t="s">
        <v>16</v>
      </c>
      <c r="H19" s="8" t="s">
        <v>17</v>
      </c>
      <c r="I19" s="105" t="s">
        <v>21</v>
      </c>
      <c r="J19" s="15" t="s">
        <v>22</v>
      </c>
      <c r="N19" t="s">
        <v>398</v>
      </c>
    </row>
    <row r="20" spans="2:17" x14ac:dyDescent="0.2">
      <c r="B20">
        <v>16</v>
      </c>
      <c r="C20" t="s">
        <v>42</v>
      </c>
      <c r="D20" s="2">
        <v>4</v>
      </c>
      <c r="E20" s="2">
        <v>1</v>
      </c>
      <c r="F20" s="2" t="s">
        <v>26</v>
      </c>
      <c r="G20" s="2" t="s">
        <v>18</v>
      </c>
      <c r="H20" s="2" t="s">
        <v>27</v>
      </c>
      <c r="I20" s="5">
        <v>0.5</v>
      </c>
      <c r="J20" s="45">
        <v>29.5</v>
      </c>
      <c r="M20" t="s">
        <v>399</v>
      </c>
      <c r="N20" t="s">
        <v>400</v>
      </c>
    </row>
    <row r="21" spans="2:17" x14ac:dyDescent="0.2">
      <c r="B21">
        <v>17</v>
      </c>
      <c r="C21" t="s">
        <v>44</v>
      </c>
      <c r="D21" s="2">
        <v>4</v>
      </c>
      <c r="E21" s="2">
        <v>30</v>
      </c>
      <c r="G21" s="2" t="s">
        <v>18</v>
      </c>
      <c r="H21" s="2">
        <v>6</v>
      </c>
      <c r="I21" s="5">
        <v>0.65</v>
      </c>
      <c r="J21" s="45">
        <v>16</v>
      </c>
      <c r="N21" t="s">
        <v>398</v>
      </c>
    </row>
    <row r="22" spans="2:17" x14ac:dyDescent="0.2">
      <c r="B22">
        <v>18</v>
      </c>
      <c r="C22" t="s">
        <v>51</v>
      </c>
      <c r="D22" s="2">
        <v>3</v>
      </c>
      <c r="E22" s="2">
        <v>20</v>
      </c>
      <c r="G22" s="2" t="s">
        <v>26</v>
      </c>
      <c r="H22" s="2" t="s">
        <v>70</v>
      </c>
      <c r="I22" s="5">
        <v>0.8</v>
      </c>
      <c r="J22" s="45">
        <v>6</v>
      </c>
    </row>
    <row r="23" spans="2:17" x14ac:dyDescent="0.2">
      <c r="B23">
        <v>19</v>
      </c>
      <c r="C23" t="s">
        <v>45</v>
      </c>
      <c r="D23" s="2">
        <v>3</v>
      </c>
      <c r="E23" s="2">
        <v>10</v>
      </c>
      <c r="G23" s="2" t="s">
        <v>18</v>
      </c>
      <c r="H23" s="2">
        <f>2+2+4+4</f>
        <v>12</v>
      </c>
      <c r="I23" s="5">
        <v>0.95</v>
      </c>
      <c r="J23" s="45">
        <v>12</v>
      </c>
    </row>
    <row r="24" spans="2:17" x14ac:dyDescent="0.2">
      <c r="B24">
        <v>20</v>
      </c>
      <c r="C24" t="s">
        <v>46</v>
      </c>
      <c r="D24" s="2">
        <v>4</v>
      </c>
      <c r="E24" s="2">
        <v>8</v>
      </c>
      <c r="G24" s="2" t="s">
        <v>18</v>
      </c>
      <c r="H24" s="2">
        <v>4</v>
      </c>
      <c r="I24" s="5">
        <v>0.85</v>
      </c>
      <c r="J24" s="45">
        <v>4</v>
      </c>
    </row>
    <row r="25" spans="2:17" x14ac:dyDescent="0.2">
      <c r="B25">
        <v>21</v>
      </c>
      <c r="C25" t="s">
        <v>71</v>
      </c>
      <c r="D25" s="2">
        <v>4</v>
      </c>
      <c r="E25" s="2">
        <v>10</v>
      </c>
      <c r="G25" s="2" t="s">
        <v>18</v>
      </c>
      <c r="H25" s="2">
        <v>10</v>
      </c>
      <c r="I25" s="5">
        <v>0.9</v>
      </c>
      <c r="J25" s="45">
        <v>10</v>
      </c>
      <c r="Q25" s="2"/>
    </row>
    <row r="26" spans="2:17" x14ac:dyDescent="0.2">
      <c r="B26" s="238">
        <v>8</v>
      </c>
      <c r="C26" t="s">
        <v>384</v>
      </c>
      <c r="D26" s="2">
        <v>4</v>
      </c>
      <c r="E26" s="2">
        <v>8</v>
      </c>
      <c r="G26" s="2" t="s">
        <v>18</v>
      </c>
      <c r="H26" s="2">
        <f>J26*I26</f>
        <v>23.035</v>
      </c>
      <c r="I26" s="5">
        <v>0.85</v>
      </c>
      <c r="J26" s="42">
        <v>27.1</v>
      </c>
      <c r="Q26" s="2"/>
    </row>
    <row r="27" spans="2:17" x14ac:dyDescent="0.2">
      <c r="D27" s="247">
        <v>4</v>
      </c>
      <c r="E27" s="247">
        <v>8</v>
      </c>
      <c r="F27" s="247"/>
      <c r="G27" s="247" t="s">
        <v>18</v>
      </c>
      <c r="H27" s="247">
        <f>J27*I27</f>
        <v>30.004999999999995</v>
      </c>
      <c r="I27" s="249">
        <v>0.85</v>
      </c>
      <c r="J27" s="248">
        <v>35.299999999999997</v>
      </c>
    </row>
    <row r="28" spans="2:17" x14ac:dyDescent="0.2">
      <c r="C28" s="1" t="s">
        <v>7</v>
      </c>
      <c r="D28" s="6" t="s">
        <v>14</v>
      </c>
      <c r="E28" s="7" t="s">
        <v>15</v>
      </c>
      <c r="F28" s="7" t="s">
        <v>29</v>
      </c>
      <c r="G28" s="7" t="s">
        <v>16</v>
      </c>
      <c r="H28" s="8" t="s">
        <v>17</v>
      </c>
      <c r="I28" s="105" t="s">
        <v>21</v>
      </c>
      <c r="J28" s="15" t="s">
        <v>22</v>
      </c>
    </row>
    <row r="29" spans="2:17" x14ac:dyDescent="0.2">
      <c r="C29" s="14" t="s">
        <v>23</v>
      </c>
      <c r="J29" s="42">
        <v>29.5</v>
      </c>
      <c r="K29">
        <f>J29*0.85</f>
        <v>25.074999999999999</v>
      </c>
    </row>
    <row r="30" spans="2:17" x14ac:dyDescent="0.2">
      <c r="C30" t="s">
        <v>25</v>
      </c>
      <c r="D30" s="2">
        <v>3</v>
      </c>
      <c r="E30" s="2">
        <v>8</v>
      </c>
      <c r="F30" s="2" t="s">
        <v>30</v>
      </c>
      <c r="G30" s="2" t="s">
        <v>26</v>
      </c>
      <c r="H30" s="2" t="s">
        <v>27</v>
      </c>
      <c r="I30" s="5">
        <v>0.9</v>
      </c>
      <c r="J30" s="42">
        <v>48.5</v>
      </c>
      <c r="K30" s="2" t="s">
        <v>222</v>
      </c>
    </row>
    <row r="31" spans="2:17" x14ac:dyDescent="0.2">
      <c r="C31" t="s">
        <v>28</v>
      </c>
      <c r="D31" s="2">
        <v>3</v>
      </c>
      <c r="E31" s="2">
        <v>1</v>
      </c>
      <c r="F31" s="2" t="s">
        <v>31</v>
      </c>
      <c r="G31" s="2" t="s">
        <v>26</v>
      </c>
      <c r="H31" s="2" t="s">
        <v>27</v>
      </c>
      <c r="I31" s="5">
        <v>0.9</v>
      </c>
      <c r="J31" s="42">
        <v>48.5</v>
      </c>
      <c r="K31" s="2" t="s">
        <v>222</v>
      </c>
    </row>
    <row r="32" spans="2:17" x14ac:dyDescent="0.2">
      <c r="C32" t="s">
        <v>32</v>
      </c>
      <c r="D32" s="2">
        <v>3</v>
      </c>
      <c r="E32" s="2">
        <v>4</v>
      </c>
      <c r="F32" s="2" t="s">
        <v>30</v>
      </c>
      <c r="G32" s="2" t="s">
        <v>26</v>
      </c>
      <c r="H32" s="2" t="s">
        <v>27</v>
      </c>
      <c r="I32" s="5">
        <v>0.9</v>
      </c>
      <c r="J32" s="42">
        <v>48.5</v>
      </c>
      <c r="K32" s="2" t="s">
        <v>222</v>
      </c>
    </row>
    <row r="33" spans="2:12" x14ac:dyDescent="0.2">
      <c r="B33">
        <v>1</v>
      </c>
      <c r="C33" s="9" t="s">
        <v>33</v>
      </c>
      <c r="D33" s="10">
        <v>4</v>
      </c>
      <c r="E33" s="10">
        <v>2</v>
      </c>
      <c r="F33" s="125" t="s">
        <v>30</v>
      </c>
      <c r="G33" s="10" t="s">
        <v>18</v>
      </c>
      <c r="H33" s="10" t="s">
        <v>27</v>
      </c>
      <c r="I33" s="5">
        <v>1</v>
      </c>
      <c r="J33" s="42">
        <v>48.5</v>
      </c>
      <c r="K33" s="2" t="s">
        <v>222</v>
      </c>
    </row>
    <row r="34" spans="2:12" x14ac:dyDescent="0.2">
      <c r="B34">
        <v>1</v>
      </c>
      <c r="C34" s="9" t="s">
        <v>344</v>
      </c>
      <c r="D34" s="10">
        <v>4</v>
      </c>
      <c r="E34" s="10">
        <v>2</v>
      </c>
      <c r="F34" s="125" t="s">
        <v>30</v>
      </c>
      <c r="G34" s="10" t="s">
        <v>18</v>
      </c>
      <c r="H34" s="125" t="s">
        <v>345</v>
      </c>
      <c r="I34" s="5">
        <v>1</v>
      </c>
      <c r="J34" s="42">
        <v>48.5</v>
      </c>
      <c r="K34" s="2" t="s">
        <v>222</v>
      </c>
    </row>
    <row r="37" spans="2:12" x14ac:dyDescent="0.2">
      <c r="C37" s="14" t="s">
        <v>24</v>
      </c>
      <c r="D37" s="6" t="s">
        <v>14</v>
      </c>
      <c r="E37" s="7" t="s">
        <v>15</v>
      </c>
      <c r="F37" s="7" t="s">
        <v>29</v>
      </c>
      <c r="G37" s="7" t="s">
        <v>16</v>
      </c>
      <c r="H37" s="8" t="s">
        <v>17</v>
      </c>
      <c r="I37" s="105" t="s">
        <v>21</v>
      </c>
      <c r="J37" s="15" t="s">
        <v>22</v>
      </c>
      <c r="K37" s="4">
        <v>0.85</v>
      </c>
      <c r="L37" s="4">
        <v>1</v>
      </c>
    </row>
    <row r="38" spans="2:12" x14ac:dyDescent="0.2">
      <c r="B38" s="238">
        <v>9</v>
      </c>
      <c r="C38" t="s">
        <v>383</v>
      </c>
      <c r="D38" s="2">
        <v>4</v>
      </c>
      <c r="E38" s="2">
        <v>8</v>
      </c>
      <c r="G38" s="2" t="s">
        <v>18</v>
      </c>
      <c r="H38" s="2">
        <f t="shared" ref="H38:H49" si="1">J38*I38</f>
        <v>39.015000000000001</v>
      </c>
      <c r="I38" s="4">
        <v>0.85</v>
      </c>
      <c r="J38" s="45">
        <v>45.9</v>
      </c>
      <c r="K38">
        <f>48.5-H38</f>
        <v>9.4849999999999994</v>
      </c>
      <c r="L38">
        <f>48.5-J38</f>
        <v>2.6000000000000014</v>
      </c>
    </row>
    <row r="39" spans="2:12" x14ac:dyDescent="0.2">
      <c r="B39" s="238">
        <v>10</v>
      </c>
      <c r="C39" t="s">
        <v>37</v>
      </c>
      <c r="D39" s="2">
        <v>4</v>
      </c>
      <c r="E39" s="2">
        <v>8</v>
      </c>
      <c r="G39" s="2" t="s">
        <v>18</v>
      </c>
      <c r="H39" s="2">
        <f t="shared" si="1"/>
        <v>24.99</v>
      </c>
      <c r="I39" s="4">
        <v>0.85</v>
      </c>
      <c r="J39" s="45">
        <v>29.4</v>
      </c>
    </row>
    <row r="40" spans="2:12" x14ac:dyDescent="0.2">
      <c r="B40" s="238">
        <v>11</v>
      </c>
      <c r="C40" t="s">
        <v>38</v>
      </c>
      <c r="D40" s="2">
        <v>4</v>
      </c>
      <c r="E40" s="2">
        <v>8</v>
      </c>
      <c r="G40" s="2" t="s">
        <v>18</v>
      </c>
      <c r="H40" s="2">
        <f t="shared" si="1"/>
        <v>32.045000000000002</v>
      </c>
      <c r="I40" s="4">
        <v>0.85</v>
      </c>
      <c r="J40" s="45">
        <v>37.700000000000003</v>
      </c>
    </row>
    <row r="41" spans="2:12" x14ac:dyDescent="0.2">
      <c r="B41">
        <v>14</v>
      </c>
      <c r="C41" t="s">
        <v>39</v>
      </c>
      <c r="D41" s="2">
        <v>4</v>
      </c>
      <c r="E41" s="2">
        <v>8</v>
      </c>
      <c r="G41" s="2" t="s">
        <v>18</v>
      </c>
      <c r="H41" s="2">
        <f t="shared" si="1"/>
        <v>18.02</v>
      </c>
      <c r="I41" s="4">
        <v>0.85</v>
      </c>
      <c r="J41" s="45">
        <v>21.2</v>
      </c>
    </row>
    <row r="42" spans="2:12" x14ac:dyDescent="0.2">
      <c r="B42" s="238">
        <v>14</v>
      </c>
      <c r="C42" t="s">
        <v>395</v>
      </c>
      <c r="D42" s="2">
        <v>4</v>
      </c>
      <c r="E42" s="2">
        <v>8</v>
      </c>
      <c r="G42" s="2" t="s">
        <v>18</v>
      </c>
      <c r="H42" s="2">
        <f t="shared" si="1"/>
        <v>9.01</v>
      </c>
      <c r="I42" s="4">
        <v>0.85</v>
      </c>
      <c r="J42" s="45">
        <v>10.6</v>
      </c>
      <c r="K42" s="12"/>
    </row>
    <row r="43" spans="2:12" x14ac:dyDescent="0.2">
      <c r="B43">
        <v>15</v>
      </c>
      <c r="C43" t="s">
        <v>40</v>
      </c>
      <c r="D43" s="2">
        <v>4</v>
      </c>
      <c r="E43" s="2">
        <v>6</v>
      </c>
      <c r="G43" s="2" t="s">
        <v>18</v>
      </c>
      <c r="H43" s="2">
        <f t="shared" si="1"/>
        <v>25.074999999999999</v>
      </c>
      <c r="I43" s="4">
        <v>0.85</v>
      </c>
      <c r="J43" s="45">
        <v>29.5</v>
      </c>
    </row>
    <row r="44" spans="2:12" x14ac:dyDescent="0.2">
      <c r="C44" t="s">
        <v>41</v>
      </c>
      <c r="D44" s="2">
        <v>4</v>
      </c>
      <c r="E44" s="2">
        <v>8</v>
      </c>
      <c r="G44" s="2" t="s">
        <v>26</v>
      </c>
      <c r="H44" s="2">
        <f t="shared" si="1"/>
        <v>11.9</v>
      </c>
      <c r="I44" s="4">
        <v>0.85</v>
      </c>
      <c r="J44" s="45">
        <v>14</v>
      </c>
    </row>
    <row r="45" spans="2:12" x14ac:dyDescent="0.2">
      <c r="C45" t="s">
        <v>47</v>
      </c>
      <c r="D45" s="2">
        <v>3</v>
      </c>
      <c r="E45" s="2">
        <v>8</v>
      </c>
      <c r="G45" s="2" t="s">
        <v>18</v>
      </c>
      <c r="H45" s="2">
        <f t="shared" si="1"/>
        <v>27.2</v>
      </c>
      <c r="I45" s="4">
        <v>0.85</v>
      </c>
      <c r="J45" s="45">
        <v>32</v>
      </c>
    </row>
    <row r="46" spans="2:12" x14ac:dyDescent="0.2">
      <c r="C46" t="s">
        <v>48</v>
      </c>
      <c r="D46" s="2">
        <v>3</v>
      </c>
      <c r="E46" s="2">
        <v>8</v>
      </c>
      <c r="G46" s="2" t="s">
        <v>26</v>
      </c>
      <c r="H46" s="2">
        <f t="shared" si="1"/>
        <v>1.7</v>
      </c>
      <c r="I46" s="4">
        <v>0.85</v>
      </c>
      <c r="J46" s="45">
        <v>2</v>
      </c>
    </row>
    <row r="47" spans="2:12" x14ac:dyDescent="0.2">
      <c r="B47" s="238">
        <v>12</v>
      </c>
      <c r="C47" t="s">
        <v>50</v>
      </c>
      <c r="D47" s="2">
        <v>4</v>
      </c>
      <c r="E47" s="2">
        <v>8</v>
      </c>
      <c r="G47" s="2" t="s">
        <v>26</v>
      </c>
      <c r="H47" s="2">
        <f t="shared" si="1"/>
        <v>8.0749999999999993</v>
      </c>
      <c r="I47" s="4">
        <v>0.85</v>
      </c>
      <c r="J47" s="45">
        <v>9.5</v>
      </c>
    </row>
    <row r="48" spans="2:12" x14ac:dyDescent="0.2">
      <c r="B48" s="238">
        <v>12</v>
      </c>
      <c r="C48" t="s">
        <v>385</v>
      </c>
      <c r="D48" s="2">
        <v>4</v>
      </c>
      <c r="E48" s="2">
        <v>8</v>
      </c>
      <c r="G48" s="2" t="s">
        <v>18</v>
      </c>
      <c r="H48" s="2">
        <f t="shared" si="1"/>
        <v>12.41</v>
      </c>
      <c r="I48" s="4">
        <v>0.85</v>
      </c>
      <c r="J48" s="45">
        <v>14.6</v>
      </c>
    </row>
    <row r="49" spans="2:15" x14ac:dyDescent="0.2">
      <c r="B49" s="238">
        <v>13</v>
      </c>
      <c r="C49" t="s">
        <v>213</v>
      </c>
      <c r="D49" s="2">
        <v>4</v>
      </c>
      <c r="E49" s="2">
        <v>8</v>
      </c>
      <c r="G49" s="2" t="s">
        <v>18</v>
      </c>
      <c r="H49" s="2">
        <f t="shared" si="1"/>
        <v>34.51</v>
      </c>
      <c r="I49" s="4">
        <v>0.85</v>
      </c>
      <c r="J49" s="45">
        <v>40.6</v>
      </c>
    </row>
    <row r="50" spans="2:15" x14ac:dyDescent="0.2">
      <c r="I50" s="4"/>
    </row>
    <row r="51" spans="2:15" x14ac:dyDescent="0.2">
      <c r="C51" s="1" t="s">
        <v>53</v>
      </c>
      <c r="D51" s="6" t="s">
        <v>14</v>
      </c>
      <c r="E51" s="7" t="s">
        <v>15</v>
      </c>
      <c r="F51" s="7" t="s">
        <v>29</v>
      </c>
      <c r="G51" s="7" t="s">
        <v>16</v>
      </c>
      <c r="H51" s="8" t="s">
        <v>17</v>
      </c>
      <c r="I51" s="105" t="s">
        <v>21</v>
      </c>
      <c r="J51" s="15" t="s">
        <v>22</v>
      </c>
    </row>
    <row r="52" spans="2:15" x14ac:dyDescent="0.2">
      <c r="C52" t="s">
        <v>54</v>
      </c>
      <c r="D52" s="2">
        <v>3</v>
      </c>
      <c r="E52" s="2">
        <v>12</v>
      </c>
      <c r="G52" s="2" t="s">
        <v>26</v>
      </c>
      <c r="H52" s="2">
        <f t="shared" ref="H52:H55" si="2">J52*I52</f>
        <v>8.0749999999999993</v>
      </c>
      <c r="I52" s="5">
        <v>0.85</v>
      </c>
      <c r="J52" s="42">
        <v>9.5</v>
      </c>
      <c r="K52">
        <f>J52*0.85</f>
        <v>8.0749999999999993</v>
      </c>
    </row>
    <row r="53" spans="2:15" x14ac:dyDescent="0.2">
      <c r="C53" t="s">
        <v>55</v>
      </c>
      <c r="D53" s="2">
        <v>3</v>
      </c>
      <c r="E53" s="2">
        <v>12</v>
      </c>
      <c r="G53" s="2" t="s">
        <v>26</v>
      </c>
      <c r="H53" s="2">
        <f t="shared" si="2"/>
        <v>6.0349999999999993</v>
      </c>
      <c r="I53" s="5">
        <v>0.85</v>
      </c>
      <c r="J53" s="45">
        <v>7.1</v>
      </c>
    </row>
    <row r="54" spans="2:15" x14ac:dyDescent="0.2">
      <c r="C54" t="s">
        <v>56</v>
      </c>
      <c r="D54" s="2">
        <v>3</v>
      </c>
      <c r="E54" s="2">
        <v>3</v>
      </c>
      <c r="F54" s="2" t="s">
        <v>18</v>
      </c>
      <c r="G54" s="2" t="s">
        <v>18</v>
      </c>
      <c r="H54" s="2">
        <f t="shared" si="2"/>
        <v>6.0349999999999993</v>
      </c>
      <c r="I54" s="5">
        <v>0.85</v>
      </c>
      <c r="J54" s="45">
        <v>7.1</v>
      </c>
    </row>
    <row r="55" spans="2:15" x14ac:dyDescent="0.2">
      <c r="C55" t="s">
        <v>57</v>
      </c>
      <c r="D55" s="2">
        <v>3</v>
      </c>
      <c r="E55" s="2">
        <v>3</v>
      </c>
      <c r="F55" s="2" t="s">
        <v>18</v>
      </c>
      <c r="G55" s="2" t="s">
        <v>18</v>
      </c>
      <c r="H55" s="2">
        <f t="shared" si="2"/>
        <v>4.25</v>
      </c>
      <c r="I55" s="5">
        <v>0.85</v>
      </c>
      <c r="J55" s="45">
        <v>5</v>
      </c>
    </row>
    <row r="56" spans="2:15" x14ac:dyDescent="0.2">
      <c r="I56" s="5"/>
    </row>
    <row r="59" spans="2:15" x14ac:dyDescent="0.2">
      <c r="C59" s="393" t="s">
        <v>448</v>
      </c>
      <c r="D59" s="393"/>
      <c r="E59" s="393"/>
      <c r="F59" s="393"/>
      <c r="G59" s="393"/>
      <c r="H59" s="393"/>
      <c r="I59" s="393"/>
      <c r="J59" s="393"/>
      <c r="K59" s="393"/>
      <c r="M59" s="15" t="s">
        <v>429</v>
      </c>
      <c r="N59" s="15" t="s">
        <v>21</v>
      </c>
      <c r="O59" s="42" t="s">
        <v>288</v>
      </c>
    </row>
    <row r="60" spans="2:15" x14ac:dyDescent="0.2">
      <c r="M60" s="271">
        <v>15</v>
      </c>
      <c r="N60" s="269">
        <v>0.6</v>
      </c>
      <c r="O60" s="270" t="s">
        <v>314</v>
      </c>
    </row>
    <row r="61" spans="2:15" x14ac:dyDescent="0.2">
      <c r="C61" s="1" t="s">
        <v>9</v>
      </c>
      <c r="D61" s="6" t="s">
        <v>14</v>
      </c>
      <c r="E61" s="7" t="s">
        <v>15</v>
      </c>
      <c r="F61" s="7" t="s">
        <v>29</v>
      </c>
      <c r="G61" s="7" t="s">
        <v>16</v>
      </c>
      <c r="H61" s="8" t="s">
        <v>59</v>
      </c>
      <c r="I61" s="8" t="s">
        <v>17</v>
      </c>
      <c r="J61" s="15" t="s">
        <v>21</v>
      </c>
      <c r="M61" s="274">
        <v>12</v>
      </c>
      <c r="N61" s="275">
        <v>0.65</v>
      </c>
      <c r="O61" s="276" t="s">
        <v>337</v>
      </c>
    </row>
    <row r="62" spans="2:15" x14ac:dyDescent="0.2">
      <c r="C62" t="s">
        <v>426</v>
      </c>
      <c r="D62" s="2">
        <v>6</v>
      </c>
      <c r="E62" s="2">
        <v>1</v>
      </c>
      <c r="F62" s="2" t="s">
        <v>43</v>
      </c>
      <c r="G62" s="2" t="s">
        <v>43</v>
      </c>
      <c r="J62" s="5">
        <v>1</v>
      </c>
      <c r="M62" s="271">
        <v>10</v>
      </c>
      <c r="N62" s="269">
        <v>0.7</v>
      </c>
      <c r="O62" s="273" t="s">
        <v>299</v>
      </c>
    </row>
    <row r="63" spans="2:15" x14ac:dyDescent="0.2">
      <c r="M63" s="277">
        <v>8</v>
      </c>
      <c r="N63" s="278">
        <v>0.75</v>
      </c>
      <c r="O63" s="279" t="s">
        <v>338</v>
      </c>
    </row>
    <row r="64" spans="2:15" ht="16" thickBot="1" x14ac:dyDescent="0.25">
      <c r="C64" s="283" t="s">
        <v>439</v>
      </c>
      <c r="E64" s="284" t="s">
        <v>442</v>
      </c>
      <c r="F64" s="112">
        <v>45840</v>
      </c>
      <c r="G64" s="112">
        <v>45845</v>
      </c>
      <c r="H64" s="112"/>
      <c r="I64" s="112"/>
      <c r="J64" s="112"/>
      <c r="M64" s="280">
        <v>6</v>
      </c>
      <c r="N64" s="281">
        <v>0.85</v>
      </c>
      <c r="O64" s="282" t="s">
        <v>231</v>
      </c>
    </row>
    <row r="65" spans="3:15" x14ac:dyDescent="0.2">
      <c r="M65" s="271">
        <v>4</v>
      </c>
      <c r="N65" s="269">
        <v>0.9</v>
      </c>
      <c r="O65" s="273" t="s">
        <v>271</v>
      </c>
    </row>
    <row r="66" spans="3:15" x14ac:dyDescent="0.2">
      <c r="C66" s="1" t="s">
        <v>214</v>
      </c>
      <c r="D66" s="6" t="s">
        <v>14</v>
      </c>
      <c r="E66" s="7" t="s">
        <v>15</v>
      </c>
      <c r="F66" s="7" t="s">
        <v>29</v>
      </c>
      <c r="G66" s="7" t="s">
        <v>16</v>
      </c>
      <c r="H66" s="8" t="s">
        <v>59</v>
      </c>
      <c r="I66" s="8" t="s">
        <v>17</v>
      </c>
      <c r="J66" s="15" t="s">
        <v>21</v>
      </c>
      <c r="K66" s="104" t="s">
        <v>216</v>
      </c>
    </row>
    <row r="67" spans="3:15" x14ac:dyDescent="0.2">
      <c r="C67" t="s">
        <v>382</v>
      </c>
      <c r="D67" s="2">
        <v>3</v>
      </c>
      <c r="E67" s="2">
        <v>15</v>
      </c>
      <c r="F67" s="2" t="s">
        <v>428</v>
      </c>
      <c r="G67" s="2" t="s">
        <v>427</v>
      </c>
      <c r="H67" s="2" t="s">
        <v>441</v>
      </c>
      <c r="I67">
        <v>40</v>
      </c>
      <c r="J67" s="5">
        <v>0.6</v>
      </c>
    </row>
    <row r="69" spans="3:15" x14ac:dyDescent="0.2">
      <c r="C69" s="1" t="s">
        <v>434</v>
      </c>
      <c r="D69" s="6" t="s">
        <v>14</v>
      </c>
      <c r="E69" s="7" t="s">
        <v>15</v>
      </c>
      <c r="F69" s="7" t="s">
        <v>29</v>
      </c>
      <c r="G69" s="7" t="s">
        <v>16</v>
      </c>
      <c r="H69" s="8" t="s">
        <v>59</v>
      </c>
      <c r="I69" s="8" t="s">
        <v>17</v>
      </c>
      <c r="J69" s="15" t="s">
        <v>21</v>
      </c>
      <c r="K69" s="104" t="s">
        <v>216</v>
      </c>
    </row>
    <row r="70" spans="3:15" x14ac:dyDescent="0.2">
      <c r="C70" t="s">
        <v>435</v>
      </c>
      <c r="D70" s="2">
        <v>3</v>
      </c>
      <c r="E70" s="2">
        <v>15</v>
      </c>
      <c r="F70" s="2" t="s">
        <v>428</v>
      </c>
      <c r="G70" s="2" t="s">
        <v>427</v>
      </c>
      <c r="H70" s="2" t="s">
        <v>441</v>
      </c>
      <c r="I70" t="s">
        <v>436</v>
      </c>
      <c r="J70" s="5">
        <v>0.6</v>
      </c>
    </row>
    <row r="72" spans="3:15" x14ac:dyDescent="0.2">
      <c r="C72" s="1" t="s">
        <v>437</v>
      </c>
      <c r="D72" s="6" t="s">
        <v>14</v>
      </c>
      <c r="E72" s="7" t="s">
        <v>15</v>
      </c>
      <c r="F72" s="7" t="s">
        <v>29</v>
      </c>
      <c r="G72" s="7" t="s">
        <v>16</v>
      </c>
      <c r="H72" s="8" t="s">
        <v>59</v>
      </c>
      <c r="I72" s="8" t="s">
        <v>17</v>
      </c>
      <c r="J72" s="15" t="s">
        <v>21</v>
      </c>
      <c r="K72" s="104" t="s">
        <v>216</v>
      </c>
    </row>
    <row r="73" spans="3:15" x14ac:dyDescent="0.2">
      <c r="C73" t="s">
        <v>438</v>
      </c>
      <c r="D73" s="2">
        <v>3</v>
      </c>
      <c r="E73" s="2">
        <v>15</v>
      </c>
      <c r="F73" s="2" t="s">
        <v>428</v>
      </c>
      <c r="G73" s="2" t="s">
        <v>427</v>
      </c>
      <c r="H73" s="2" t="s">
        <v>441</v>
      </c>
      <c r="I73">
        <v>25</v>
      </c>
      <c r="J73" s="5">
        <v>0.6</v>
      </c>
    </row>
    <row r="75" spans="3:15" ht="16" thickBot="1" x14ac:dyDescent="0.25">
      <c r="C75" s="283" t="s">
        <v>440</v>
      </c>
      <c r="E75" s="284" t="s">
        <v>442</v>
      </c>
      <c r="F75" s="112">
        <v>45851</v>
      </c>
      <c r="G75" s="112">
        <v>45854</v>
      </c>
      <c r="H75" s="112">
        <v>45856</v>
      </c>
      <c r="I75" s="112"/>
      <c r="J75" s="112"/>
    </row>
    <row r="76" spans="3:15" ht="16" thickBot="1" x14ac:dyDescent="0.25">
      <c r="E76" s="284" t="s">
        <v>442</v>
      </c>
      <c r="F76" s="112">
        <v>45860</v>
      </c>
      <c r="G76" s="112">
        <v>45863</v>
      </c>
      <c r="H76" s="112">
        <v>45865</v>
      </c>
      <c r="I76" s="112"/>
      <c r="J76" s="112"/>
    </row>
    <row r="78" spans="3:15" x14ac:dyDescent="0.2">
      <c r="C78" s="1" t="s">
        <v>214</v>
      </c>
      <c r="D78" s="6" t="s">
        <v>14</v>
      </c>
      <c r="E78" s="7" t="s">
        <v>15</v>
      </c>
      <c r="F78" s="7" t="s">
        <v>29</v>
      </c>
      <c r="G78" s="7" t="s">
        <v>16</v>
      </c>
      <c r="H78" s="8" t="s">
        <v>59</v>
      </c>
      <c r="I78" s="8" t="s">
        <v>17</v>
      </c>
      <c r="J78" s="15" t="s">
        <v>21</v>
      </c>
      <c r="K78" s="104" t="s">
        <v>216</v>
      </c>
    </row>
    <row r="79" spans="3:15" x14ac:dyDescent="0.2">
      <c r="C79" t="s">
        <v>382</v>
      </c>
      <c r="D79" s="2">
        <v>3</v>
      </c>
      <c r="E79" s="2">
        <v>12</v>
      </c>
      <c r="F79" s="2" t="s">
        <v>428</v>
      </c>
      <c r="G79" s="2" t="s">
        <v>427</v>
      </c>
      <c r="H79" s="2" t="s">
        <v>441</v>
      </c>
      <c r="I79" t="s">
        <v>446</v>
      </c>
      <c r="J79" s="5">
        <v>0.65</v>
      </c>
    </row>
    <row r="81" spans="3:11" x14ac:dyDescent="0.2">
      <c r="C81" s="1" t="s">
        <v>434</v>
      </c>
      <c r="D81" s="6" t="s">
        <v>14</v>
      </c>
      <c r="E81" s="7" t="s">
        <v>15</v>
      </c>
      <c r="F81" s="7" t="s">
        <v>29</v>
      </c>
      <c r="G81" s="7" t="s">
        <v>16</v>
      </c>
      <c r="H81" s="8" t="s">
        <v>59</v>
      </c>
      <c r="I81" s="8" t="s">
        <v>17</v>
      </c>
      <c r="J81" s="15" t="s">
        <v>21</v>
      </c>
      <c r="K81" s="104" t="s">
        <v>216</v>
      </c>
    </row>
    <row r="82" spans="3:11" x14ac:dyDescent="0.2">
      <c r="C82" t="s">
        <v>435</v>
      </c>
      <c r="D82" s="2">
        <v>3</v>
      </c>
      <c r="E82" s="2">
        <v>12</v>
      </c>
      <c r="F82" s="2" t="s">
        <v>428</v>
      </c>
      <c r="G82" s="2" t="s">
        <v>427</v>
      </c>
      <c r="H82" s="2" t="s">
        <v>441</v>
      </c>
      <c r="I82" t="s">
        <v>436</v>
      </c>
      <c r="J82" s="5">
        <v>0.65</v>
      </c>
    </row>
    <row r="84" spans="3:11" x14ac:dyDescent="0.2">
      <c r="C84" s="1" t="s">
        <v>437</v>
      </c>
      <c r="D84" s="6" t="s">
        <v>14</v>
      </c>
      <c r="E84" s="7" t="s">
        <v>15</v>
      </c>
      <c r="F84" s="7" t="s">
        <v>29</v>
      </c>
      <c r="G84" s="7" t="s">
        <v>16</v>
      </c>
      <c r="H84" s="8" t="s">
        <v>59</v>
      </c>
      <c r="I84" s="8" t="s">
        <v>17</v>
      </c>
      <c r="J84" s="15" t="s">
        <v>21</v>
      </c>
      <c r="K84" s="104" t="s">
        <v>216</v>
      </c>
    </row>
    <row r="85" spans="3:11" x14ac:dyDescent="0.2">
      <c r="C85" t="s">
        <v>438</v>
      </c>
      <c r="D85" s="2">
        <v>3</v>
      </c>
      <c r="E85" s="2">
        <v>12</v>
      </c>
      <c r="F85" s="2" t="s">
        <v>428</v>
      </c>
      <c r="G85" s="2" t="s">
        <v>427</v>
      </c>
      <c r="H85" s="2" t="s">
        <v>441</v>
      </c>
      <c r="I85">
        <v>27.3</v>
      </c>
      <c r="J85" s="5">
        <v>0.65</v>
      </c>
    </row>
    <row r="88" spans="3:11" ht="16" thickBot="1" x14ac:dyDescent="0.25">
      <c r="C88" s="283" t="s">
        <v>443</v>
      </c>
      <c r="E88" s="284" t="s">
        <v>442</v>
      </c>
      <c r="F88" s="112">
        <v>45869</v>
      </c>
      <c r="G88" s="112">
        <v>45871</v>
      </c>
      <c r="H88" s="112"/>
      <c r="I88" s="112"/>
      <c r="J88" s="112"/>
      <c r="K88" t="s">
        <v>447</v>
      </c>
    </row>
    <row r="89" spans="3:11" ht="16" thickBot="1" x14ac:dyDescent="0.25">
      <c r="E89" s="284" t="s">
        <v>442</v>
      </c>
      <c r="F89" s="112">
        <v>45873</v>
      </c>
      <c r="G89" s="112">
        <v>45875</v>
      </c>
      <c r="H89" s="112">
        <v>45877</v>
      </c>
      <c r="I89" s="112"/>
      <c r="J89" s="112"/>
    </row>
    <row r="91" spans="3:11" x14ac:dyDescent="0.2">
      <c r="C91" s="1" t="s">
        <v>214</v>
      </c>
      <c r="D91" s="6" t="s">
        <v>14</v>
      </c>
      <c r="E91" s="7" t="s">
        <v>15</v>
      </c>
      <c r="F91" s="7" t="s">
        <v>29</v>
      </c>
      <c r="G91" s="7" t="s">
        <v>16</v>
      </c>
      <c r="H91" s="8" t="s">
        <v>59</v>
      </c>
      <c r="I91" s="8" t="s">
        <v>17</v>
      </c>
      <c r="J91" s="15" t="s">
        <v>21</v>
      </c>
      <c r="K91" s="104" t="s">
        <v>216</v>
      </c>
    </row>
    <row r="92" spans="3:11" x14ac:dyDescent="0.2">
      <c r="C92" t="s">
        <v>382</v>
      </c>
      <c r="D92" s="2">
        <v>4</v>
      </c>
      <c r="E92" s="2">
        <v>10</v>
      </c>
      <c r="F92" s="2" t="s">
        <v>428</v>
      </c>
      <c r="G92" s="2" t="s">
        <v>427</v>
      </c>
      <c r="H92" s="2" t="s">
        <v>441</v>
      </c>
      <c r="I92">
        <v>40</v>
      </c>
      <c r="J92" s="5">
        <v>0.7</v>
      </c>
    </row>
    <row r="94" spans="3:11" x14ac:dyDescent="0.2">
      <c r="C94" s="1" t="s">
        <v>434</v>
      </c>
      <c r="D94" s="6" t="s">
        <v>14</v>
      </c>
      <c r="E94" s="7" t="s">
        <v>15</v>
      </c>
      <c r="F94" s="7" t="s">
        <v>29</v>
      </c>
      <c r="G94" s="7" t="s">
        <v>16</v>
      </c>
      <c r="H94" s="8" t="s">
        <v>59</v>
      </c>
      <c r="I94" s="8" t="s">
        <v>17</v>
      </c>
      <c r="J94" s="15" t="s">
        <v>21</v>
      </c>
      <c r="K94" s="104" t="s">
        <v>216</v>
      </c>
    </row>
    <row r="95" spans="3:11" x14ac:dyDescent="0.2">
      <c r="C95" t="s">
        <v>435</v>
      </c>
      <c r="D95" s="2">
        <v>4</v>
      </c>
      <c r="E95" s="2">
        <v>10</v>
      </c>
      <c r="F95" s="2" t="s">
        <v>428</v>
      </c>
      <c r="G95" s="2" t="s">
        <v>427</v>
      </c>
      <c r="H95" s="2" t="s">
        <v>441</v>
      </c>
      <c r="I95" t="s">
        <v>436</v>
      </c>
      <c r="J95" s="5">
        <v>0.7</v>
      </c>
    </row>
    <row r="97" spans="3:13" x14ac:dyDescent="0.2">
      <c r="C97" s="1" t="s">
        <v>437</v>
      </c>
      <c r="D97" s="6" t="s">
        <v>14</v>
      </c>
      <c r="E97" s="7" t="s">
        <v>15</v>
      </c>
      <c r="F97" s="7" t="s">
        <v>29</v>
      </c>
      <c r="G97" s="7" t="s">
        <v>16</v>
      </c>
      <c r="H97" s="8" t="s">
        <v>59</v>
      </c>
      <c r="I97" s="8" t="s">
        <v>17</v>
      </c>
      <c r="J97" s="15" t="s">
        <v>21</v>
      </c>
      <c r="K97" s="104" t="s">
        <v>216</v>
      </c>
    </row>
    <row r="98" spans="3:13" x14ac:dyDescent="0.2">
      <c r="C98" t="s">
        <v>438</v>
      </c>
      <c r="D98" s="2">
        <v>4</v>
      </c>
      <c r="E98" s="2">
        <v>10</v>
      </c>
      <c r="F98" s="2" t="s">
        <v>428</v>
      </c>
      <c r="G98" s="2" t="s">
        <v>427</v>
      </c>
      <c r="H98" s="2" t="s">
        <v>441</v>
      </c>
      <c r="I98">
        <v>25</v>
      </c>
      <c r="J98" s="5">
        <v>0.7</v>
      </c>
    </row>
    <row r="101" spans="3:13" ht="16" thickBot="1" x14ac:dyDescent="0.25">
      <c r="C101" s="283" t="s">
        <v>444</v>
      </c>
      <c r="E101" s="284" t="s">
        <v>442</v>
      </c>
      <c r="F101" s="112">
        <v>45912</v>
      </c>
      <c r="G101" s="112">
        <v>45916</v>
      </c>
      <c r="H101" s="112">
        <v>45918</v>
      </c>
      <c r="I101" s="112"/>
      <c r="J101" s="112"/>
      <c r="K101" s="310" t="s">
        <v>464</v>
      </c>
    </row>
    <row r="102" spans="3:13" ht="16" thickBot="1" x14ac:dyDescent="0.25">
      <c r="E102" s="284" t="s">
        <v>442</v>
      </c>
      <c r="F102" s="112">
        <v>45920</v>
      </c>
      <c r="G102" s="112">
        <v>45922</v>
      </c>
      <c r="H102" s="112">
        <v>45924</v>
      </c>
      <c r="I102" s="112"/>
      <c r="J102" s="112"/>
    </row>
    <row r="103" spans="3:13" ht="16" thickBot="1" x14ac:dyDescent="0.25">
      <c r="E103" s="284" t="s">
        <v>442</v>
      </c>
      <c r="F103" s="112">
        <v>45926</v>
      </c>
      <c r="G103" s="112">
        <v>45928</v>
      </c>
      <c r="H103" s="112">
        <v>45930</v>
      </c>
      <c r="I103" s="112"/>
      <c r="J103" s="112"/>
      <c r="K103" t="s">
        <v>451</v>
      </c>
      <c r="L103" t="s">
        <v>450</v>
      </c>
      <c r="M103" t="s">
        <v>465</v>
      </c>
    </row>
    <row r="105" spans="3:13" x14ac:dyDescent="0.2">
      <c r="C105" s="1" t="s">
        <v>214</v>
      </c>
      <c r="D105" s="6" t="s">
        <v>14</v>
      </c>
      <c r="E105" s="7" t="s">
        <v>15</v>
      </c>
      <c r="F105" s="7" t="s">
        <v>29</v>
      </c>
      <c r="G105" s="7" t="s">
        <v>16</v>
      </c>
      <c r="H105" s="8" t="s">
        <v>59</v>
      </c>
      <c r="I105" s="8" t="s">
        <v>17</v>
      </c>
      <c r="J105" s="15" t="s">
        <v>21</v>
      </c>
      <c r="K105" s="104" t="s">
        <v>216</v>
      </c>
    </row>
    <row r="106" spans="3:13" x14ac:dyDescent="0.2">
      <c r="C106" t="s">
        <v>382</v>
      </c>
      <c r="D106" s="2">
        <v>4</v>
      </c>
      <c r="E106" s="2">
        <v>8</v>
      </c>
      <c r="F106" s="2" t="s">
        <v>428</v>
      </c>
      <c r="G106" s="2" t="s">
        <v>427</v>
      </c>
      <c r="H106" s="2" t="s">
        <v>441</v>
      </c>
      <c r="I106">
        <v>45</v>
      </c>
      <c r="J106" s="5">
        <v>0.75</v>
      </c>
    </row>
    <row r="108" spans="3:13" x14ac:dyDescent="0.2">
      <c r="C108" s="1" t="s">
        <v>434</v>
      </c>
      <c r="D108" s="6" t="s">
        <v>14</v>
      </c>
      <c r="E108" s="7" t="s">
        <v>15</v>
      </c>
      <c r="F108" s="7" t="s">
        <v>29</v>
      </c>
      <c r="G108" s="7" t="s">
        <v>16</v>
      </c>
      <c r="H108" s="8" t="s">
        <v>59</v>
      </c>
      <c r="I108" s="8" t="s">
        <v>17</v>
      </c>
      <c r="J108" s="15" t="s">
        <v>21</v>
      </c>
      <c r="K108" s="104" t="s">
        <v>216</v>
      </c>
    </row>
    <row r="109" spans="3:13" x14ac:dyDescent="0.2">
      <c r="C109" t="s">
        <v>435</v>
      </c>
      <c r="D109" s="2">
        <v>4</v>
      </c>
      <c r="E109" s="2">
        <v>8</v>
      </c>
      <c r="F109" s="2" t="s">
        <v>428</v>
      </c>
      <c r="G109" s="2" t="s">
        <v>427</v>
      </c>
      <c r="H109" s="2" t="s">
        <v>441</v>
      </c>
      <c r="I109">
        <v>6</v>
      </c>
      <c r="J109" s="5">
        <v>0.75</v>
      </c>
    </row>
    <row r="111" spans="3:13" x14ac:dyDescent="0.2">
      <c r="C111" s="1" t="s">
        <v>437</v>
      </c>
      <c r="D111" s="6" t="s">
        <v>14</v>
      </c>
      <c r="E111" s="7" t="s">
        <v>15</v>
      </c>
      <c r="F111" s="7" t="s">
        <v>29</v>
      </c>
      <c r="G111" s="7" t="s">
        <v>16</v>
      </c>
      <c r="H111" s="8" t="s">
        <v>59</v>
      </c>
      <c r="I111" s="8" t="s">
        <v>17</v>
      </c>
      <c r="J111" s="15" t="s">
        <v>21</v>
      </c>
      <c r="K111" s="104" t="s">
        <v>216</v>
      </c>
    </row>
    <row r="112" spans="3:13" x14ac:dyDescent="0.2">
      <c r="C112" t="s">
        <v>438</v>
      </c>
      <c r="D112" s="2">
        <v>4</v>
      </c>
      <c r="E112" s="2">
        <v>8</v>
      </c>
      <c r="F112" s="2" t="s">
        <v>428</v>
      </c>
      <c r="G112" s="2" t="s">
        <v>427</v>
      </c>
      <c r="H112" s="2" t="s">
        <v>441</v>
      </c>
      <c r="I112">
        <v>39</v>
      </c>
      <c r="J112" s="5">
        <v>0.75</v>
      </c>
    </row>
    <row r="115" spans="3:11" ht="16" thickBot="1" x14ac:dyDescent="0.25">
      <c r="C115" s="283" t="s">
        <v>445</v>
      </c>
      <c r="F115" s="284" t="s">
        <v>442</v>
      </c>
      <c r="G115" s="112"/>
      <c r="H115" s="112"/>
      <c r="I115" s="112"/>
      <c r="J115" s="112"/>
      <c r="K115" s="112"/>
    </row>
    <row r="116" spans="3:11" ht="16" thickBot="1" x14ac:dyDescent="0.25">
      <c r="F116" s="284" t="s">
        <v>442</v>
      </c>
      <c r="G116" s="112"/>
      <c r="H116" s="112"/>
      <c r="I116" s="112"/>
      <c r="J116" s="112"/>
      <c r="K116" s="112"/>
    </row>
    <row r="117" spans="3:11" ht="16" thickBot="1" x14ac:dyDescent="0.25">
      <c r="F117" s="284" t="s">
        <v>442</v>
      </c>
      <c r="G117" s="112"/>
      <c r="H117" s="112"/>
      <c r="I117" s="112"/>
      <c r="J117" s="112"/>
      <c r="K117" s="112"/>
    </row>
    <row r="118" spans="3:11" ht="16" thickBot="1" x14ac:dyDescent="0.25">
      <c r="F118" s="284" t="s">
        <v>442</v>
      </c>
      <c r="G118" s="112"/>
      <c r="H118" s="112"/>
      <c r="I118" s="112"/>
      <c r="J118" s="112"/>
      <c r="K118" s="112"/>
    </row>
    <row r="120" spans="3:11" x14ac:dyDescent="0.2">
      <c r="C120" s="1" t="s">
        <v>214</v>
      </c>
      <c r="D120" s="6" t="s">
        <v>14</v>
      </c>
      <c r="E120" s="7" t="s">
        <v>15</v>
      </c>
      <c r="F120" s="7" t="s">
        <v>29</v>
      </c>
      <c r="G120" s="7" t="s">
        <v>16</v>
      </c>
      <c r="H120" s="8" t="s">
        <v>59</v>
      </c>
      <c r="I120" s="8" t="s">
        <v>17</v>
      </c>
      <c r="J120" s="15" t="s">
        <v>21</v>
      </c>
      <c r="K120" s="104" t="s">
        <v>216</v>
      </c>
    </row>
    <row r="121" spans="3:11" x14ac:dyDescent="0.2">
      <c r="C121" t="s">
        <v>382</v>
      </c>
      <c r="D121" s="2">
        <v>4</v>
      </c>
      <c r="E121" s="2">
        <v>6</v>
      </c>
      <c r="F121" s="2" t="s">
        <v>428</v>
      </c>
      <c r="G121" s="2" t="s">
        <v>427</v>
      </c>
      <c r="H121" s="2" t="s">
        <v>441</v>
      </c>
      <c r="I121">
        <v>45</v>
      </c>
      <c r="J121" s="5">
        <v>0.85</v>
      </c>
    </row>
    <row r="123" spans="3:11" x14ac:dyDescent="0.2">
      <c r="C123" s="1" t="s">
        <v>434</v>
      </c>
      <c r="D123" s="6" t="s">
        <v>14</v>
      </c>
      <c r="E123" s="7" t="s">
        <v>15</v>
      </c>
      <c r="F123" s="7" t="s">
        <v>29</v>
      </c>
      <c r="G123" s="7" t="s">
        <v>16</v>
      </c>
      <c r="H123" s="8" t="s">
        <v>59</v>
      </c>
      <c r="I123" s="8" t="s">
        <v>17</v>
      </c>
      <c r="J123" s="15" t="s">
        <v>21</v>
      </c>
      <c r="K123" s="104" t="s">
        <v>216</v>
      </c>
    </row>
    <row r="124" spans="3:11" x14ac:dyDescent="0.2">
      <c r="C124" t="s">
        <v>435</v>
      </c>
      <c r="D124" s="2">
        <v>4</v>
      </c>
      <c r="E124" s="2">
        <v>6</v>
      </c>
      <c r="F124" s="2" t="s">
        <v>428</v>
      </c>
      <c r="G124" s="2" t="s">
        <v>427</v>
      </c>
      <c r="H124" s="2" t="s">
        <v>441</v>
      </c>
      <c r="I124">
        <v>6</v>
      </c>
      <c r="J124" s="5">
        <v>0.85</v>
      </c>
    </row>
    <row r="126" spans="3:11" x14ac:dyDescent="0.2">
      <c r="C126" s="1" t="s">
        <v>437</v>
      </c>
      <c r="D126" s="6" t="s">
        <v>14</v>
      </c>
      <c r="E126" s="7" t="s">
        <v>15</v>
      </c>
      <c r="F126" s="7" t="s">
        <v>29</v>
      </c>
      <c r="G126" s="7" t="s">
        <v>16</v>
      </c>
      <c r="H126" s="8" t="s">
        <v>59</v>
      </c>
      <c r="I126" s="8" t="s">
        <v>17</v>
      </c>
      <c r="J126" s="15" t="s">
        <v>21</v>
      </c>
      <c r="K126" s="104" t="s">
        <v>216</v>
      </c>
    </row>
    <row r="127" spans="3:11" x14ac:dyDescent="0.2">
      <c r="C127" t="s">
        <v>438</v>
      </c>
      <c r="D127" s="2">
        <v>4</v>
      </c>
      <c r="E127" s="2">
        <v>6</v>
      </c>
      <c r="F127" s="2" t="s">
        <v>428</v>
      </c>
      <c r="G127" s="2" t="s">
        <v>427</v>
      </c>
      <c r="H127" s="2" t="s">
        <v>441</v>
      </c>
      <c r="I127">
        <v>39</v>
      </c>
      <c r="J127" s="5">
        <v>0.85</v>
      </c>
    </row>
    <row r="132" spans="9:17" x14ac:dyDescent="0.2">
      <c r="I132" s="2"/>
      <c r="J132" s="2"/>
      <c r="K132" s="2"/>
      <c r="L132" s="2"/>
      <c r="M132" s="2"/>
      <c r="N132" s="2"/>
      <c r="O132" s="2"/>
      <c r="P132" s="2"/>
    </row>
    <row r="133" spans="9:17" x14ac:dyDescent="0.2">
      <c r="I133" s="2"/>
      <c r="J133" s="2"/>
      <c r="K133" s="2"/>
      <c r="L133" s="2"/>
      <c r="M133" s="2"/>
      <c r="N133" s="2"/>
      <c r="O133" s="2"/>
      <c r="P133" s="2"/>
      <c r="Q133" s="2"/>
    </row>
    <row r="134" spans="9:17" x14ac:dyDescent="0.2">
      <c r="I134" s="2"/>
      <c r="J134" s="2"/>
      <c r="K134" s="2"/>
      <c r="L134" s="2"/>
      <c r="M134" s="2"/>
      <c r="N134" s="2"/>
      <c r="O134" s="2"/>
      <c r="P134" s="2"/>
    </row>
    <row r="135" spans="9:17" x14ac:dyDescent="0.2">
      <c r="I135" s="2"/>
      <c r="J135" s="2"/>
      <c r="K135" s="2"/>
      <c r="L135" s="2"/>
      <c r="M135" s="2"/>
      <c r="N135" s="2"/>
      <c r="O135" s="2"/>
      <c r="P135" s="2"/>
    </row>
  </sheetData>
  <mergeCells count="1">
    <mergeCell ref="C59:K59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220"/>
  <sheetViews>
    <sheetView topLeftCell="BV1" zoomScale="125" zoomScaleNormal="55" workbookViewId="0">
      <selection activeCell="D72" sqref="D72"/>
    </sheetView>
  </sheetViews>
  <sheetFormatPr baseColWidth="10" defaultColWidth="8.83203125" defaultRowHeight="15" x14ac:dyDescent="0.2"/>
  <cols>
    <col min="1" max="1" width="7" bestFit="1" customWidth="1"/>
    <col min="2" max="2" width="16.33203125" bestFit="1" customWidth="1"/>
    <col min="3" max="3" width="3.5" style="2" bestFit="1" customWidth="1"/>
    <col min="4" max="4" width="6.6640625" style="2" bestFit="1" customWidth="1"/>
    <col min="5" max="5" width="6.6640625" style="2" customWidth="1"/>
    <col min="6" max="6" width="4.33203125" style="2" bestFit="1" customWidth="1"/>
    <col min="7" max="7" width="5.6640625" style="2" bestFit="1" customWidth="1"/>
    <col min="8" max="8" width="6.5" bestFit="1" customWidth="1"/>
    <col min="9" max="10" width="9" bestFit="1" customWidth="1"/>
    <col min="12" max="12" width="7" bestFit="1" customWidth="1"/>
    <col min="13" max="13" width="19.83203125" bestFit="1" customWidth="1"/>
    <col min="14" max="14" width="3.5" style="2" bestFit="1" customWidth="1"/>
    <col min="15" max="15" width="6.6640625" style="2" bestFit="1" customWidth="1"/>
    <col min="16" max="16" width="6.6640625" style="2" customWidth="1"/>
    <col min="17" max="17" width="4.33203125" style="2" bestFit="1" customWidth="1"/>
    <col min="18" max="18" width="5.6640625" style="2" bestFit="1" customWidth="1"/>
    <col min="19" max="19" width="6.5" bestFit="1" customWidth="1"/>
    <col min="20" max="21" width="9" bestFit="1" customWidth="1"/>
    <col min="22" max="22" width="8.6640625" style="123"/>
    <col min="23" max="23" width="7" bestFit="1" customWidth="1"/>
    <col min="24" max="24" width="19.83203125" bestFit="1" customWidth="1"/>
    <col min="25" max="25" width="3.5" style="2" bestFit="1" customWidth="1"/>
    <col min="26" max="26" width="6.6640625" style="2" bestFit="1" customWidth="1"/>
    <col min="27" max="27" width="6.6640625" style="2" customWidth="1"/>
    <col min="28" max="28" width="4.33203125" style="2" bestFit="1" customWidth="1"/>
    <col min="29" max="29" width="5.6640625" style="2" bestFit="1" customWidth="1"/>
    <col min="30" max="30" width="6.5" bestFit="1" customWidth="1"/>
    <col min="31" max="32" width="9" bestFit="1" customWidth="1"/>
    <col min="34" max="34" width="8.6640625" style="124"/>
    <col min="35" max="35" width="3.6640625" customWidth="1"/>
    <col min="36" max="36" width="32.1640625" bestFit="1" customWidth="1"/>
    <col min="37" max="37" width="3.33203125" style="2" bestFit="1" customWidth="1"/>
    <col min="38" max="38" width="6.83203125" style="2" bestFit="1" customWidth="1"/>
    <col min="39" max="39" width="6.6640625" style="2" customWidth="1"/>
    <col min="40" max="40" width="4.33203125" style="2" bestFit="1" customWidth="1"/>
    <col min="41" max="41" width="5.33203125" style="2" bestFit="1" customWidth="1"/>
    <col min="42" max="42" width="6.33203125" bestFit="1" customWidth="1"/>
    <col min="43" max="43" width="5.33203125" bestFit="1" customWidth="1"/>
    <col min="44" max="44" width="9.6640625" bestFit="1" customWidth="1"/>
    <col min="45" max="45" width="10.33203125" bestFit="1" customWidth="1"/>
    <col min="46" max="46" width="13.5" bestFit="1" customWidth="1"/>
    <col min="48" max="48" width="12.5" customWidth="1"/>
    <col min="52" max="52" width="8.6640625" style="124"/>
    <col min="53" max="53" width="3.6640625" customWidth="1"/>
    <col min="54" max="54" width="32.1640625" bestFit="1" customWidth="1"/>
    <col min="55" max="55" width="3.33203125" style="2" bestFit="1" customWidth="1"/>
    <col min="56" max="56" width="6.83203125" style="2" bestFit="1" customWidth="1"/>
    <col min="57" max="57" width="6.6640625" style="2" customWidth="1"/>
    <col min="58" max="58" width="4.33203125" style="2" bestFit="1" customWidth="1"/>
    <col min="59" max="59" width="5.33203125" style="2" bestFit="1" customWidth="1"/>
    <col min="60" max="60" width="6.33203125" bestFit="1" customWidth="1"/>
    <col min="61" max="61" width="5.5" bestFit="1" customWidth="1"/>
    <col min="62" max="62" width="9.6640625" bestFit="1" customWidth="1"/>
    <col min="63" max="63" width="10.33203125" bestFit="1" customWidth="1"/>
    <col min="64" max="64" width="13.5" bestFit="1" customWidth="1"/>
    <col min="66" max="66" width="12.5" customWidth="1"/>
    <col min="69" max="69" width="8.6640625" style="356"/>
    <col min="70" max="70" width="3.6640625" customWidth="1"/>
    <col min="71" max="71" width="32.1640625" bestFit="1" customWidth="1"/>
    <col min="72" max="72" width="3.33203125" style="2" bestFit="1" customWidth="1"/>
    <col min="73" max="73" width="6.83203125" style="2" bestFit="1" customWidth="1"/>
    <col min="74" max="74" width="6.6640625" style="2" customWidth="1"/>
    <col min="75" max="75" width="4.33203125" style="2" bestFit="1" customWidth="1"/>
    <col min="76" max="76" width="5.33203125" style="2" bestFit="1" customWidth="1"/>
    <col min="77" max="77" width="6.33203125" bestFit="1" customWidth="1"/>
    <col min="78" max="78" width="5.5" bestFit="1" customWidth="1"/>
    <col min="79" max="79" width="9.6640625" bestFit="1" customWidth="1"/>
    <col min="80" max="80" width="10.33203125" bestFit="1" customWidth="1"/>
    <col min="81" max="81" width="13.5" bestFit="1" customWidth="1"/>
    <col min="83" max="83" width="12.5" customWidth="1"/>
  </cols>
  <sheetData>
    <row r="1" spans="1:99" ht="16" thickBot="1" x14ac:dyDescent="0.25"/>
    <row r="2" spans="1:99" ht="16" thickBot="1" x14ac:dyDescent="0.25">
      <c r="B2" t="s">
        <v>0</v>
      </c>
      <c r="D2" s="3" t="s">
        <v>1</v>
      </c>
      <c r="E2" s="11" t="s">
        <v>36</v>
      </c>
      <c r="M2" t="s">
        <v>0</v>
      </c>
      <c r="O2" s="3" t="s">
        <v>1</v>
      </c>
      <c r="P2" s="11" t="s">
        <v>36</v>
      </c>
      <c r="X2" s="111" t="s">
        <v>205</v>
      </c>
      <c r="Y2" s="106"/>
      <c r="Z2" s="107" t="s">
        <v>1</v>
      </c>
      <c r="AA2" s="108" t="s">
        <v>36</v>
      </c>
      <c r="AJ2" s="111" t="s">
        <v>205</v>
      </c>
      <c r="AK2" s="106"/>
      <c r="AL2" s="107" t="s">
        <v>1</v>
      </c>
      <c r="AM2" s="108" t="s">
        <v>36</v>
      </c>
      <c r="BB2" s="111" t="s">
        <v>205</v>
      </c>
      <c r="BC2" s="106"/>
      <c r="BD2" s="107" t="s">
        <v>1</v>
      </c>
      <c r="BE2" s="108" t="s">
        <v>36</v>
      </c>
      <c r="BS2" s="359" t="s">
        <v>481</v>
      </c>
      <c r="BT2" s="106"/>
      <c r="BU2" s="107" t="s">
        <v>1</v>
      </c>
      <c r="BV2" s="108" t="s">
        <v>36</v>
      </c>
      <c r="CB2" s="385" t="s">
        <v>482</v>
      </c>
      <c r="CC2" s="386"/>
      <c r="CD2" s="266">
        <v>2026</v>
      </c>
      <c r="CE2" s="42"/>
      <c r="CI2" s="144" t="s">
        <v>274</v>
      </c>
      <c r="CJ2" s="145"/>
      <c r="CK2" s="145"/>
      <c r="CL2" s="145"/>
      <c r="CM2" s="145"/>
      <c r="CN2" s="145"/>
      <c r="CO2" s="146"/>
      <c r="CP2" s="146"/>
      <c r="CQ2" s="147">
        <v>45413</v>
      </c>
      <c r="CR2" s="358">
        <v>46023</v>
      </c>
    </row>
    <row r="3" spans="1:99" ht="16" thickBot="1" x14ac:dyDescent="0.25">
      <c r="D3" s="11">
        <v>45554</v>
      </c>
      <c r="E3" s="3">
        <v>48.4</v>
      </c>
      <c r="O3" s="11">
        <v>45559</v>
      </c>
      <c r="P3" s="3">
        <v>48.4</v>
      </c>
      <c r="X3" s="109"/>
      <c r="Y3" s="110"/>
      <c r="Z3" s="112">
        <v>45669</v>
      </c>
      <c r="AA3" s="113">
        <v>48.5</v>
      </c>
      <c r="AJ3" s="109"/>
      <c r="AK3" s="110"/>
      <c r="AL3" s="112">
        <v>45723</v>
      </c>
      <c r="AM3" s="113">
        <v>48.5</v>
      </c>
      <c r="BB3" s="109"/>
      <c r="BC3" s="110"/>
      <c r="BD3" s="293">
        <v>45889</v>
      </c>
      <c r="BE3" s="113">
        <v>48.8</v>
      </c>
      <c r="BS3" s="109"/>
      <c r="BT3" s="110"/>
      <c r="BU3" s="293">
        <v>46023</v>
      </c>
      <c r="BV3" s="113">
        <v>49.3</v>
      </c>
      <c r="CB3" s="42" t="s">
        <v>483</v>
      </c>
      <c r="CC3" s="15">
        <v>2024</v>
      </c>
      <c r="CD3" s="357">
        <v>46023</v>
      </c>
      <c r="CE3" s="15"/>
      <c r="CH3">
        <v>1</v>
      </c>
      <c r="CI3" t="s">
        <v>275</v>
      </c>
      <c r="CJ3" s="2"/>
      <c r="CK3" s="2"/>
      <c r="CL3" s="2"/>
      <c r="CM3" s="2"/>
      <c r="CN3" s="2"/>
      <c r="CQ3" s="3" t="s">
        <v>276</v>
      </c>
      <c r="CR3" s="3">
        <v>49.3</v>
      </c>
    </row>
    <row r="4" spans="1:99" x14ac:dyDescent="0.2">
      <c r="A4" t="s">
        <v>19</v>
      </c>
      <c r="D4" s="3"/>
      <c r="E4" s="3"/>
      <c r="L4" t="s">
        <v>19</v>
      </c>
      <c r="O4" s="3"/>
      <c r="P4" s="3"/>
      <c r="W4" t="s">
        <v>19</v>
      </c>
      <c r="Z4" s="3"/>
      <c r="AA4" s="3"/>
      <c r="AI4" t="s">
        <v>19</v>
      </c>
      <c r="AL4" s="3"/>
      <c r="AM4" s="3"/>
      <c r="BA4" t="s">
        <v>19</v>
      </c>
      <c r="BD4" s="3"/>
      <c r="BE4" s="3"/>
      <c r="BR4" t="s">
        <v>19</v>
      </c>
      <c r="BU4" s="3"/>
      <c r="BV4" s="3"/>
      <c r="CB4" s="42" t="s">
        <v>484</v>
      </c>
      <c r="CC4" s="15" t="s">
        <v>488</v>
      </c>
      <c r="CD4" s="267" t="s">
        <v>260</v>
      </c>
      <c r="CE4" s="15"/>
      <c r="CH4">
        <v>2</v>
      </c>
      <c r="CI4" t="s">
        <v>277</v>
      </c>
      <c r="CJ4" s="2"/>
      <c r="CK4" s="2"/>
      <c r="CL4" s="2"/>
      <c r="CM4" s="2"/>
      <c r="CN4" s="2"/>
      <c r="CQ4" s="3" t="s">
        <v>278</v>
      </c>
      <c r="CR4" s="3" t="s">
        <v>491</v>
      </c>
    </row>
    <row r="5" spans="1:99" x14ac:dyDescent="0.2">
      <c r="A5">
        <v>1</v>
      </c>
      <c r="B5" s="1" t="s">
        <v>10</v>
      </c>
      <c r="L5">
        <v>1</v>
      </c>
      <c r="M5" s="1" t="s">
        <v>10</v>
      </c>
      <c r="W5">
        <v>1</v>
      </c>
      <c r="X5" s="1" t="s">
        <v>10</v>
      </c>
      <c r="AI5" s="238">
        <v>1</v>
      </c>
      <c r="AJ5" s="1" t="s">
        <v>10</v>
      </c>
      <c r="BA5" s="238">
        <v>1</v>
      </c>
      <c r="BB5" s="1" t="s">
        <v>10</v>
      </c>
      <c r="BR5" s="238">
        <v>1</v>
      </c>
      <c r="BS5" s="1" t="s">
        <v>10</v>
      </c>
      <c r="CB5" s="42" t="s">
        <v>485</v>
      </c>
      <c r="CC5" s="15" t="s">
        <v>258</v>
      </c>
      <c r="CD5" s="267" t="s">
        <v>34</v>
      </c>
      <c r="CE5" s="15"/>
      <c r="CH5">
        <v>3</v>
      </c>
      <c r="CI5" t="s">
        <v>279</v>
      </c>
      <c r="CJ5" s="2"/>
      <c r="CK5" s="2"/>
      <c r="CL5" s="2"/>
      <c r="CM5" s="2"/>
      <c r="CN5" s="2"/>
      <c r="CQ5" s="2" t="s">
        <v>280</v>
      </c>
      <c r="CR5" s="2" t="s">
        <v>34</v>
      </c>
    </row>
    <row r="6" spans="1:99" x14ac:dyDescent="0.2">
      <c r="A6">
        <v>2</v>
      </c>
      <c r="B6" s="1" t="s">
        <v>11</v>
      </c>
      <c r="L6">
        <v>2</v>
      </c>
      <c r="M6" s="1" t="s">
        <v>11</v>
      </c>
      <c r="W6">
        <v>2</v>
      </c>
      <c r="X6" s="1" t="s">
        <v>11</v>
      </c>
      <c r="AI6">
        <v>2</v>
      </c>
      <c r="AJ6" s="1" t="s">
        <v>11</v>
      </c>
      <c r="BA6">
        <v>2</v>
      </c>
      <c r="BB6" s="1" t="s">
        <v>11</v>
      </c>
      <c r="BR6">
        <v>2</v>
      </c>
      <c r="BS6" s="1" t="s">
        <v>11</v>
      </c>
      <c r="CB6" s="42" t="s">
        <v>486</v>
      </c>
      <c r="CC6" s="15" t="s">
        <v>489</v>
      </c>
      <c r="CD6" s="267" t="s">
        <v>254</v>
      </c>
      <c r="CE6" s="15"/>
      <c r="CH6">
        <v>4</v>
      </c>
      <c r="CI6" t="s">
        <v>281</v>
      </c>
      <c r="CJ6" s="2"/>
      <c r="CK6" s="3" t="s">
        <v>286</v>
      </c>
      <c r="CL6" s="2"/>
      <c r="CM6" s="2"/>
      <c r="CN6" s="2"/>
      <c r="CO6" t="s">
        <v>288</v>
      </c>
      <c r="CQ6" s="2" t="s">
        <v>282</v>
      </c>
      <c r="CR6" s="2" t="s">
        <v>34</v>
      </c>
    </row>
    <row r="7" spans="1:99" x14ac:dyDescent="0.2">
      <c r="A7">
        <v>2</v>
      </c>
      <c r="B7" t="s">
        <v>2</v>
      </c>
      <c r="C7" s="2" t="s">
        <v>68</v>
      </c>
      <c r="D7" s="2" t="s">
        <v>69</v>
      </c>
      <c r="L7">
        <v>2</v>
      </c>
      <c r="M7" t="s">
        <v>2</v>
      </c>
      <c r="N7" s="2" t="s">
        <v>68</v>
      </c>
      <c r="O7" s="2" t="s">
        <v>69</v>
      </c>
      <c r="W7">
        <v>2</v>
      </c>
      <c r="X7" t="s">
        <v>2</v>
      </c>
      <c r="Y7" s="2" t="s">
        <v>68</v>
      </c>
      <c r="Z7" s="2" t="s">
        <v>69</v>
      </c>
      <c r="AI7" s="238">
        <v>2</v>
      </c>
      <c r="AJ7" t="s">
        <v>2</v>
      </c>
      <c r="AK7" s="2" t="s">
        <v>68</v>
      </c>
      <c r="AL7" s="2" t="s">
        <v>209</v>
      </c>
      <c r="AM7" s="103" t="s">
        <v>381</v>
      </c>
      <c r="BA7" s="238">
        <v>2</v>
      </c>
      <c r="BB7" t="s">
        <v>2</v>
      </c>
      <c r="BC7" s="2" t="s">
        <v>452</v>
      </c>
      <c r="BD7" s="2" t="s">
        <v>453</v>
      </c>
      <c r="BE7" s="103" t="s">
        <v>454</v>
      </c>
      <c r="BR7" s="238">
        <v>2</v>
      </c>
      <c r="BS7" t="s">
        <v>2</v>
      </c>
      <c r="BT7" s="2" t="s">
        <v>452</v>
      </c>
      <c r="BU7" s="2" t="s">
        <v>453</v>
      </c>
      <c r="BV7" s="103" t="s">
        <v>454</v>
      </c>
      <c r="CB7" s="42" t="s">
        <v>487</v>
      </c>
      <c r="CC7" s="15" t="s">
        <v>490</v>
      </c>
      <c r="CD7" s="267" t="s">
        <v>34</v>
      </c>
      <c r="CE7" s="15"/>
      <c r="CH7">
        <v>5</v>
      </c>
      <c r="CI7" t="s">
        <v>283</v>
      </c>
      <c r="CJ7" s="2"/>
      <c r="CK7" s="3" t="s">
        <v>287</v>
      </c>
      <c r="CL7" s="2"/>
      <c r="CM7" s="2"/>
      <c r="CN7" s="142" t="s">
        <v>284</v>
      </c>
      <c r="CO7" t="s">
        <v>288</v>
      </c>
      <c r="CQ7" s="2" t="s">
        <v>285</v>
      </c>
      <c r="CR7" s="2" t="s">
        <v>34</v>
      </c>
    </row>
    <row r="8" spans="1:99" x14ac:dyDescent="0.2">
      <c r="A8">
        <v>2</v>
      </c>
      <c r="B8" t="s">
        <v>3</v>
      </c>
      <c r="C8" s="2" t="s">
        <v>63</v>
      </c>
      <c r="D8" s="2" t="s">
        <v>65</v>
      </c>
      <c r="E8" s="2" t="s">
        <v>64</v>
      </c>
      <c r="F8" s="2" t="s">
        <v>66</v>
      </c>
      <c r="L8">
        <v>2</v>
      </c>
      <c r="M8" t="s">
        <v>3</v>
      </c>
      <c r="N8" s="2" t="s">
        <v>63</v>
      </c>
      <c r="O8" s="2" t="s">
        <v>65</v>
      </c>
      <c r="P8" s="2" t="s">
        <v>64</v>
      </c>
      <c r="Q8" s="2" t="s">
        <v>66</v>
      </c>
      <c r="W8" s="102">
        <v>2</v>
      </c>
      <c r="X8" s="102" t="s">
        <v>206</v>
      </c>
      <c r="Y8" s="103" t="s">
        <v>67</v>
      </c>
      <c r="Z8" s="103" t="s">
        <v>207</v>
      </c>
      <c r="AA8" s="103" t="s">
        <v>208</v>
      </c>
      <c r="AB8" s="103" t="s">
        <v>209</v>
      </c>
      <c r="AC8" s="103" t="s">
        <v>210</v>
      </c>
      <c r="AI8" s="102">
        <v>2</v>
      </c>
      <c r="AJ8" s="102" t="s">
        <v>206</v>
      </c>
      <c r="AK8" s="103" t="s">
        <v>67</v>
      </c>
      <c r="AL8" s="103" t="s">
        <v>207</v>
      </c>
      <c r="AN8" s="103" t="s">
        <v>209</v>
      </c>
      <c r="AO8" s="103" t="s">
        <v>210</v>
      </c>
      <c r="BA8" s="102">
        <v>2</v>
      </c>
      <c r="BB8" s="102" t="s">
        <v>206</v>
      </c>
      <c r="BC8" s="103"/>
      <c r="BD8" s="103"/>
      <c r="BF8" s="103"/>
      <c r="BG8" s="103"/>
      <c r="BR8" s="102">
        <v>2</v>
      </c>
      <c r="BS8" s="102" t="s">
        <v>206</v>
      </c>
      <c r="BT8" s="103"/>
      <c r="BU8" s="103"/>
      <c r="BW8" s="103"/>
      <c r="BX8" s="103"/>
    </row>
    <row r="9" spans="1:99" ht="14.5" customHeight="1" thickBot="1" x14ac:dyDescent="0.25">
      <c r="A9">
        <v>2</v>
      </c>
      <c r="B9" t="s">
        <v>4</v>
      </c>
      <c r="C9" s="2" t="s">
        <v>67</v>
      </c>
      <c r="D9" s="16">
        <v>3.472222222222222E-3</v>
      </c>
      <c r="L9">
        <v>2</v>
      </c>
      <c r="M9" t="s">
        <v>4</v>
      </c>
      <c r="N9" s="2" t="s">
        <v>67</v>
      </c>
      <c r="O9" s="16">
        <v>3.472222222222222E-3</v>
      </c>
      <c r="W9">
        <v>2</v>
      </c>
      <c r="X9" t="s">
        <v>4</v>
      </c>
      <c r="Y9" s="2" t="s">
        <v>67</v>
      </c>
      <c r="Z9" s="16">
        <v>3.472222222222222E-3</v>
      </c>
      <c r="AI9" s="238">
        <v>2</v>
      </c>
      <c r="AJ9" t="s">
        <v>4</v>
      </c>
      <c r="AK9" s="2" t="s">
        <v>67</v>
      </c>
      <c r="AL9" s="16">
        <v>6.9444444444444441E-3</v>
      </c>
      <c r="AM9" s="2" t="s">
        <v>379</v>
      </c>
      <c r="AN9" s="2" t="s">
        <v>380</v>
      </c>
      <c r="BA9" s="238">
        <v>2</v>
      </c>
      <c r="BB9" t="s">
        <v>4</v>
      </c>
      <c r="BD9" s="16"/>
      <c r="BR9" s="238">
        <v>2</v>
      </c>
      <c r="BS9" t="s">
        <v>4</v>
      </c>
      <c r="BU9" s="16"/>
    </row>
    <row r="10" spans="1:99" ht="16" thickBot="1" x14ac:dyDescent="0.25">
      <c r="CH10" s="17" t="s">
        <v>390</v>
      </c>
      <c r="CI10" s="244" t="s">
        <v>274</v>
      </c>
      <c r="CJ10" s="145"/>
      <c r="CK10" s="145"/>
      <c r="CL10" s="145"/>
      <c r="CM10" s="145"/>
      <c r="CN10" s="145"/>
      <c r="CO10" s="146"/>
      <c r="CP10" s="146"/>
      <c r="CQ10" s="358">
        <v>46023</v>
      </c>
    </row>
    <row r="11" spans="1:99" x14ac:dyDescent="0.2">
      <c r="B11" s="1" t="s">
        <v>5</v>
      </c>
      <c r="C11" s="6" t="s">
        <v>14</v>
      </c>
      <c r="D11" s="7" t="s">
        <v>15</v>
      </c>
      <c r="E11" s="7" t="s">
        <v>29</v>
      </c>
      <c r="F11" s="7" t="s">
        <v>16</v>
      </c>
      <c r="G11" s="8" t="s">
        <v>17</v>
      </c>
      <c r="H11" s="15" t="s">
        <v>21</v>
      </c>
      <c r="I11" s="2" t="s">
        <v>22</v>
      </c>
      <c r="M11" s="1" t="s">
        <v>5</v>
      </c>
      <c r="N11" s="6" t="s">
        <v>14</v>
      </c>
      <c r="O11" s="7" t="s">
        <v>15</v>
      </c>
      <c r="P11" s="7" t="s">
        <v>29</v>
      </c>
      <c r="Q11" s="7" t="s">
        <v>16</v>
      </c>
      <c r="R11" s="8" t="s">
        <v>17</v>
      </c>
      <c r="S11" s="15" t="s">
        <v>21</v>
      </c>
      <c r="T11" s="2" t="s">
        <v>22</v>
      </c>
      <c r="X11" s="1" t="s">
        <v>5</v>
      </c>
      <c r="Y11" s="6" t="s">
        <v>14</v>
      </c>
      <c r="Z11" s="7" t="s">
        <v>15</v>
      </c>
      <c r="AA11" s="7" t="s">
        <v>29</v>
      </c>
      <c r="AB11" s="7" t="s">
        <v>16</v>
      </c>
      <c r="AC11" s="8" t="s">
        <v>17</v>
      </c>
      <c r="AD11" s="105" t="s">
        <v>21</v>
      </c>
      <c r="AE11" s="15" t="s">
        <v>22</v>
      </c>
      <c r="AJ11" s="1" t="s">
        <v>5</v>
      </c>
      <c r="AK11" s="6" t="s">
        <v>14</v>
      </c>
      <c r="AL11" s="7" t="s">
        <v>15</v>
      </c>
      <c r="AM11" s="7" t="s">
        <v>29</v>
      </c>
      <c r="AN11" s="7" t="s">
        <v>16</v>
      </c>
      <c r="AO11" s="8" t="s">
        <v>17</v>
      </c>
      <c r="AP11" s="105" t="s">
        <v>21</v>
      </c>
      <c r="AQ11" s="15" t="s">
        <v>22</v>
      </c>
      <c r="BB11" s="1" t="s">
        <v>5</v>
      </c>
      <c r="BC11" s="6" t="s">
        <v>14</v>
      </c>
      <c r="BD11" s="7" t="s">
        <v>15</v>
      </c>
      <c r="BE11" s="7" t="s">
        <v>29</v>
      </c>
      <c r="BF11" s="7" t="s">
        <v>16</v>
      </c>
      <c r="BG11" s="8" t="s">
        <v>17</v>
      </c>
      <c r="BH11" s="105" t="s">
        <v>21</v>
      </c>
      <c r="BI11" s="15" t="s">
        <v>22</v>
      </c>
      <c r="BS11" s="1" t="s">
        <v>5</v>
      </c>
      <c r="BT11" s="6" t="s">
        <v>14</v>
      </c>
      <c r="BU11" s="7" t="s">
        <v>15</v>
      </c>
      <c r="BV11" s="7" t="s">
        <v>29</v>
      </c>
      <c r="BW11" s="7" t="s">
        <v>16</v>
      </c>
      <c r="BX11" s="8" t="s">
        <v>17</v>
      </c>
      <c r="BY11" s="105" t="s">
        <v>21</v>
      </c>
      <c r="BZ11" s="15" t="s">
        <v>22</v>
      </c>
      <c r="CH11" s="9">
        <v>1</v>
      </c>
      <c r="CI11" t="s">
        <v>275</v>
      </c>
      <c r="CJ11" s="2"/>
      <c r="CK11" s="2"/>
      <c r="CL11" s="2"/>
      <c r="CM11" s="2"/>
      <c r="CN11" s="2"/>
      <c r="CQ11" s="239">
        <v>49.3</v>
      </c>
    </row>
    <row r="12" spans="1:99" x14ac:dyDescent="0.2">
      <c r="A12">
        <v>3</v>
      </c>
      <c r="B12" t="s">
        <v>12</v>
      </c>
      <c r="C12" s="2">
        <v>3</v>
      </c>
      <c r="D12" s="2">
        <v>8</v>
      </c>
      <c r="F12" s="2" t="s">
        <v>18</v>
      </c>
      <c r="G12" s="2">
        <v>32</v>
      </c>
      <c r="H12" s="5">
        <v>0.85</v>
      </c>
      <c r="I12">
        <v>29.5</v>
      </c>
      <c r="J12">
        <f>I12*0.85</f>
        <v>25.074999999999999</v>
      </c>
      <c r="L12">
        <v>3</v>
      </c>
      <c r="M12" t="s">
        <v>12</v>
      </c>
      <c r="N12" s="2">
        <v>4</v>
      </c>
      <c r="O12" s="2">
        <v>6</v>
      </c>
      <c r="Q12" s="2" t="s">
        <v>18</v>
      </c>
      <c r="R12" s="2">
        <v>39</v>
      </c>
      <c r="S12" s="5">
        <v>0.9</v>
      </c>
      <c r="T12">
        <v>29.5</v>
      </c>
      <c r="U12">
        <f>T12*0.85</f>
        <v>25.074999999999999</v>
      </c>
      <c r="W12">
        <v>3</v>
      </c>
      <c r="X12" t="s">
        <v>211</v>
      </c>
      <c r="Y12" s="2">
        <v>4</v>
      </c>
      <c r="Z12" s="2">
        <v>6</v>
      </c>
      <c r="AB12" s="2" t="s">
        <v>18</v>
      </c>
      <c r="AC12" s="2">
        <f t="shared" ref="AC12:AC14" si="0">AE12*AD12</f>
        <v>35.1</v>
      </c>
      <c r="AD12" s="5">
        <v>0.9</v>
      </c>
      <c r="AE12" s="42">
        <v>39</v>
      </c>
      <c r="AF12">
        <f>AE12*0.85</f>
        <v>33.15</v>
      </c>
      <c r="AI12" s="238">
        <v>3</v>
      </c>
      <c r="AJ12" t="s">
        <v>211</v>
      </c>
      <c r="AK12" s="2">
        <v>4</v>
      </c>
      <c r="AL12" s="2">
        <v>6</v>
      </c>
      <c r="AN12" s="2" t="s">
        <v>18</v>
      </c>
      <c r="AO12" s="2">
        <f t="shared" ref="AO12:AO14" si="1">AQ12*AP12</f>
        <v>36.549999999999997</v>
      </c>
      <c r="AP12" s="5">
        <v>0.85</v>
      </c>
      <c r="AQ12" s="42">
        <v>43</v>
      </c>
      <c r="BA12" s="238">
        <v>3</v>
      </c>
      <c r="BB12" t="s">
        <v>211</v>
      </c>
      <c r="BC12" s="2">
        <v>4</v>
      </c>
      <c r="BD12" s="2">
        <v>8</v>
      </c>
      <c r="BF12" s="2" t="s">
        <v>272</v>
      </c>
      <c r="BG12" s="2">
        <f>BI12*BH12</f>
        <v>39</v>
      </c>
      <c r="BH12" s="5">
        <v>0.75</v>
      </c>
      <c r="BI12" s="42">
        <v>52</v>
      </c>
      <c r="BR12" s="238">
        <v>3</v>
      </c>
      <c r="BS12" t="s">
        <v>211</v>
      </c>
      <c r="BT12" s="2">
        <v>4</v>
      </c>
      <c r="BU12" s="2">
        <v>8</v>
      </c>
      <c r="BW12" s="2" t="s">
        <v>272</v>
      </c>
      <c r="BX12" s="2">
        <f>BZ12*BY12</f>
        <v>39</v>
      </c>
      <c r="BY12" s="5">
        <v>0.75</v>
      </c>
      <c r="BZ12" s="42">
        <v>52</v>
      </c>
      <c r="CH12" s="9">
        <v>1</v>
      </c>
      <c r="CI12" t="s">
        <v>277</v>
      </c>
      <c r="CJ12" s="2"/>
      <c r="CK12" s="2" t="s">
        <v>425</v>
      </c>
      <c r="CM12" s="2"/>
      <c r="CN12" s="2"/>
      <c r="CQ12" s="239">
        <v>154</v>
      </c>
    </row>
    <row r="13" spans="1:99" x14ac:dyDescent="0.2">
      <c r="A13">
        <v>5</v>
      </c>
      <c r="B13" t="s">
        <v>13</v>
      </c>
      <c r="C13" s="2">
        <v>3</v>
      </c>
      <c r="D13" s="2">
        <v>8</v>
      </c>
      <c r="F13" s="2" t="s">
        <v>18</v>
      </c>
      <c r="G13" s="2">
        <v>25</v>
      </c>
      <c r="H13" s="5">
        <v>0.85</v>
      </c>
      <c r="L13">
        <v>5</v>
      </c>
      <c r="M13" t="s">
        <v>13</v>
      </c>
      <c r="N13" s="2">
        <v>4</v>
      </c>
      <c r="O13" s="2">
        <v>6</v>
      </c>
      <c r="Q13" s="2" t="s">
        <v>18</v>
      </c>
      <c r="R13" s="2">
        <v>32</v>
      </c>
      <c r="S13" s="5">
        <v>0.95</v>
      </c>
      <c r="W13">
        <v>5</v>
      </c>
      <c r="X13" t="s">
        <v>13</v>
      </c>
      <c r="Y13" s="2">
        <v>4</v>
      </c>
      <c r="Z13" s="2">
        <v>6</v>
      </c>
      <c r="AB13" s="2" t="s">
        <v>18</v>
      </c>
      <c r="AC13" s="2">
        <f t="shared" si="0"/>
        <v>30.4</v>
      </c>
      <c r="AD13" s="5">
        <v>0.95</v>
      </c>
      <c r="AE13" s="45">
        <v>32</v>
      </c>
      <c r="AI13" s="238">
        <v>4</v>
      </c>
      <c r="AJ13" t="s">
        <v>394</v>
      </c>
      <c r="AK13" s="2">
        <v>4</v>
      </c>
      <c r="AL13" s="2">
        <v>6</v>
      </c>
      <c r="AN13" s="2" t="s">
        <v>18</v>
      </c>
      <c r="AO13" s="2">
        <f t="shared" si="1"/>
        <v>31.96</v>
      </c>
      <c r="AP13" s="5">
        <v>0.85</v>
      </c>
      <c r="AQ13" s="45">
        <v>37.6</v>
      </c>
      <c r="BA13" s="238">
        <v>4</v>
      </c>
      <c r="BB13" t="s">
        <v>394</v>
      </c>
      <c r="BC13" s="2">
        <v>4</v>
      </c>
      <c r="BD13" s="2">
        <v>8</v>
      </c>
      <c r="BF13" s="2" t="s">
        <v>272</v>
      </c>
      <c r="BG13" s="2">
        <f t="shared" ref="BG13:BG14" si="2">BI13*BH13</f>
        <v>31.950000000000003</v>
      </c>
      <c r="BH13" s="5">
        <v>0.75</v>
      </c>
      <c r="BI13" s="45">
        <v>42.6</v>
      </c>
      <c r="BR13" s="238">
        <v>4</v>
      </c>
      <c r="BS13" t="s">
        <v>394</v>
      </c>
      <c r="BT13" s="2">
        <v>4</v>
      </c>
      <c r="BU13" s="2">
        <v>8</v>
      </c>
      <c r="BW13" s="2" t="s">
        <v>272</v>
      </c>
      <c r="BX13" s="2">
        <f t="shared" ref="BX13:BX14" si="3">BZ13*BY13</f>
        <v>31.950000000000003</v>
      </c>
      <c r="BY13" s="5">
        <v>0.75</v>
      </c>
      <c r="BZ13" s="45">
        <v>42.6</v>
      </c>
      <c r="CH13" s="9">
        <v>1</v>
      </c>
      <c r="CI13" t="s">
        <v>277</v>
      </c>
      <c r="CJ13" s="2"/>
      <c r="CK13" s="2" t="s">
        <v>391</v>
      </c>
      <c r="CL13" s="2" t="s">
        <v>392</v>
      </c>
      <c r="CN13" s="2"/>
      <c r="CQ13" s="240" t="s">
        <v>388</v>
      </c>
      <c r="CR13" s="241" t="s">
        <v>21</v>
      </c>
      <c r="CS13" s="242" t="s">
        <v>227</v>
      </c>
      <c r="CT13" s="243" t="s">
        <v>223</v>
      </c>
    </row>
    <row r="14" spans="1:99" x14ac:dyDescent="0.2">
      <c r="A14">
        <v>7</v>
      </c>
      <c r="B14" t="s">
        <v>20</v>
      </c>
      <c r="C14" s="2">
        <v>4</v>
      </c>
      <c r="D14" s="2">
        <v>8</v>
      </c>
      <c r="F14" s="2" t="s">
        <v>18</v>
      </c>
      <c r="G14" s="2">
        <v>25</v>
      </c>
      <c r="H14" s="5">
        <v>0.85</v>
      </c>
      <c r="L14">
        <v>7</v>
      </c>
      <c r="M14" t="s">
        <v>20</v>
      </c>
      <c r="N14" s="2">
        <v>4</v>
      </c>
      <c r="O14" s="2">
        <v>6</v>
      </c>
      <c r="Q14" s="2" t="s">
        <v>18</v>
      </c>
      <c r="R14" s="2">
        <v>32</v>
      </c>
      <c r="S14" s="5">
        <v>0.9</v>
      </c>
      <c r="W14">
        <v>7</v>
      </c>
      <c r="X14" t="s">
        <v>20</v>
      </c>
      <c r="Y14" s="2">
        <v>4</v>
      </c>
      <c r="Z14" s="2">
        <v>6</v>
      </c>
      <c r="AB14" s="2" t="s">
        <v>18</v>
      </c>
      <c r="AC14" s="2">
        <f t="shared" si="0"/>
        <v>24.57</v>
      </c>
      <c r="AD14" s="5">
        <v>0.9</v>
      </c>
      <c r="AE14" s="45">
        <v>27.3</v>
      </c>
      <c r="AI14" s="238">
        <v>6</v>
      </c>
      <c r="AJ14" t="s">
        <v>20</v>
      </c>
      <c r="AK14" s="2">
        <v>4</v>
      </c>
      <c r="AL14" s="2">
        <v>6</v>
      </c>
      <c r="AN14" s="2" t="s">
        <v>18</v>
      </c>
      <c r="AO14" s="2">
        <f t="shared" si="1"/>
        <v>27.285</v>
      </c>
      <c r="AP14" s="5">
        <v>0.85</v>
      </c>
      <c r="AQ14" s="45">
        <v>32.1</v>
      </c>
      <c r="BA14" s="238">
        <v>6</v>
      </c>
      <c r="BB14" t="s">
        <v>456</v>
      </c>
      <c r="BC14" s="2">
        <v>4</v>
      </c>
      <c r="BD14" s="2">
        <v>8</v>
      </c>
      <c r="BF14" s="2" t="s">
        <v>455</v>
      </c>
      <c r="BG14" s="2">
        <f t="shared" si="2"/>
        <v>31.950000000000003</v>
      </c>
      <c r="BH14" s="5">
        <v>0.75</v>
      </c>
      <c r="BI14" s="45">
        <v>42.6</v>
      </c>
      <c r="BR14" s="238">
        <v>6</v>
      </c>
      <c r="BS14" t="s">
        <v>456</v>
      </c>
      <c r="BT14" s="2">
        <v>4</v>
      </c>
      <c r="BU14" s="2">
        <v>8</v>
      </c>
      <c r="BW14" s="2" t="s">
        <v>455</v>
      </c>
      <c r="BX14" s="2">
        <f t="shared" si="3"/>
        <v>31.950000000000003</v>
      </c>
      <c r="BY14" s="5">
        <v>0.75</v>
      </c>
      <c r="BZ14" s="45">
        <v>42.6</v>
      </c>
      <c r="CB14" s="241" t="s">
        <v>21</v>
      </c>
      <c r="CC14" s="242" t="s">
        <v>227</v>
      </c>
      <c r="CD14" s="243" t="s">
        <v>223</v>
      </c>
      <c r="CH14" s="9">
        <v>1</v>
      </c>
      <c r="CI14" t="s">
        <v>279</v>
      </c>
      <c r="CJ14" s="2"/>
      <c r="CK14" s="2"/>
      <c r="CL14" s="2"/>
      <c r="CM14" s="2"/>
      <c r="CN14" s="2"/>
      <c r="CO14" t="s">
        <v>288</v>
      </c>
      <c r="CQ14" s="252" t="s">
        <v>386</v>
      </c>
      <c r="CR14" s="253">
        <v>0.95</v>
      </c>
      <c r="CS14">
        <v>41.5</v>
      </c>
      <c r="CT14" s="33">
        <v>7</v>
      </c>
    </row>
    <row r="15" spans="1:99" x14ac:dyDescent="0.2">
      <c r="W15">
        <v>8</v>
      </c>
      <c r="X15" t="s">
        <v>212</v>
      </c>
      <c r="Y15" s="2">
        <v>3</v>
      </c>
      <c r="Z15" s="2">
        <v>8</v>
      </c>
      <c r="AB15" s="2" t="s">
        <v>18</v>
      </c>
      <c r="AC15" s="2">
        <f>AE15*AD15</f>
        <v>12.6</v>
      </c>
      <c r="AD15" s="5">
        <v>0.9</v>
      </c>
      <c r="AE15" s="42">
        <v>14</v>
      </c>
      <c r="AI15" s="238">
        <v>6</v>
      </c>
      <c r="AJ15" t="s">
        <v>212</v>
      </c>
      <c r="AK15" s="2">
        <v>3</v>
      </c>
      <c r="AL15" s="2">
        <v>8</v>
      </c>
      <c r="AN15" s="2" t="s">
        <v>18</v>
      </c>
      <c r="AO15" s="2">
        <f>AQ15*AP15</f>
        <v>18.02</v>
      </c>
      <c r="AP15" s="5">
        <v>0.85</v>
      </c>
      <c r="AQ15" s="42">
        <v>21.2</v>
      </c>
      <c r="BA15" s="238">
        <v>6</v>
      </c>
      <c r="BB15" t="s">
        <v>212</v>
      </c>
      <c r="BC15" s="2">
        <v>4</v>
      </c>
      <c r="BD15" s="2">
        <v>8</v>
      </c>
      <c r="BF15" s="2" t="s">
        <v>18</v>
      </c>
      <c r="BG15" s="2">
        <f>BI15*BH15</f>
        <v>23.01</v>
      </c>
      <c r="BH15" s="5">
        <v>0.78</v>
      </c>
      <c r="BI15" s="42">
        <v>29.5</v>
      </c>
      <c r="BR15" s="238">
        <v>6</v>
      </c>
      <c r="BS15" t="s">
        <v>212</v>
      </c>
      <c r="BT15" s="2">
        <v>4</v>
      </c>
      <c r="BU15" s="2">
        <v>8</v>
      </c>
      <c r="BW15" s="2" t="s">
        <v>18</v>
      </c>
      <c r="BX15" s="2">
        <f>BZ15*BY15</f>
        <v>23.01</v>
      </c>
      <c r="BY15" s="5">
        <v>0.78</v>
      </c>
      <c r="BZ15" s="42">
        <v>29.5</v>
      </c>
      <c r="CB15" s="253">
        <v>0.95</v>
      </c>
      <c r="CC15">
        <v>41.5</v>
      </c>
      <c r="CD15" s="33">
        <v>7</v>
      </c>
      <c r="CH15" s="9">
        <v>1</v>
      </c>
      <c r="CI15" t="s">
        <v>389</v>
      </c>
      <c r="CJ15" s="2"/>
      <c r="CK15" s="3" t="s">
        <v>286</v>
      </c>
      <c r="CL15" s="2"/>
      <c r="CM15" s="2"/>
      <c r="CN15" s="142" t="s">
        <v>284</v>
      </c>
      <c r="CO15" t="s">
        <v>288</v>
      </c>
      <c r="CQ15" s="254" t="s">
        <v>408</v>
      </c>
      <c r="CR15" s="38">
        <f>19*10</f>
        <v>190</v>
      </c>
      <c r="CS15" s="255" t="s">
        <v>409</v>
      </c>
      <c r="CT15" s="256">
        <f>CR15/60</f>
        <v>3.1666666666666665</v>
      </c>
      <c r="CU15" s="39" t="s">
        <v>410</v>
      </c>
    </row>
    <row r="16" spans="1:99" x14ac:dyDescent="0.2">
      <c r="B16" s="1" t="s">
        <v>6</v>
      </c>
      <c r="C16" s="6" t="s">
        <v>14</v>
      </c>
      <c r="D16" s="7" t="s">
        <v>15</v>
      </c>
      <c r="E16" s="7" t="s">
        <v>29</v>
      </c>
      <c r="F16" s="7" t="s">
        <v>16</v>
      </c>
      <c r="G16" s="8" t="s">
        <v>17</v>
      </c>
      <c r="H16" s="15" t="s">
        <v>21</v>
      </c>
      <c r="I16" s="2" t="s">
        <v>22</v>
      </c>
      <c r="M16" s="1" t="s">
        <v>6</v>
      </c>
      <c r="N16" s="6" t="s">
        <v>14</v>
      </c>
      <c r="O16" s="7" t="s">
        <v>15</v>
      </c>
      <c r="P16" s="7" t="s">
        <v>29</v>
      </c>
      <c r="Q16" s="7" t="s">
        <v>16</v>
      </c>
      <c r="R16" s="8" t="s">
        <v>17</v>
      </c>
      <c r="S16" s="15" t="s">
        <v>21</v>
      </c>
      <c r="T16" s="2" t="s">
        <v>22</v>
      </c>
      <c r="AI16" s="238">
        <v>7</v>
      </c>
      <c r="AJ16" t="s">
        <v>382</v>
      </c>
      <c r="AK16" s="2">
        <v>4</v>
      </c>
      <c r="AL16" s="2">
        <v>8</v>
      </c>
      <c r="AN16" s="2" t="s">
        <v>18</v>
      </c>
      <c r="AO16" s="2">
        <f>AQ16*AP16</f>
        <v>33.15</v>
      </c>
      <c r="AP16" s="5">
        <v>0.85</v>
      </c>
      <c r="AQ16" s="42">
        <v>39</v>
      </c>
      <c r="BA16" s="238">
        <v>7</v>
      </c>
      <c r="BB16" t="s">
        <v>457</v>
      </c>
      <c r="BC16" s="2">
        <v>4</v>
      </c>
      <c r="BD16" s="2">
        <v>8</v>
      </c>
      <c r="BF16" s="2" t="s">
        <v>18</v>
      </c>
      <c r="BG16" s="2">
        <f>BI16*BH16</f>
        <v>45</v>
      </c>
      <c r="BH16" s="5">
        <v>0.75</v>
      </c>
      <c r="BI16" s="42">
        <v>60</v>
      </c>
      <c r="BR16" s="238">
        <v>7</v>
      </c>
      <c r="BS16" t="s">
        <v>457</v>
      </c>
      <c r="BT16" s="2">
        <v>4</v>
      </c>
      <c r="BU16" s="2">
        <v>8</v>
      </c>
      <c r="BW16" s="2" t="s">
        <v>18</v>
      </c>
      <c r="BX16" s="2">
        <f>BZ16*BY16</f>
        <v>45</v>
      </c>
      <c r="BY16" s="5">
        <v>0.75</v>
      </c>
      <c r="BZ16" s="42">
        <v>60</v>
      </c>
      <c r="CB16" s="38">
        <f>19*10</f>
        <v>190</v>
      </c>
      <c r="CC16" s="255" t="s">
        <v>409</v>
      </c>
      <c r="CD16" s="256">
        <f>CB16/60</f>
        <v>3.1666666666666665</v>
      </c>
      <c r="CE16" s="39" t="s">
        <v>410</v>
      </c>
      <c r="CH16" s="9">
        <v>1</v>
      </c>
      <c r="CI16" t="s">
        <v>283</v>
      </c>
      <c r="CJ16" s="2"/>
      <c r="CK16" s="3" t="s">
        <v>287</v>
      </c>
      <c r="CL16" s="2"/>
      <c r="CM16" s="2"/>
    </row>
    <row r="17" spans="1:88" x14ac:dyDescent="0.2">
      <c r="A17">
        <v>4</v>
      </c>
      <c r="B17" t="s">
        <v>42</v>
      </c>
      <c r="C17" s="2">
        <v>3</v>
      </c>
      <c r="D17" s="2">
        <v>1</v>
      </c>
      <c r="E17" s="2" t="s">
        <v>43</v>
      </c>
      <c r="F17" s="2" t="s">
        <v>43</v>
      </c>
      <c r="G17" s="2" t="s">
        <v>27</v>
      </c>
      <c r="H17" s="5">
        <v>0.5</v>
      </c>
      <c r="I17">
        <v>29.5</v>
      </c>
      <c r="J17">
        <f>I17*0.85</f>
        <v>25.074999999999999</v>
      </c>
      <c r="L17">
        <v>4</v>
      </c>
      <c r="M17" t="s">
        <v>42</v>
      </c>
      <c r="N17" s="2">
        <v>4</v>
      </c>
      <c r="O17" s="2">
        <v>1</v>
      </c>
      <c r="P17" s="2" t="s">
        <v>26</v>
      </c>
      <c r="Q17" s="2" t="s">
        <v>18</v>
      </c>
      <c r="R17" s="2" t="s">
        <v>27</v>
      </c>
      <c r="S17" s="5">
        <v>0.5</v>
      </c>
      <c r="T17">
        <v>29.5</v>
      </c>
      <c r="U17">
        <f>T17*0.85</f>
        <v>25.074999999999999</v>
      </c>
      <c r="X17" s="1" t="s">
        <v>6</v>
      </c>
      <c r="Y17" s="6" t="s">
        <v>14</v>
      </c>
      <c r="Z17" s="7" t="s">
        <v>15</v>
      </c>
      <c r="AA17" s="7" t="s">
        <v>29</v>
      </c>
      <c r="AB17" s="7" t="s">
        <v>16</v>
      </c>
      <c r="AC17" s="8" t="s">
        <v>17</v>
      </c>
      <c r="AD17" s="105" t="s">
        <v>21</v>
      </c>
      <c r="AE17" s="15" t="s">
        <v>22</v>
      </c>
    </row>
    <row r="18" spans="1:88" x14ac:dyDescent="0.2">
      <c r="A18">
        <v>6</v>
      </c>
      <c r="B18" t="s">
        <v>44</v>
      </c>
      <c r="C18" s="2">
        <v>4</v>
      </c>
      <c r="D18" s="2">
        <v>30</v>
      </c>
      <c r="F18" s="2" t="s">
        <v>18</v>
      </c>
      <c r="G18" s="2">
        <v>6</v>
      </c>
      <c r="H18" s="5">
        <v>0.65</v>
      </c>
      <c r="L18">
        <v>6</v>
      </c>
      <c r="M18" t="s">
        <v>44</v>
      </c>
      <c r="N18" s="2">
        <v>4</v>
      </c>
      <c r="O18" s="2">
        <v>30</v>
      </c>
      <c r="Q18" s="2" t="s">
        <v>18</v>
      </c>
      <c r="R18" s="2">
        <v>6</v>
      </c>
      <c r="S18" s="5">
        <v>0.65</v>
      </c>
      <c r="W18">
        <v>4</v>
      </c>
      <c r="X18" t="s">
        <v>42</v>
      </c>
      <c r="Y18" s="2">
        <v>4</v>
      </c>
      <c r="Z18" s="2">
        <v>1</v>
      </c>
      <c r="AA18" s="2" t="s">
        <v>26</v>
      </c>
      <c r="AB18" s="2" t="s">
        <v>18</v>
      </c>
      <c r="AC18" s="2" t="s">
        <v>27</v>
      </c>
      <c r="AD18" s="5">
        <v>0.5</v>
      </c>
      <c r="AE18" s="45">
        <v>29.5</v>
      </c>
      <c r="AF18">
        <f>AE18*0.85</f>
        <v>25.074999999999999</v>
      </c>
      <c r="CH18" s="389" t="s">
        <v>397</v>
      </c>
      <c r="CI18" s="387" t="s">
        <v>492</v>
      </c>
      <c r="CJ18" s="388"/>
    </row>
    <row r="19" spans="1:88" x14ac:dyDescent="0.2">
      <c r="A19">
        <v>12</v>
      </c>
      <c r="B19" t="s">
        <v>51</v>
      </c>
      <c r="C19" s="2">
        <v>3</v>
      </c>
      <c r="D19" s="2">
        <v>20</v>
      </c>
      <c r="F19" s="2" t="s">
        <v>26</v>
      </c>
      <c r="G19" s="2" t="s">
        <v>52</v>
      </c>
      <c r="H19" s="5">
        <v>0.5</v>
      </c>
      <c r="L19">
        <v>12</v>
      </c>
      <c r="M19" t="s">
        <v>51</v>
      </c>
      <c r="N19" s="2">
        <v>3</v>
      </c>
      <c r="O19" s="2">
        <v>20</v>
      </c>
      <c r="Q19" s="2" t="s">
        <v>26</v>
      </c>
      <c r="R19" s="2" t="s">
        <v>70</v>
      </c>
      <c r="S19" s="5">
        <v>0.8</v>
      </c>
      <c r="W19">
        <v>6</v>
      </c>
      <c r="X19" t="s">
        <v>44</v>
      </c>
      <c r="Y19" s="2">
        <v>4</v>
      </c>
      <c r="Z19" s="2">
        <v>30</v>
      </c>
      <c r="AB19" s="2" t="s">
        <v>18</v>
      </c>
      <c r="AC19" s="2">
        <v>6</v>
      </c>
      <c r="AD19" s="5">
        <v>0.65</v>
      </c>
      <c r="AE19" s="45">
        <v>16</v>
      </c>
      <c r="AJ19" s="1" t="s">
        <v>6</v>
      </c>
      <c r="AK19" s="6" t="s">
        <v>14</v>
      </c>
      <c r="AL19" s="7" t="s">
        <v>15</v>
      </c>
      <c r="AM19" s="7" t="s">
        <v>29</v>
      </c>
      <c r="AN19" s="7" t="s">
        <v>16</v>
      </c>
      <c r="AO19" s="8" t="s">
        <v>17</v>
      </c>
      <c r="AP19" s="105" t="s">
        <v>21</v>
      </c>
      <c r="AQ19" s="15" t="s">
        <v>22</v>
      </c>
      <c r="BB19" s="1" t="s">
        <v>6</v>
      </c>
      <c r="BC19" s="6" t="s">
        <v>14</v>
      </c>
      <c r="BD19" s="7" t="s">
        <v>15</v>
      </c>
      <c r="BE19" s="7" t="s">
        <v>29</v>
      </c>
      <c r="BF19" s="7" t="s">
        <v>16</v>
      </c>
      <c r="BG19" s="8" t="s">
        <v>17</v>
      </c>
      <c r="BH19" s="105" t="s">
        <v>21</v>
      </c>
      <c r="BI19" s="15" t="s">
        <v>22</v>
      </c>
      <c r="BS19" s="1" t="s">
        <v>6</v>
      </c>
      <c r="BT19" s="6" t="s">
        <v>14</v>
      </c>
      <c r="BU19" s="7" t="s">
        <v>15</v>
      </c>
      <c r="BV19" s="7" t="s">
        <v>29</v>
      </c>
      <c r="BW19" s="7" t="s">
        <v>16</v>
      </c>
      <c r="BX19" s="8" t="s">
        <v>17</v>
      </c>
      <c r="BY19" s="105" t="s">
        <v>21</v>
      </c>
      <c r="BZ19" s="15" t="s">
        <v>22</v>
      </c>
      <c r="CH19" s="390"/>
      <c r="CI19" s="42" t="s">
        <v>398</v>
      </c>
      <c r="CJ19" s="42"/>
    </row>
    <row r="20" spans="1:88" x14ac:dyDescent="0.2">
      <c r="A20">
        <v>14</v>
      </c>
      <c r="B20" t="s">
        <v>45</v>
      </c>
      <c r="C20" s="2">
        <v>3</v>
      </c>
      <c r="D20" s="2">
        <v>10</v>
      </c>
      <c r="F20" s="2" t="s">
        <v>18</v>
      </c>
      <c r="G20" s="2">
        <f>2+2+4+4</f>
        <v>12</v>
      </c>
      <c r="H20" s="5">
        <v>0.95</v>
      </c>
      <c r="L20">
        <v>14</v>
      </c>
      <c r="M20" t="s">
        <v>45</v>
      </c>
      <c r="N20" s="2">
        <v>3</v>
      </c>
      <c r="O20" s="2">
        <v>10</v>
      </c>
      <c r="Q20" s="2" t="s">
        <v>18</v>
      </c>
      <c r="R20" s="2">
        <f>2+2+4+4</f>
        <v>12</v>
      </c>
      <c r="S20" s="5">
        <v>0.95</v>
      </c>
      <c r="W20">
        <v>12</v>
      </c>
      <c r="X20" t="s">
        <v>51</v>
      </c>
      <c r="Y20" s="2">
        <v>3</v>
      </c>
      <c r="Z20" s="2">
        <v>20</v>
      </c>
      <c r="AB20" s="2" t="s">
        <v>26</v>
      </c>
      <c r="AC20" s="2" t="s">
        <v>70</v>
      </c>
      <c r="AD20" s="5">
        <v>0.8</v>
      </c>
      <c r="AE20" s="45">
        <v>6</v>
      </c>
      <c r="AI20">
        <v>16</v>
      </c>
      <c r="AJ20" t="s">
        <v>42</v>
      </c>
      <c r="AK20" s="2">
        <v>4</v>
      </c>
      <c r="AL20" s="2">
        <v>1</v>
      </c>
      <c r="AM20" s="2" t="s">
        <v>26</v>
      </c>
      <c r="AN20" s="2" t="s">
        <v>18</v>
      </c>
      <c r="AO20" s="2" t="s">
        <v>27</v>
      </c>
      <c r="AP20" s="5">
        <v>0.5</v>
      </c>
      <c r="AQ20" s="45">
        <v>29.5</v>
      </c>
      <c r="BA20">
        <v>16</v>
      </c>
      <c r="BB20" t="s">
        <v>42</v>
      </c>
      <c r="BC20" s="2">
        <v>4</v>
      </c>
      <c r="BD20" s="2">
        <v>1</v>
      </c>
      <c r="BE20" s="2" t="s">
        <v>26</v>
      </c>
      <c r="BF20" s="2" t="s">
        <v>18</v>
      </c>
      <c r="BG20" s="2" t="s">
        <v>27</v>
      </c>
      <c r="BH20" s="5">
        <v>0.5</v>
      </c>
      <c r="BI20" s="45">
        <v>29.5</v>
      </c>
      <c r="BR20">
        <v>16</v>
      </c>
      <c r="BS20" t="s">
        <v>42</v>
      </c>
      <c r="BT20" s="2">
        <v>4</v>
      </c>
      <c r="BU20" s="2">
        <v>1</v>
      </c>
      <c r="BV20" s="2" t="s">
        <v>26</v>
      </c>
      <c r="BW20" s="2" t="s">
        <v>18</v>
      </c>
      <c r="BX20" s="2" t="s">
        <v>27</v>
      </c>
      <c r="BY20" s="5">
        <v>0.5</v>
      </c>
      <c r="BZ20" s="45">
        <v>29.5</v>
      </c>
      <c r="CH20" s="391" t="s">
        <v>399</v>
      </c>
      <c r="CI20" s="387" t="s">
        <v>493</v>
      </c>
      <c r="CJ20" s="388"/>
    </row>
    <row r="21" spans="1:88" x14ac:dyDescent="0.2">
      <c r="A21">
        <v>8</v>
      </c>
      <c r="B21" t="s">
        <v>46</v>
      </c>
      <c r="C21" s="2">
        <v>4</v>
      </c>
      <c r="D21" s="2">
        <v>10</v>
      </c>
      <c r="F21" s="2" t="s">
        <v>26</v>
      </c>
      <c r="G21" s="2">
        <v>5</v>
      </c>
      <c r="H21" s="5">
        <v>0.85</v>
      </c>
      <c r="L21">
        <v>8</v>
      </c>
      <c r="M21" t="s">
        <v>46</v>
      </c>
      <c r="N21" s="2">
        <v>4</v>
      </c>
      <c r="O21" s="2">
        <v>8</v>
      </c>
      <c r="Q21" s="2" t="s">
        <v>18</v>
      </c>
      <c r="R21" s="2">
        <v>4</v>
      </c>
      <c r="S21" s="5">
        <v>0.85</v>
      </c>
      <c r="W21">
        <v>14</v>
      </c>
      <c r="X21" t="s">
        <v>45</v>
      </c>
      <c r="Y21" s="2">
        <v>3</v>
      </c>
      <c r="Z21" s="2">
        <v>10</v>
      </c>
      <c r="AB21" s="2" t="s">
        <v>18</v>
      </c>
      <c r="AC21" s="2">
        <f>2+2+4+4</f>
        <v>12</v>
      </c>
      <c r="AD21" s="5">
        <v>0.95</v>
      </c>
      <c r="AE21" s="45">
        <v>12</v>
      </c>
      <c r="AI21">
        <v>17</v>
      </c>
      <c r="AJ21" t="s">
        <v>44</v>
      </c>
      <c r="AK21" s="2">
        <v>4</v>
      </c>
      <c r="AL21" s="2">
        <v>30</v>
      </c>
      <c r="AN21" s="2" t="s">
        <v>18</v>
      </c>
      <c r="AO21" s="2">
        <v>6</v>
      </c>
      <c r="AP21" s="5">
        <v>0.65</v>
      </c>
      <c r="AQ21" s="45">
        <v>16</v>
      </c>
      <c r="BA21">
        <v>17</v>
      </c>
      <c r="BB21" t="s">
        <v>44</v>
      </c>
      <c r="BC21" s="2">
        <v>4</v>
      </c>
      <c r="BD21" s="2">
        <v>30</v>
      </c>
      <c r="BF21" s="2" t="s">
        <v>18</v>
      </c>
      <c r="BG21" s="2">
        <v>6</v>
      </c>
      <c r="BH21" s="5">
        <v>0.65</v>
      </c>
      <c r="BI21" s="45">
        <v>16</v>
      </c>
      <c r="BR21">
        <v>17</v>
      </c>
      <c r="BS21" t="s">
        <v>44</v>
      </c>
      <c r="BT21" s="2">
        <v>4</v>
      </c>
      <c r="BU21" s="2">
        <v>30</v>
      </c>
      <c r="BW21" s="2" t="s">
        <v>18</v>
      </c>
      <c r="BX21" s="2">
        <v>6</v>
      </c>
      <c r="BY21" s="5">
        <v>0.65</v>
      </c>
      <c r="BZ21" s="45">
        <v>16</v>
      </c>
      <c r="CH21" s="392"/>
      <c r="CI21" s="42" t="s">
        <v>398</v>
      </c>
      <c r="CJ21" s="42"/>
    </row>
    <row r="22" spans="1:88" x14ac:dyDescent="0.2">
      <c r="A22">
        <v>10</v>
      </c>
      <c r="B22" t="s">
        <v>49</v>
      </c>
      <c r="C22" s="2">
        <v>4</v>
      </c>
      <c r="D22" s="2">
        <v>10</v>
      </c>
      <c r="F22" s="2" t="s">
        <v>18</v>
      </c>
      <c r="G22" s="2" t="s">
        <v>27</v>
      </c>
      <c r="L22">
        <v>10</v>
      </c>
      <c r="M22" t="s">
        <v>71</v>
      </c>
      <c r="N22" s="2">
        <v>4</v>
      </c>
      <c r="O22" s="2">
        <v>10</v>
      </c>
      <c r="Q22" s="2" t="s">
        <v>18</v>
      </c>
      <c r="R22" s="2">
        <v>10</v>
      </c>
      <c r="S22" s="5">
        <v>0.9</v>
      </c>
      <c r="W22">
        <v>8</v>
      </c>
      <c r="X22" t="s">
        <v>46</v>
      </c>
      <c r="Y22" s="2">
        <v>4</v>
      </c>
      <c r="Z22" s="2">
        <v>8</v>
      </c>
      <c r="AB22" s="2" t="s">
        <v>18</v>
      </c>
      <c r="AC22" s="2">
        <v>4</v>
      </c>
      <c r="AD22" s="5">
        <v>0.85</v>
      </c>
      <c r="AE22" s="45">
        <v>4</v>
      </c>
      <c r="AI22">
        <v>18</v>
      </c>
      <c r="AJ22" t="s">
        <v>51</v>
      </c>
      <c r="AK22" s="2">
        <v>3</v>
      </c>
      <c r="AL22" s="2">
        <v>20</v>
      </c>
      <c r="AN22" s="2" t="s">
        <v>26</v>
      </c>
      <c r="AO22" s="2" t="s">
        <v>70</v>
      </c>
      <c r="AP22" s="5">
        <v>0.8</v>
      </c>
      <c r="AQ22" s="45">
        <v>6</v>
      </c>
      <c r="BA22">
        <v>18</v>
      </c>
      <c r="BB22" t="s">
        <v>51</v>
      </c>
      <c r="BC22" s="2">
        <v>3</v>
      </c>
      <c r="BD22" s="2">
        <v>20</v>
      </c>
      <c r="BF22" s="2" t="s">
        <v>26</v>
      </c>
      <c r="BG22" s="2" t="s">
        <v>70</v>
      </c>
      <c r="BH22" s="5">
        <v>0.8</v>
      </c>
      <c r="BI22" s="45">
        <v>6</v>
      </c>
      <c r="BR22">
        <v>18</v>
      </c>
      <c r="BS22" t="s">
        <v>51</v>
      </c>
      <c r="BT22" s="2">
        <v>3</v>
      </c>
      <c r="BU22" s="2">
        <v>20</v>
      </c>
      <c r="BW22" s="2" t="s">
        <v>26</v>
      </c>
      <c r="BX22" s="2" t="s">
        <v>70</v>
      </c>
      <c r="BY22" s="5">
        <v>0.8</v>
      </c>
      <c r="BZ22" s="45">
        <v>6</v>
      </c>
    </row>
    <row r="23" spans="1:88" x14ac:dyDescent="0.2">
      <c r="W23">
        <v>10</v>
      </c>
      <c r="X23" t="s">
        <v>71</v>
      </c>
      <c r="Y23" s="2">
        <v>4</v>
      </c>
      <c r="Z23" s="2">
        <v>10</v>
      </c>
      <c r="AB23" s="2" t="s">
        <v>18</v>
      </c>
      <c r="AC23" s="2">
        <v>10</v>
      </c>
      <c r="AD23" s="5">
        <v>0.9</v>
      </c>
      <c r="AE23" s="45">
        <v>10</v>
      </c>
      <c r="AI23">
        <v>19</v>
      </c>
      <c r="AJ23" t="s">
        <v>45</v>
      </c>
      <c r="AK23" s="2">
        <v>3</v>
      </c>
      <c r="AL23" s="2">
        <v>10</v>
      </c>
      <c r="AN23" s="2" t="s">
        <v>18</v>
      </c>
      <c r="AO23" s="2">
        <f>2+2+4+4</f>
        <v>12</v>
      </c>
      <c r="AP23" s="5">
        <v>0.95</v>
      </c>
      <c r="AQ23" s="45">
        <v>12</v>
      </c>
      <c r="BA23">
        <v>19</v>
      </c>
      <c r="BB23" t="s">
        <v>45</v>
      </c>
      <c r="BC23" s="2">
        <v>3</v>
      </c>
      <c r="BD23" s="2">
        <v>10</v>
      </c>
      <c r="BF23" s="2" t="s">
        <v>18</v>
      </c>
      <c r="BG23" s="2">
        <f>2+2+4+4</f>
        <v>12</v>
      </c>
      <c r="BH23" s="5">
        <v>0.95</v>
      </c>
      <c r="BI23" s="45">
        <v>12</v>
      </c>
      <c r="BR23">
        <v>19</v>
      </c>
      <c r="BS23" t="s">
        <v>45</v>
      </c>
      <c r="BT23" s="2">
        <v>3</v>
      </c>
      <c r="BU23" s="2">
        <v>10</v>
      </c>
      <c r="BW23" s="2" t="s">
        <v>18</v>
      </c>
      <c r="BX23" s="2">
        <f>2+2+4+4</f>
        <v>12</v>
      </c>
      <c r="BY23" s="5">
        <v>0.95</v>
      </c>
      <c r="BZ23" s="45">
        <v>12</v>
      </c>
    </row>
    <row r="24" spans="1:88" x14ac:dyDescent="0.2">
      <c r="AI24">
        <v>20</v>
      </c>
      <c r="AJ24" t="s">
        <v>46</v>
      </c>
      <c r="AK24" s="2">
        <v>4</v>
      </c>
      <c r="AL24" s="2">
        <v>8</v>
      </c>
      <c r="AN24" s="2" t="s">
        <v>18</v>
      </c>
      <c r="AO24" s="2">
        <v>4</v>
      </c>
      <c r="AP24" s="5">
        <v>0.85</v>
      </c>
      <c r="AQ24" s="45">
        <v>4</v>
      </c>
      <c r="BA24">
        <v>20</v>
      </c>
      <c r="BB24" t="s">
        <v>46</v>
      </c>
      <c r="BC24" s="2">
        <v>4</v>
      </c>
      <c r="BD24" s="2">
        <v>8</v>
      </c>
      <c r="BF24" s="2" t="s">
        <v>18</v>
      </c>
      <c r="BG24" s="2">
        <v>4</v>
      </c>
      <c r="BH24" s="5">
        <v>0.85</v>
      </c>
      <c r="BI24" s="45">
        <v>4</v>
      </c>
      <c r="BR24">
        <v>20</v>
      </c>
      <c r="BS24" t="s">
        <v>46</v>
      </c>
      <c r="BT24" s="2">
        <v>4</v>
      </c>
      <c r="BU24" s="2">
        <v>8</v>
      </c>
      <c r="BW24" s="2" t="s">
        <v>18</v>
      </c>
      <c r="BX24" s="2">
        <v>4</v>
      </c>
      <c r="BY24" s="5">
        <v>0.85</v>
      </c>
      <c r="BZ24" s="45">
        <v>4</v>
      </c>
    </row>
    <row r="25" spans="1:88" x14ac:dyDescent="0.2">
      <c r="B25" s="1" t="s">
        <v>7</v>
      </c>
      <c r="C25" s="6" t="s">
        <v>14</v>
      </c>
      <c r="D25" s="7" t="s">
        <v>15</v>
      </c>
      <c r="E25" s="7" t="s">
        <v>29</v>
      </c>
      <c r="F25" s="7" t="s">
        <v>16</v>
      </c>
      <c r="G25" s="8" t="s">
        <v>17</v>
      </c>
      <c r="H25" s="15" t="s">
        <v>21</v>
      </c>
      <c r="I25" s="2" t="s">
        <v>22</v>
      </c>
      <c r="M25" s="1" t="s">
        <v>7</v>
      </c>
      <c r="N25" s="6" t="s">
        <v>14</v>
      </c>
      <c r="O25" s="7" t="s">
        <v>15</v>
      </c>
      <c r="P25" s="7" t="s">
        <v>29</v>
      </c>
      <c r="Q25" s="7" t="s">
        <v>16</v>
      </c>
      <c r="R25" s="8" t="s">
        <v>17</v>
      </c>
      <c r="S25" s="15" t="s">
        <v>21</v>
      </c>
      <c r="T25" s="2" t="s">
        <v>22</v>
      </c>
      <c r="AI25">
        <v>21</v>
      </c>
      <c r="AJ25" t="s">
        <v>71</v>
      </c>
      <c r="AK25" s="2">
        <v>4</v>
      </c>
      <c r="AL25" s="2">
        <v>10</v>
      </c>
      <c r="AN25" s="2" t="s">
        <v>18</v>
      </c>
      <c r="AO25" s="2">
        <v>10</v>
      </c>
      <c r="AP25" s="5">
        <v>0.9</v>
      </c>
      <c r="AQ25" s="45">
        <v>10</v>
      </c>
      <c r="BA25">
        <v>21</v>
      </c>
      <c r="BB25" t="s">
        <v>71</v>
      </c>
      <c r="BC25" s="2">
        <v>4</v>
      </c>
      <c r="BD25" s="2">
        <v>10</v>
      </c>
      <c r="BF25" s="2" t="s">
        <v>18</v>
      </c>
      <c r="BG25" s="2">
        <v>10</v>
      </c>
      <c r="BH25" s="5">
        <v>0.9</v>
      </c>
      <c r="BI25" s="45">
        <v>10</v>
      </c>
      <c r="BR25">
        <v>21</v>
      </c>
      <c r="BS25" t="s">
        <v>71</v>
      </c>
      <c r="BT25" s="2">
        <v>4</v>
      </c>
      <c r="BU25" s="2">
        <v>10</v>
      </c>
      <c r="BW25" s="2" t="s">
        <v>18</v>
      </c>
      <c r="BX25" s="2">
        <v>10</v>
      </c>
      <c r="BY25" s="5">
        <v>0.9</v>
      </c>
      <c r="BZ25" s="45">
        <v>10</v>
      </c>
    </row>
    <row r="26" spans="1:88" x14ac:dyDescent="0.2">
      <c r="B26" s="14" t="s">
        <v>23</v>
      </c>
      <c r="I26">
        <v>29.5</v>
      </c>
      <c r="J26">
        <f>I26*0.85</f>
        <v>25.074999999999999</v>
      </c>
      <c r="M26" s="14" t="s">
        <v>23</v>
      </c>
      <c r="T26">
        <v>29.5</v>
      </c>
      <c r="U26">
        <f>T26*0.85</f>
        <v>25.074999999999999</v>
      </c>
      <c r="X26" s="1" t="s">
        <v>7</v>
      </c>
      <c r="Y26" s="6" t="s">
        <v>14</v>
      </c>
      <c r="Z26" s="7" t="s">
        <v>15</v>
      </c>
      <c r="AA26" s="7" t="s">
        <v>29</v>
      </c>
      <c r="AB26" s="7" t="s">
        <v>16</v>
      </c>
      <c r="AC26" s="8" t="s">
        <v>17</v>
      </c>
      <c r="AD26" s="105" t="s">
        <v>21</v>
      </c>
      <c r="AE26" s="15" t="s">
        <v>22</v>
      </c>
      <c r="AI26" s="238">
        <v>8</v>
      </c>
      <c r="AJ26" t="s">
        <v>384</v>
      </c>
      <c r="AK26" s="2">
        <v>4</v>
      </c>
      <c r="AL26" s="2">
        <v>8</v>
      </c>
      <c r="AN26" s="2" t="s">
        <v>18</v>
      </c>
      <c r="AO26" s="2">
        <f>AQ26*AP26</f>
        <v>23.035</v>
      </c>
      <c r="AP26" s="5">
        <v>0.85</v>
      </c>
      <c r="AQ26" s="42">
        <v>27.1</v>
      </c>
      <c r="BA26" s="238">
        <v>8</v>
      </c>
      <c r="BB26" t="s">
        <v>384</v>
      </c>
      <c r="BC26" s="2">
        <v>4</v>
      </c>
      <c r="BD26" s="2">
        <v>8</v>
      </c>
      <c r="BF26" s="2" t="s">
        <v>18</v>
      </c>
      <c r="BG26" s="2">
        <f>BI26*BH26</f>
        <v>23.035</v>
      </c>
      <c r="BH26" s="5">
        <v>0.85</v>
      </c>
      <c r="BI26" s="42">
        <v>27.1</v>
      </c>
      <c r="BR26" s="238">
        <v>8</v>
      </c>
      <c r="BS26" t="s">
        <v>384</v>
      </c>
      <c r="BT26" s="2">
        <v>4</v>
      </c>
      <c r="BU26" s="2">
        <v>8</v>
      </c>
      <c r="BW26" s="2" t="s">
        <v>18</v>
      </c>
      <c r="BX26" s="2">
        <f>BZ26*BY26</f>
        <v>23.035</v>
      </c>
      <c r="BY26" s="5">
        <v>0.85</v>
      </c>
      <c r="BZ26" s="42">
        <v>27.1</v>
      </c>
    </row>
    <row r="27" spans="1:88" x14ac:dyDescent="0.2">
      <c r="B27" t="s">
        <v>25</v>
      </c>
      <c r="C27" s="2">
        <v>3</v>
      </c>
      <c r="D27" s="2">
        <v>8</v>
      </c>
      <c r="E27" s="2" t="s">
        <v>30</v>
      </c>
      <c r="F27" s="2" t="s">
        <v>26</v>
      </c>
      <c r="G27" s="2" t="s">
        <v>27</v>
      </c>
      <c r="M27" t="s">
        <v>25</v>
      </c>
      <c r="N27" s="2">
        <v>3</v>
      </c>
      <c r="O27" s="2">
        <v>8</v>
      </c>
      <c r="P27" s="2" t="s">
        <v>30</v>
      </c>
      <c r="Q27" s="2" t="s">
        <v>26</v>
      </c>
      <c r="R27" s="2" t="s">
        <v>27</v>
      </c>
      <c r="X27" s="14" t="s">
        <v>23</v>
      </c>
      <c r="AE27" s="42">
        <v>29.5</v>
      </c>
      <c r="AF27">
        <f>AE27*0.85</f>
        <v>25.074999999999999</v>
      </c>
      <c r="AK27" s="247">
        <v>4</v>
      </c>
      <c r="AL27" s="247">
        <v>8</v>
      </c>
      <c r="AM27" s="247"/>
      <c r="AN27" s="247" t="s">
        <v>18</v>
      </c>
      <c r="AO27" s="247">
        <f>AQ27*AP27</f>
        <v>30.004999999999995</v>
      </c>
      <c r="AP27" s="249">
        <v>0.85</v>
      </c>
      <c r="AQ27" s="248">
        <v>35.299999999999997</v>
      </c>
      <c r="BC27" s="247">
        <v>4</v>
      </c>
      <c r="BD27" s="247">
        <v>8</v>
      </c>
      <c r="BE27" s="247"/>
      <c r="BF27" s="247" t="s">
        <v>18</v>
      </c>
      <c r="BG27" s="247">
        <f>BI27*BH27</f>
        <v>30.004999999999995</v>
      </c>
      <c r="BH27" s="249">
        <v>0.85</v>
      </c>
      <c r="BI27" s="248">
        <v>35.299999999999997</v>
      </c>
      <c r="BT27" s="247">
        <v>4</v>
      </c>
      <c r="BU27" s="247">
        <v>8</v>
      </c>
      <c r="BV27" s="247"/>
      <c r="BW27" s="247" t="s">
        <v>18</v>
      </c>
      <c r="BX27" s="247">
        <f>BZ27*BY27</f>
        <v>30.004999999999995</v>
      </c>
      <c r="BY27" s="249">
        <v>0.85</v>
      </c>
      <c r="BZ27" s="248">
        <v>35.299999999999997</v>
      </c>
    </row>
    <row r="28" spans="1:88" x14ac:dyDescent="0.2">
      <c r="B28" t="s">
        <v>28</v>
      </c>
      <c r="C28" s="2">
        <v>3</v>
      </c>
      <c r="D28" s="2">
        <v>1</v>
      </c>
      <c r="E28" s="2" t="s">
        <v>31</v>
      </c>
      <c r="F28" s="2" t="s">
        <v>26</v>
      </c>
      <c r="G28" s="2" t="s">
        <v>27</v>
      </c>
      <c r="M28" t="s">
        <v>28</v>
      </c>
      <c r="N28" s="2">
        <v>3</v>
      </c>
      <c r="O28" s="2">
        <v>1</v>
      </c>
      <c r="P28" s="2" t="s">
        <v>31</v>
      </c>
      <c r="Q28" s="2" t="s">
        <v>26</v>
      </c>
      <c r="R28" s="2" t="s">
        <v>27</v>
      </c>
      <c r="X28" t="s">
        <v>25</v>
      </c>
      <c r="Y28" s="2">
        <v>3</v>
      </c>
      <c r="Z28" s="2">
        <v>8</v>
      </c>
      <c r="AA28" s="2" t="s">
        <v>30</v>
      </c>
      <c r="AB28" s="2" t="s">
        <v>26</v>
      </c>
      <c r="AC28" s="2" t="s">
        <v>27</v>
      </c>
      <c r="AE28" s="42"/>
      <c r="AJ28" s="1" t="s">
        <v>7</v>
      </c>
      <c r="AK28" s="6" t="s">
        <v>14</v>
      </c>
      <c r="AL28" s="7" t="s">
        <v>15</v>
      </c>
      <c r="AM28" s="7" t="s">
        <v>29</v>
      </c>
      <c r="AN28" s="7" t="s">
        <v>16</v>
      </c>
      <c r="AO28" s="8" t="s">
        <v>17</v>
      </c>
      <c r="AP28" s="105" t="s">
        <v>21</v>
      </c>
      <c r="AQ28" s="15" t="s">
        <v>22</v>
      </c>
      <c r="BB28" s="1" t="s">
        <v>7</v>
      </c>
      <c r="BC28" s="6" t="s">
        <v>14</v>
      </c>
      <c r="BD28" s="7" t="s">
        <v>15</v>
      </c>
      <c r="BE28" s="7" t="s">
        <v>29</v>
      </c>
      <c r="BF28" s="7" t="s">
        <v>16</v>
      </c>
      <c r="BG28" s="8" t="s">
        <v>17</v>
      </c>
      <c r="BH28" s="105" t="s">
        <v>21</v>
      </c>
      <c r="BI28" s="15" t="s">
        <v>22</v>
      </c>
      <c r="BS28" s="1" t="s">
        <v>7</v>
      </c>
      <c r="BT28" s="6" t="s">
        <v>14</v>
      </c>
      <c r="BU28" s="7" t="s">
        <v>15</v>
      </c>
      <c r="BV28" s="7" t="s">
        <v>29</v>
      </c>
      <c r="BW28" s="7" t="s">
        <v>16</v>
      </c>
      <c r="BX28" s="8" t="s">
        <v>17</v>
      </c>
      <c r="BY28" s="105" t="s">
        <v>21</v>
      </c>
      <c r="BZ28" s="15" t="s">
        <v>22</v>
      </c>
    </row>
    <row r="29" spans="1:88" x14ac:dyDescent="0.2">
      <c r="B29" t="s">
        <v>32</v>
      </c>
      <c r="C29" s="2">
        <v>3</v>
      </c>
      <c r="D29" s="2">
        <v>4</v>
      </c>
      <c r="E29" s="2" t="s">
        <v>30</v>
      </c>
      <c r="F29" s="2" t="s">
        <v>26</v>
      </c>
      <c r="G29" s="2" t="s">
        <v>27</v>
      </c>
      <c r="M29" t="s">
        <v>32</v>
      </c>
      <c r="N29" s="2">
        <v>3</v>
      </c>
      <c r="O29" s="2">
        <v>4</v>
      </c>
      <c r="P29" s="2" t="s">
        <v>30</v>
      </c>
      <c r="Q29" s="2" t="s">
        <v>26</v>
      </c>
      <c r="R29" s="2" t="s">
        <v>27</v>
      </c>
      <c r="X29" t="s">
        <v>28</v>
      </c>
      <c r="Y29" s="2">
        <v>3</v>
      </c>
      <c r="Z29" s="2">
        <v>1</v>
      </c>
      <c r="AA29" s="2" t="s">
        <v>31</v>
      </c>
      <c r="AB29" s="2" t="s">
        <v>26</v>
      </c>
      <c r="AC29" s="2" t="s">
        <v>27</v>
      </c>
      <c r="AE29" s="42"/>
      <c r="AJ29" s="14" t="s">
        <v>23</v>
      </c>
      <c r="AQ29" s="42">
        <v>29.5</v>
      </c>
      <c r="AR29">
        <f>AQ29*0.85</f>
        <v>25.074999999999999</v>
      </c>
      <c r="BB29" s="14" t="s">
        <v>23</v>
      </c>
      <c r="BI29" s="42">
        <v>29.5</v>
      </c>
      <c r="BJ29">
        <f>BI29*0.85</f>
        <v>25.074999999999999</v>
      </c>
      <c r="BS29" s="14" t="s">
        <v>23</v>
      </c>
      <c r="BZ29" s="42">
        <v>29.5</v>
      </c>
      <c r="CA29">
        <f>BZ29*0.85</f>
        <v>25.074999999999999</v>
      </c>
    </row>
    <row r="30" spans="1:88" x14ac:dyDescent="0.2">
      <c r="B30" s="9" t="s">
        <v>33</v>
      </c>
      <c r="C30" s="10">
        <v>3</v>
      </c>
      <c r="D30" s="10" t="s">
        <v>34</v>
      </c>
      <c r="E30" s="10" t="s">
        <v>34</v>
      </c>
      <c r="F30" s="10"/>
      <c r="G30" s="10"/>
      <c r="H30" s="9"/>
      <c r="M30" s="9" t="s">
        <v>33</v>
      </c>
      <c r="N30" s="10">
        <v>3</v>
      </c>
      <c r="O30" s="10" t="s">
        <v>34</v>
      </c>
      <c r="P30" s="10" t="s">
        <v>34</v>
      </c>
      <c r="Q30" s="10"/>
      <c r="R30" s="10"/>
      <c r="S30" s="9"/>
      <c r="X30" t="s">
        <v>32</v>
      </c>
      <c r="Y30" s="2">
        <v>3</v>
      </c>
      <c r="Z30" s="2">
        <v>4</v>
      </c>
      <c r="AA30" s="2" t="s">
        <v>30</v>
      </c>
      <c r="AB30" s="2" t="s">
        <v>26</v>
      </c>
      <c r="AC30" s="2" t="s">
        <v>27</v>
      </c>
      <c r="AE30" s="42"/>
      <c r="AJ30" t="s">
        <v>25</v>
      </c>
      <c r="AK30" s="2">
        <v>3</v>
      </c>
      <c r="AL30" s="2">
        <v>8</v>
      </c>
      <c r="AM30" s="2" t="s">
        <v>30</v>
      </c>
      <c r="AN30" s="2" t="s">
        <v>26</v>
      </c>
      <c r="AO30" s="2" t="s">
        <v>27</v>
      </c>
      <c r="AP30" s="5">
        <v>0.9</v>
      </c>
      <c r="AQ30" s="42">
        <v>48.5</v>
      </c>
      <c r="AR30" s="2" t="s">
        <v>222</v>
      </c>
      <c r="BB30" t="s">
        <v>25</v>
      </c>
      <c r="BC30" s="2">
        <v>3</v>
      </c>
      <c r="BD30" s="2">
        <v>8</v>
      </c>
      <c r="BE30" s="2" t="s">
        <v>30</v>
      </c>
      <c r="BF30" s="2" t="s">
        <v>26</v>
      </c>
      <c r="BG30" s="2" t="s">
        <v>27</v>
      </c>
      <c r="BH30" s="5">
        <v>0.9</v>
      </c>
      <c r="BI30" s="42">
        <v>48.5</v>
      </c>
      <c r="BJ30" s="2" t="s">
        <v>222</v>
      </c>
      <c r="BS30" t="s">
        <v>25</v>
      </c>
      <c r="BT30" s="2">
        <v>3</v>
      </c>
      <c r="BU30" s="2">
        <v>8</v>
      </c>
      <c r="BV30" s="2" t="s">
        <v>30</v>
      </c>
      <c r="BW30" s="2" t="s">
        <v>26</v>
      </c>
      <c r="BX30" s="2" t="s">
        <v>27</v>
      </c>
      <c r="BY30" s="5">
        <v>0.9</v>
      </c>
      <c r="BZ30" s="42">
        <v>48.5</v>
      </c>
      <c r="CA30" s="2" t="s">
        <v>222</v>
      </c>
    </row>
    <row r="31" spans="1:88" x14ac:dyDescent="0.2">
      <c r="X31" s="9" t="s">
        <v>33</v>
      </c>
      <c r="Y31" s="10">
        <v>3</v>
      </c>
      <c r="Z31" s="10" t="s">
        <v>34</v>
      </c>
      <c r="AA31" s="10" t="s">
        <v>34</v>
      </c>
      <c r="AB31" s="10"/>
      <c r="AC31" s="10"/>
      <c r="AD31" s="9"/>
      <c r="AE31" s="42"/>
      <c r="AJ31" t="s">
        <v>28</v>
      </c>
      <c r="AK31" s="2">
        <v>3</v>
      </c>
      <c r="AL31" s="2">
        <v>1</v>
      </c>
      <c r="AM31" s="2" t="s">
        <v>31</v>
      </c>
      <c r="AN31" s="2" t="s">
        <v>26</v>
      </c>
      <c r="AO31" s="2" t="s">
        <v>27</v>
      </c>
      <c r="AP31" s="5">
        <v>0.9</v>
      </c>
      <c r="AQ31" s="42">
        <v>48.5</v>
      </c>
      <c r="AR31" s="2" t="s">
        <v>222</v>
      </c>
      <c r="BB31" t="s">
        <v>28</v>
      </c>
      <c r="BC31" s="2">
        <v>3</v>
      </c>
      <c r="BD31" s="2">
        <v>1</v>
      </c>
      <c r="BE31" s="2" t="s">
        <v>31</v>
      </c>
      <c r="BF31" s="2" t="s">
        <v>26</v>
      </c>
      <c r="BG31" s="2" t="s">
        <v>27</v>
      </c>
      <c r="BH31" s="5">
        <v>0.9</v>
      </c>
      <c r="BI31" s="42">
        <v>48.5</v>
      </c>
      <c r="BJ31" s="2" t="s">
        <v>222</v>
      </c>
      <c r="BS31" t="s">
        <v>28</v>
      </c>
      <c r="BT31" s="2">
        <v>3</v>
      </c>
      <c r="BU31" s="2">
        <v>1</v>
      </c>
      <c r="BV31" s="2" t="s">
        <v>31</v>
      </c>
      <c r="BW31" s="2" t="s">
        <v>26</v>
      </c>
      <c r="BX31" s="2" t="s">
        <v>27</v>
      </c>
      <c r="BY31" s="5">
        <v>0.9</v>
      </c>
      <c r="BZ31" s="42">
        <v>48.5</v>
      </c>
      <c r="CA31" s="2" t="s">
        <v>222</v>
      </c>
    </row>
    <row r="32" spans="1:88" x14ac:dyDescent="0.2">
      <c r="AJ32" t="s">
        <v>32</v>
      </c>
      <c r="AK32" s="2">
        <v>3</v>
      </c>
      <c r="AL32" s="2">
        <v>4</v>
      </c>
      <c r="AM32" s="2" t="s">
        <v>30</v>
      </c>
      <c r="AN32" s="2" t="s">
        <v>26</v>
      </c>
      <c r="AO32" s="2" t="s">
        <v>27</v>
      </c>
      <c r="AP32" s="5">
        <v>0.9</v>
      </c>
      <c r="AQ32" s="42">
        <v>48.5</v>
      </c>
      <c r="AR32" s="2" t="s">
        <v>222</v>
      </c>
      <c r="BB32" t="s">
        <v>32</v>
      </c>
      <c r="BC32" s="2">
        <v>3</v>
      </c>
      <c r="BD32" s="2">
        <v>4</v>
      </c>
      <c r="BE32" s="2" t="s">
        <v>30</v>
      </c>
      <c r="BF32" s="2" t="s">
        <v>26</v>
      </c>
      <c r="BG32" s="2" t="s">
        <v>27</v>
      </c>
      <c r="BH32" s="5">
        <v>0.9</v>
      </c>
      <c r="BI32" s="42">
        <v>48.5</v>
      </c>
      <c r="BJ32" s="2" t="s">
        <v>222</v>
      </c>
      <c r="BS32" t="s">
        <v>32</v>
      </c>
      <c r="BT32" s="2">
        <v>3</v>
      </c>
      <c r="BU32" s="2">
        <v>4</v>
      </c>
      <c r="BV32" s="2" t="s">
        <v>30</v>
      </c>
      <c r="BW32" s="2" t="s">
        <v>26</v>
      </c>
      <c r="BX32" s="2" t="s">
        <v>27</v>
      </c>
      <c r="BY32" s="5">
        <v>0.9</v>
      </c>
      <c r="BZ32" s="42">
        <v>48.5</v>
      </c>
      <c r="CA32" s="2" t="s">
        <v>222</v>
      </c>
    </row>
    <row r="33" spans="1:80" x14ac:dyDescent="0.2">
      <c r="AI33">
        <v>1</v>
      </c>
      <c r="AJ33" s="9" t="s">
        <v>33</v>
      </c>
      <c r="AK33" s="10">
        <v>4</v>
      </c>
      <c r="AL33" s="10">
        <v>2</v>
      </c>
      <c r="AM33" s="125" t="s">
        <v>30</v>
      </c>
      <c r="AN33" s="10" t="s">
        <v>18</v>
      </c>
      <c r="AO33" s="10" t="s">
        <v>27</v>
      </c>
      <c r="AP33" s="5">
        <v>1</v>
      </c>
      <c r="AQ33" s="42">
        <v>48.5</v>
      </c>
      <c r="AR33" s="2" t="s">
        <v>222</v>
      </c>
      <c r="BA33">
        <v>1</v>
      </c>
      <c r="BB33" s="9" t="s">
        <v>33</v>
      </c>
      <c r="BC33" s="10">
        <v>4</v>
      </c>
      <c r="BD33" s="10">
        <v>2</v>
      </c>
      <c r="BE33" s="125" t="s">
        <v>30</v>
      </c>
      <c r="BF33" s="10" t="s">
        <v>18</v>
      </c>
      <c r="BG33" s="10" t="s">
        <v>27</v>
      </c>
      <c r="BH33" s="5">
        <v>1</v>
      </c>
      <c r="BI33" s="42">
        <v>48.5</v>
      </c>
      <c r="BJ33" s="2" t="s">
        <v>222</v>
      </c>
      <c r="BR33">
        <v>1</v>
      </c>
      <c r="BS33" s="9" t="s">
        <v>33</v>
      </c>
      <c r="BT33" s="10">
        <v>4</v>
      </c>
      <c r="BU33" s="10">
        <v>2</v>
      </c>
      <c r="BV33" s="125" t="s">
        <v>30</v>
      </c>
      <c r="BW33" s="10" t="s">
        <v>18</v>
      </c>
      <c r="BX33" s="10" t="s">
        <v>27</v>
      </c>
      <c r="BY33" s="5">
        <v>1</v>
      </c>
      <c r="BZ33" s="42">
        <v>48.5</v>
      </c>
      <c r="CA33" s="2" t="s">
        <v>222</v>
      </c>
    </row>
    <row r="34" spans="1:80" x14ac:dyDescent="0.2">
      <c r="B34" s="14" t="s">
        <v>24</v>
      </c>
      <c r="C34" s="6" t="s">
        <v>14</v>
      </c>
      <c r="D34" s="7" t="s">
        <v>15</v>
      </c>
      <c r="E34" s="7" t="s">
        <v>29</v>
      </c>
      <c r="F34" s="7" t="s">
        <v>16</v>
      </c>
      <c r="G34" s="8" t="s">
        <v>17</v>
      </c>
      <c r="H34" s="15" t="s">
        <v>21</v>
      </c>
      <c r="I34" s="2" t="s">
        <v>22</v>
      </c>
      <c r="M34" s="14" t="s">
        <v>24</v>
      </c>
      <c r="N34" s="6" t="s">
        <v>14</v>
      </c>
      <c r="O34" s="7" t="s">
        <v>15</v>
      </c>
      <c r="P34" s="7" t="s">
        <v>29</v>
      </c>
      <c r="Q34" s="7" t="s">
        <v>16</v>
      </c>
      <c r="R34" s="8" t="s">
        <v>17</v>
      </c>
      <c r="S34" s="15" t="s">
        <v>21</v>
      </c>
      <c r="T34" s="2" t="s">
        <v>22</v>
      </c>
      <c r="AI34">
        <v>1</v>
      </c>
      <c r="AJ34" s="9" t="s">
        <v>344</v>
      </c>
      <c r="AK34" s="10">
        <v>4</v>
      </c>
      <c r="AL34" s="10">
        <v>2</v>
      </c>
      <c r="AM34" s="125" t="s">
        <v>30</v>
      </c>
      <c r="AN34" s="10" t="s">
        <v>18</v>
      </c>
      <c r="AO34" s="125" t="s">
        <v>345</v>
      </c>
      <c r="AP34" s="5">
        <v>1</v>
      </c>
      <c r="AQ34" s="42">
        <v>48.5</v>
      </c>
      <c r="AR34" s="2" t="s">
        <v>222</v>
      </c>
      <c r="BA34">
        <v>1</v>
      </c>
      <c r="BB34" s="9" t="s">
        <v>344</v>
      </c>
      <c r="BC34" s="10">
        <v>4</v>
      </c>
      <c r="BD34" s="10">
        <v>2</v>
      </c>
      <c r="BE34" s="125" t="s">
        <v>30</v>
      </c>
      <c r="BF34" s="10" t="s">
        <v>18</v>
      </c>
      <c r="BG34" s="125" t="s">
        <v>345</v>
      </c>
      <c r="BH34" s="5">
        <v>1</v>
      </c>
      <c r="BI34" s="42">
        <v>48.5</v>
      </c>
      <c r="BJ34" s="2" t="s">
        <v>222</v>
      </c>
      <c r="BR34">
        <v>1</v>
      </c>
      <c r="BS34" s="9" t="s">
        <v>344</v>
      </c>
      <c r="BT34" s="10">
        <v>4</v>
      </c>
      <c r="BU34" s="10">
        <v>2</v>
      </c>
      <c r="BV34" s="125" t="s">
        <v>30</v>
      </c>
      <c r="BW34" s="10" t="s">
        <v>18</v>
      </c>
      <c r="BX34" s="125" t="s">
        <v>345</v>
      </c>
      <c r="BY34" s="5">
        <v>1</v>
      </c>
      <c r="BZ34" s="42">
        <v>48.5</v>
      </c>
      <c r="CA34" s="2" t="s">
        <v>222</v>
      </c>
    </row>
    <row r="35" spans="1:80" x14ac:dyDescent="0.2">
      <c r="A35">
        <v>9</v>
      </c>
      <c r="B35" t="s">
        <v>35</v>
      </c>
      <c r="C35" s="2">
        <v>4</v>
      </c>
      <c r="D35" s="2">
        <v>8</v>
      </c>
      <c r="F35" s="2" t="s">
        <v>18</v>
      </c>
      <c r="G35" s="2">
        <v>36</v>
      </c>
      <c r="H35" s="4">
        <v>0.86</v>
      </c>
      <c r="I35">
        <v>29.5</v>
      </c>
      <c r="J35">
        <f>I35*0.85</f>
        <v>25.074999999999999</v>
      </c>
      <c r="L35">
        <v>9</v>
      </c>
      <c r="M35" t="s">
        <v>35</v>
      </c>
      <c r="N35" s="2">
        <v>4</v>
      </c>
      <c r="O35" s="2">
        <v>6</v>
      </c>
      <c r="Q35" s="2" t="s">
        <v>18</v>
      </c>
      <c r="R35" s="2">
        <v>41</v>
      </c>
      <c r="S35" s="4">
        <v>0.95</v>
      </c>
      <c r="T35">
        <v>29.5</v>
      </c>
      <c r="U35">
        <f>T35*0.85</f>
        <v>25.074999999999999</v>
      </c>
      <c r="X35" s="14" t="s">
        <v>24</v>
      </c>
      <c r="Y35" s="6" t="s">
        <v>14</v>
      </c>
      <c r="Z35" s="7" t="s">
        <v>15</v>
      </c>
      <c r="AA35" s="7" t="s">
        <v>29</v>
      </c>
      <c r="AB35" s="7" t="s">
        <v>16</v>
      </c>
      <c r="AC35" s="8" t="s">
        <v>17</v>
      </c>
      <c r="AD35" s="105" t="s">
        <v>21</v>
      </c>
      <c r="AE35" s="15" t="s">
        <v>22</v>
      </c>
    </row>
    <row r="36" spans="1:80" x14ac:dyDescent="0.2">
      <c r="A36">
        <v>11</v>
      </c>
      <c r="B36" t="s">
        <v>37</v>
      </c>
      <c r="C36" s="2">
        <v>4</v>
      </c>
      <c r="D36" s="2">
        <v>8</v>
      </c>
      <c r="F36" s="2" t="s">
        <v>18</v>
      </c>
      <c r="G36" s="2">
        <v>25</v>
      </c>
      <c r="H36" s="4">
        <v>0.9</v>
      </c>
      <c r="L36">
        <v>11</v>
      </c>
      <c r="M36" t="s">
        <v>37</v>
      </c>
      <c r="N36" s="2">
        <v>4</v>
      </c>
      <c r="O36" s="2">
        <v>8</v>
      </c>
      <c r="Q36" s="2" t="s">
        <v>18</v>
      </c>
      <c r="R36" s="2">
        <v>32</v>
      </c>
      <c r="S36" s="4">
        <v>0.95</v>
      </c>
      <c r="W36">
        <v>9</v>
      </c>
      <c r="X36" t="s">
        <v>35</v>
      </c>
      <c r="Y36" s="2">
        <v>4</v>
      </c>
      <c r="Z36" s="2">
        <v>6</v>
      </c>
      <c r="AB36" s="2" t="s">
        <v>18</v>
      </c>
      <c r="AC36" s="2">
        <v>41</v>
      </c>
      <c r="AD36" s="4">
        <v>0.95</v>
      </c>
      <c r="AE36" s="45">
        <v>30</v>
      </c>
      <c r="AF36">
        <f>AE36*0.85</f>
        <v>25.5</v>
      </c>
    </row>
    <row r="37" spans="1:80" x14ac:dyDescent="0.2">
      <c r="A37">
        <v>13</v>
      </c>
      <c r="B37" t="s">
        <v>38</v>
      </c>
      <c r="C37" s="2">
        <v>4</v>
      </c>
      <c r="D37" s="2">
        <v>8</v>
      </c>
      <c r="F37" s="2" t="s">
        <v>18</v>
      </c>
      <c r="G37" s="2">
        <v>39</v>
      </c>
      <c r="H37" s="4">
        <v>0.85</v>
      </c>
      <c r="L37">
        <v>13</v>
      </c>
      <c r="M37" t="s">
        <v>38</v>
      </c>
      <c r="N37" s="2">
        <v>4</v>
      </c>
      <c r="O37" s="2">
        <v>8</v>
      </c>
      <c r="Q37" s="2" t="s">
        <v>18</v>
      </c>
      <c r="R37" s="2">
        <v>39</v>
      </c>
      <c r="S37" s="4">
        <v>0.9</v>
      </c>
      <c r="W37">
        <v>11</v>
      </c>
      <c r="X37" t="s">
        <v>37</v>
      </c>
      <c r="Y37" s="2">
        <v>4</v>
      </c>
      <c r="Z37" s="2">
        <v>8</v>
      </c>
      <c r="AB37" s="2" t="s">
        <v>18</v>
      </c>
      <c r="AC37" s="2">
        <v>32</v>
      </c>
      <c r="AD37" s="4">
        <v>0.95</v>
      </c>
      <c r="AE37" s="45">
        <v>25</v>
      </c>
      <c r="AJ37" s="14" t="s">
        <v>24</v>
      </c>
      <c r="AK37" s="6" t="s">
        <v>14</v>
      </c>
      <c r="AL37" s="7" t="s">
        <v>15</v>
      </c>
      <c r="AM37" s="7" t="s">
        <v>29</v>
      </c>
      <c r="AN37" s="7" t="s">
        <v>16</v>
      </c>
      <c r="AO37" s="8" t="s">
        <v>17</v>
      </c>
      <c r="AP37" s="105" t="s">
        <v>21</v>
      </c>
      <c r="AQ37" s="15" t="s">
        <v>22</v>
      </c>
      <c r="AR37" s="4">
        <v>0.85</v>
      </c>
      <c r="AS37" s="4">
        <v>1</v>
      </c>
      <c r="BB37" s="14" t="s">
        <v>24</v>
      </c>
      <c r="BC37" s="6" t="s">
        <v>14</v>
      </c>
      <c r="BD37" s="7" t="s">
        <v>15</v>
      </c>
      <c r="BE37" s="7" t="s">
        <v>29</v>
      </c>
      <c r="BF37" s="7" t="s">
        <v>16</v>
      </c>
      <c r="BG37" s="8" t="s">
        <v>17</v>
      </c>
      <c r="BH37" s="105" t="s">
        <v>21</v>
      </c>
      <c r="BI37" s="15" t="s">
        <v>22</v>
      </c>
      <c r="BJ37" s="4">
        <v>0.85</v>
      </c>
      <c r="BK37" s="4">
        <v>1</v>
      </c>
      <c r="BS37" s="14" t="s">
        <v>24</v>
      </c>
      <c r="BT37" s="6" t="s">
        <v>14</v>
      </c>
      <c r="BU37" s="7" t="s">
        <v>15</v>
      </c>
      <c r="BV37" s="7" t="s">
        <v>29</v>
      </c>
      <c r="BW37" s="7" t="s">
        <v>16</v>
      </c>
      <c r="BX37" s="8" t="s">
        <v>17</v>
      </c>
      <c r="BY37" s="105" t="s">
        <v>21</v>
      </c>
      <c r="BZ37" s="15" t="s">
        <v>22</v>
      </c>
      <c r="CA37" s="4">
        <v>0.85</v>
      </c>
      <c r="CB37" s="4">
        <v>1</v>
      </c>
    </row>
    <row r="38" spans="1:80" x14ac:dyDescent="0.2">
      <c r="A38">
        <v>15</v>
      </c>
      <c r="B38" t="s">
        <v>39</v>
      </c>
      <c r="C38" s="2">
        <v>4</v>
      </c>
      <c r="D38" s="2">
        <v>8</v>
      </c>
      <c r="F38" s="2" t="s">
        <v>18</v>
      </c>
      <c r="G38" s="2">
        <f>5.4+5</f>
        <v>10.4</v>
      </c>
      <c r="H38" s="4">
        <v>0.9</v>
      </c>
      <c r="L38">
        <v>15</v>
      </c>
      <c r="M38" t="s">
        <v>39</v>
      </c>
      <c r="N38" s="2">
        <v>4</v>
      </c>
      <c r="O38" s="2">
        <v>8</v>
      </c>
      <c r="Q38" s="2" t="s">
        <v>18</v>
      </c>
      <c r="R38" s="2">
        <f>5.4+5</f>
        <v>10.4</v>
      </c>
      <c r="S38" s="4">
        <v>0.9</v>
      </c>
      <c r="W38">
        <v>13</v>
      </c>
      <c r="X38" t="s">
        <v>38</v>
      </c>
      <c r="Y38" s="2">
        <v>4</v>
      </c>
      <c r="Z38" s="2">
        <v>8</v>
      </c>
      <c r="AB38" s="2" t="s">
        <v>18</v>
      </c>
      <c r="AC38" s="2">
        <v>39</v>
      </c>
      <c r="AD38" s="4">
        <v>0.9</v>
      </c>
      <c r="AE38" s="45">
        <v>32</v>
      </c>
      <c r="AI38" s="238">
        <v>9</v>
      </c>
      <c r="AJ38" t="s">
        <v>383</v>
      </c>
      <c r="AK38" s="2">
        <v>4</v>
      </c>
      <c r="AL38" s="2">
        <v>8</v>
      </c>
      <c r="AN38" s="2" t="s">
        <v>18</v>
      </c>
      <c r="AO38" s="2">
        <f t="shared" ref="AO38:AO40" si="4">AQ38*AP38</f>
        <v>39.015000000000001</v>
      </c>
      <c r="AP38" s="4">
        <v>0.85</v>
      </c>
      <c r="AQ38" s="45">
        <v>45.9</v>
      </c>
      <c r="AR38">
        <f>48.5-AO38</f>
        <v>9.4849999999999994</v>
      </c>
      <c r="AS38">
        <f>48.5-AQ38</f>
        <v>2.6000000000000014</v>
      </c>
      <c r="BA38" s="238">
        <v>9</v>
      </c>
      <c r="BB38" t="s">
        <v>383</v>
      </c>
      <c r="BC38" s="2">
        <v>4</v>
      </c>
      <c r="BD38" s="2">
        <v>8</v>
      </c>
      <c r="BF38" s="2" t="s">
        <v>272</v>
      </c>
      <c r="BG38" s="2">
        <f t="shared" ref="BG38:BG49" si="5">BI38*BH38</f>
        <v>39</v>
      </c>
      <c r="BH38" s="4">
        <v>0.75</v>
      </c>
      <c r="BI38" s="45">
        <v>52</v>
      </c>
      <c r="BJ38">
        <f>48.5-BG38</f>
        <v>9.5</v>
      </c>
      <c r="BK38">
        <f>48.5-BI38</f>
        <v>-3.5</v>
      </c>
      <c r="BR38" s="238">
        <v>9</v>
      </c>
      <c r="BS38" t="s">
        <v>383</v>
      </c>
      <c r="BT38" s="2">
        <v>4</v>
      </c>
      <c r="BU38" s="2">
        <v>8</v>
      </c>
      <c r="BW38" s="2" t="s">
        <v>272</v>
      </c>
      <c r="BX38" s="2">
        <f t="shared" ref="BX38:BX49" si="6">BZ38*BY38</f>
        <v>39</v>
      </c>
      <c r="BY38" s="4">
        <v>0.75</v>
      </c>
      <c r="BZ38" s="45">
        <v>52</v>
      </c>
      <c r="CA38">
        <f>48.5-BX38</f>
        <v>9.5</v>
      </c>
      <c r="CB38">
        <f>48.5-BZ38</f>
        <v>-3.5</v>
      </c>
    </row>
    <row r="39" spans="1:80" x14ac:dyDescent="0.2">
      <c r="A39">
        <v>16</v>
      </c>
      <c r="B39" t="s">
        <v>40</v>
      </c>
      <c r="C39" s="2">
        <v>4</v>
      </c>
      <c r="D39" s="2">
        <v>6</v>
      </c>
      <c r="F39" s="2" t="s">
        <v>18</v>
      </c>
      <c r="G39" s="13">
        <v>29.6</v>
      </c>
      <c r="H39" s="4">
        <v>0.9</v>
      </c>
      <c r="J39" s="12"/>
      <c r="L39">
        <v>16</v>
      </c>
      <c r="M39" t="s">
        <v>40</v>
      </c>
      <c r="N39" s="2">
        <v>4</v>
      </c>
      <c r="O39" s="2">
        <v>6</v>
      </c>
      <c r="Q39" s="2" t="s">
        <v>18</v>
      </c>
      <c r="R39" s="13">
        <v>29.6</v>
      </c>
      <c r="S39" s="4">
        <v>0.9</v>
      </c>
      <c r="U39" s="12"/>
      <c r="W39">
        <v>15</v>
      </c>
      <c r="X39" t="s">
        <v>39</v>
      </c>
      <c r="Y39" s="2">
        <v>4</v>
      </c>
      <c r="Z39" s="2">
        <v>8</v>
      </c>
      <c r="AB39" s="2" t="s">
        <v>18</v>
      </c>
      <c r="AC39" s="2">
        <f>5.4+5</f>
        <v>10.4</v>
      </c>
      <c r="AD39" s="4">
        <v>0.9</v>
      </c>
      <c r="AE39" s="45">
        <v>18</v>
      </c>
      <c r="AI39" s="238">
        <v>10</v>
      </c>
      <c r="AJ39" t="s">
        <v>37</v>
      </c>
      <c r="AK39" s="2">
        <v>4</v>
      </c>
      <c r="AL39" s="2">
        <v>8</v>
      </c>
      <c r="AN39" s="2" t="s">
        <v>18</v>
      </c>
      <c r="AO39" s="2">
        <f t="shared" si="4"/>
        <v>24.99</v>
      </c>
      <c r="AP39" s="4">
        <v>0.85</v>
      </c>
      <c r="AQ39" s="45">
        <v>29.4</v>
      </c>
      <c r="BA39" s="238">
        <v>10</v>
      </c>
      <c r="BB39" t="s">
        <v>37</v>
      </c>
      <c r="BC39" s="2">
        <v>4</v>
      </c>
      <c r="BD39" s="2">
        <v>8</v>
      </c>
      <c r="BF39" s="2" t="s">
        <v>272</v>
      </c>
      <c r="BG39" s="2">
        <f t="shared" si="5"/>
        <v>25.125</v>
      </c>
      <c r="BH39" s="4">
        <v>0.75</v>
      </c>
      <c r="BI39" s="45">
        <v>33.5</v>
      </c>
      <c r="BR39" s="238">
        <v>10</v>
      </c>
      <c r="BS39" t="s">
        <v>37</v>
      </c>
      <c r="BT39" s="2">
        <v>4</v>
      </c>
      <c r="BU39" s="2">
        <v>8</v>
      </c>
      <c r="BW39" s="2" t="s">
        <v>272</v>
      </c>
      <c r="BX39" s="2">
        <f t="shared" si="6"/>
        <v>25.125</v>
      </c>
      <c r="BY39" s="4">
        <v>0.75</v>
      </c>
      <c r="BZ39" s="45">
        <v>33.5</v>
      </c>
    </row>
    <row r="40" spans="1:80" x14ac:dyDescent="0.2">
      <c r="B40" t="s">
        <v>41</v>
      </c>
      <c r="C40" s="2">
        <v>4</v>
      </c>
      <c r="D40" s="2">
        <v>8</v>
      </c>
      <c r="F40" s="2" t="s">
        <v>26</v>
      </c>
      <c r="G40" s="2">
        <v>14</v>
      </c>
      <c r="H40" s="4">
        <v>0.9</v>
      </c>
      <c r="M40" t="s">
        <v>41</v>
      </c>
      <c r="N40" s="2">
        <v>4</v>
      </c>
      <c r="O40" s="2">
        <v>8</v>
      </c>
      <c r="Q40" s="2" t="s">
        <v>26</v>
      </c>
      <c r="R40" s="2">
        <v>14</v>
      </c>
      <c r="S40" s="4">
        <v>0.9</v>
      </c>
      <c r="W40">
        <v>16</v>
      </c>
      <c r="X40" t="s">
        <v>40</v>
      </c>
      <c r="Y40" s="2">
        <v>4</v>
      </c>
      <c r="Z40" s="2">
        <v>6</v>
      </c>
      <c r="AB40" s="2" t="s">
        <v>18</v>
      </c>
      <c r="AC40" s="13">
        <v>29.6</v>
      </c>
      <c r="AD40" s="4">
        <v>0.9</v>
      </c>
      <c r="AE40" s="45">
        <v>25</v>
      </c>
      <c r="AF40" s="12"/>
      <c r="AI40" s="238">
        <v>11</v>
      </c>
      <c r="AJ40" t="s">
        <v>38</v>
      </c>
      <c r="AK40" s="2">
        <v>4</v>
      </c>
      <c r="AL40" s="2">
        <v>8</v>
      </c>
      <c r="AN40" s="2" t="s">
        <v>18</v>
      </c>
      <c r="AO40" s="2">
        <f t="shared" si="4"/>
        <v>32.045000000000002</v>
      </c>
      <c r="AP40" s="4">
        <v>0.85</v>
      </c>
      <c r="AQ40" s="45">
        <v>37.700000000000003</v>
      </c>
      <c r="BA40" s="238">
        <v>11</v>
      </c>
      <c r="BB40" t="s">
        <v>38</v>
      </c>
      <c r="BC40" s="2">
        <v>4</v>
      </c>
      <c r="BD40" s="2">
        <v>8</v>
      </c>
      <c r="BF40" s="2" t="s">
        <v>272</v>
      </c>
      <c r="BG40" s="2">
        <f t="shared" si="5"/>
        <v>39</v>
      </c>
      <c r="BH40" s="4">
        <v>0.75</v>
      </c>
      <c r="BI40" s="45">
        <v>52</v>
      </c>
      <c r="BR40" s="238">
        <v>11</v>
      </c>
      <c r="BS40" t="s">
        <v>38</v>
      </c>
      <c r="BT40" s="2">
        <v>4</v>
      </c>
      <c r="BU40" s="2">
        <v>8</v>
      </c>
      <c r="BW40" s="2" t="s">
        <v>272</v>
      </c>
      <c r="BX40" s="2">
        <f t="shared" si="6"/>
        <v>39</v>
      </c>
      <c r="BY40" s="4">
        <v>0.75</v>
      </c>
      <c r="BZ40" s="45">
        <v>52</v>
      </c>
    </row>
    <row r="41" spans="1:80" x14ac:dyDescent="0.2">
      <c r="B41" t="s">
        <v>47</v>
      </c>
      <c r="C41" s="2">
        <v>3</v>
      </c>
      <c r="D41" s="2">
        <v>8</v>
      </c>
      <c r="F41" s="2" t="s">
        <v>18</v>
      </c>
      <c r="G41" s="2">
        <v>32</v>
      </c>
      <c r="H41" s="4">
        <v>0.8</v>
      </c>
      <c r="M41" t="s">
        <v>47</v>
      </c>
      <c r="N41" s="2">
        <v>3</v>
      </c>
      <c r="O41" s="2">
        <v>8</v>
      </c>
      <c r="Q41" s="2" t="s">
        <v>18</v>
      </c>
      <c r="R41" s="2">
        <v>32</v>
      </c>
      <c r="S41" s="4">
        <v>0.8</v>
      </c>
      <c r="X41" t="s">
        <v>41</v>
      </c>
      <c r="Y41" s="2">
        <v>4</v>
      </c>
      <c r="Z41" s="2">
        <v>8</v>
      </c>
      <c r="AB41" s="2" t="s">
        <v>26</v>
      </c>
      <c r="AC41" s="2">
        <v>14</v>
      </c>
      <c r="AD41" s="4">
        <v>0.9</v>
      </c>
      <c r="AE41" s="45">
        <v>14</v>
      </c>
      <c r="AI41">
        <v>14</v>
      </c>
      <c r="AJ41" t="s">
        <v>39</v>
      </c>
      <c r="AK41" s="2">
        <v>4</v>
      </c>
      <c r="AL41" s="2">
        <v>8</v>
      </c>
      <c r="AN41" s="2" t="s">
        <v>18</v>
      </c>
      <c r="AO41" s="2">
        <f t="shared" ref="AO41:AO48" si="7">AQ41*AP41</f>
        <v>18.02</v>
      </c>
      <c r="AP41" s="4">
        <v>0.85</v>
      </c>
      <c r="AQ41" s="45">
        <v>21.2</v>
      </c>
      <c r="BA41">
        <v>14</v>
      </c>
      <c r="BB41" t="s">
        <v>39</v>
      </c>
      <c r="BC41" s="2">
        <v>4</v>
      </c>
      <c r="BD41" s="2">
        <v>8</v>
      </c>
      <c r="BF41" s="2" t="s">
        <v>272</v>
      </c>
      <c r="BG41" s="2">
        <f t="shared" si="5"/>
        <v>18</v>
      </c>
      <c r="BH41" s="4">
        <v>0.75</v>
      </c>
      <c r="BI41" s="45">
        <v>24</v>
      </c>
      <c r="BR41">
        <v>14</v>
      </c>
      <c r="BS41" t="s">
        <v>39</v>
      </c>
      <c r="BT41" s="2">
        <v>4</v>
      </c>
      <c r="BU41" s="2">
        <v>8</v>
      </c>
      <c r="BW41" s="2" t="s">
        <v>272</v>
      </c>
      <c r="BX41" s="2">
        <f t="shared" si="6"/>
        <v>18</v>
      </c>
      <c r="BY41" s="4">
        <v>0.75</v>
      </c>
      <c r="BZ41" s="45">
        <v>24</v>
      </c>
    </row>
    <row r="42" spans="1:80" x14ac:dyDescent="0.2">
      <c r="B42" t="s">
        <v>48</v>
      </c>
      <c r="C42" s="2">
        <v>3</v>
      </c>
      <c r="D42" s="2">
        <v>8</v>
      </c>
      <c r="F42" s="2" t="s">
        <v>26</v>
      </c>
      <c r="G42" s="2">
        <v>2</v>
      </c>
      <c r="H42" s="4"/>
      <c r="M42" t="s">
        <v>48</v>
      </c>
      <c r="N42" s="2">
        <v>3</v>
      </c>
      <c r="O42" s="2">
        <v>8</v>
      </c>
      <c r="Q42" s="2" t="s">
        <v>26</v>
      </c>
      <c r="R42" s="2">
        <v>2</v>
      </c>
      <c r="S42" s="4"/>
      <c r="X42" t="s">
        <v>47</v>
      </c>
      <c r="Y42" s="2">
        <v>3</v>
      </c>
      <c r="Z42" s="2">
        <v>8</v>
      </c>
      <c r="AB42" s="2" t="s">
        <v>18</v>
      </c>
      <c r="AC42" s="2">
        <v>32</v>
      </c>
      <c r="AD42" s="4">
        <v>0.8</v>
      </c>
      <c r="AE42" s="45">
        <v>26.3</v>
      </c>
      <c r="AI42" s="238">
        <v>14</v>
      </c>
      <c r="AJ42" t="s">
        <v>395</v>
      </c>
      <c r="AK42" s="2">
        <v>4</v>
      </c>
      <c r="AL42" s="2">
        <v>8</v>
      </c>
      <c r="AN42" s="2" t="s">
        <v>18</v>
      </c>
      <c r="AO42" s="2">
        <f t="shared" si="7"/>
        <v>9.01</v>
      </c>
      <c r="AP42" s="4">
        <v>0.85</v>
      </c>
      <c r="AQ42" s="45">
        <v>10.6</v>
      </c>
      <c r="AR42" s="12"/>
      <c r="BA42" s="238">
        <v>14</v>
      </c>
      <c r="BB42" t="s">
        <v>395</v>
      </c>
      <c r="BC42" s="2">
        <v>4</v>
      </c>
      <c r="BD42" s="2">
        <v>8</v>
      </c>
      <c r="BF42" s="2" t="s">
        <v>272</v>
      </c>
      <c r="BG42" s="2">
        <f t="shared" si="5"/>
        <v>9</v>
      </c>
      <c r="BH42" s="4">
        <v>0.75</v>
      </c>
      <c r="BI42" s="45">
        <v>12</v>
      </c>
      <c r="BJ42" s="12"/>
      <c r="BR42" s="238">
        <v>14</v>
      </c>
      <c r="BS42" t="s">
        <v>395</v>
      </c>
      <c r="BT42" s="2">
        <v>4</v>
      </c>
      <c r="BU42" s="2">
        <v>8</v>
      </c>
      <c r="BW42" s="2" t="s">
        <v>272</v>
      </c>
      <c r="BX42" s="2">
        <f t="shared" si="6"/>
        <v>9</v>
      </c>
      <c r="BY42" s="4">
        <v>0.75</v>
      </c>
      <c r="BZ42" s="45">
        <v>12</v>
      </c>
      <c r="CA42" s="12"/>
    </row>
    <row r="43" spans="1:80" x14ac:dyDescent="0.2">
      <c r="A43">
        <v>17</v>
      </c>
      <c r="B43" t="s">
        <v>50</v>
      </c>
      <c r="C43" s="2">
        <v>4</v>
      </c>
      <c r="D43" s="2">
        <v>8</v>
      </c>
      <c r="F43" s="2" t="s">
        <v>26</v>
      </c>
      <c r="G43" s="2">
        <v>7</v>
      </c>
      <c r="H43" s="4">
        <v>0.85</v>
      </c>
      <c r="L43">
        <v>17</v>
      </c>
      <c r="M43" t="s">
        <v>50</v>
      </c>
      <c r="N43" s="2">
        <v>4</v>
      </c>
      <c r="O43" s="2">
        <v>8</v>
      </c>
      <c r="Q43" s="2" t="s">
        <v>26</v>
      </c>
      <c r="R43" s="2">
        <v>7</v>
      </c>
      <c r="S43" s="4">
        <v>0.85</v>
      </c>
      <c r="X43" t="s">
        <v>48</v>
      </c>
      <c r="Y43" s="2">
        <v>3</v>
      </c>
      <c r="Z43" s="2">
        <v>8</v>
      </c>
      <c r="AB43" s="2" t="s">
        <v>26</v>
      </c>
      <c r="AC43" s="2">
        <v>2</v>
      </c>
      <c r="AD43" s="4"/>
      <c r="AE43" s="45"/>
      <c r="AI43">
        <v>15</v>
      </c>
      <c r="AJ43" t="s">
        <v>40</v>
      </c>
      <c r="AK43" s="2">
        <v>4</v>
      </c>
      <c r="AL43" s="2">
        <v>6</v>
      </c>
      <c r="AN43" s="2" t="s">
        <v>18</v>
      </c>
      <c r="AO43" s="2">
        <f t="shared" si="7"/>
        <v>25.074999999999999</v>
      </c>
      <c r="AP43" s="4">
        <v>0.85</v>
      </c>
      <c r="AQ43" s="45">
        <v>29.5</v>
      </c>
      <c r="BA43">
        <v>15</v>
      </c>
      <c r="BB43" t="s">
        <v>40</v>
      </c>
      <c r="BC43" s="2">
        <v>4</v>
      </c>
      <c r="BD43" s="2">
        <v>6</v>
      </c>
      <c r="BF43" s="2" t="s">
        <v>272</v>
      </c>
      <c r="BG43" s="2">
        <f t="shared" si="5"/>
        <v>27.299999999999997</v>
      </c>
      <c r="BH43" s="4">
        <v>0.75</v>
      </c>
      <c r="BI43" s="45">
        <v>36.4</v>
      </c>
      <c r="BR43">
        <v>15</v>
      </c>
      <c r="BS43" t="s">
        <v>40</v>
      </c>
      <c r="BT43" s="2">
        <v>4</v>
      </c>
      <c r="BU43" s="2">
        <v>6</v>
      </c>
      <c r="BW43" s="2" t="s">
        <v>272</v>
      </c>
      <c r="BX43" s="2">
        <f t="shared" si="6"/>
        <v>27.299999999999997</v>
      </c>
      <c r="BY43" s="4">
        <v>0.75</v>
      </c>
      <c r="BZ43" s="45">
        <v>36.4</v>
      </c>
    </row>
    <row r="44" spans="1:80" x14ac:dyDescent="0.2">
      <c r="H44" s="4"/>
      <c r="L44">
        <v>18</v>
      </c>
      <c r="M44" t="s">
        <v>72</v>
      </c>
      <c r="N44" s="2">
        <v>4</v>
      </c>
      <c r="O44" s="2">
        <v>8</v>
      </c>
      <c r="Q44" s="2" t="s">
        <v>18</v>
      </c>
      <c r="R44" s="2">
        <v>26.3</v>
      </c>
      <c r="S44" s="4">
        <v>0.8</v>
      </c>
      <c r="W44">
        <v>17</v>
      </c>
      <c r="X44" t="s">
        <v>50</v>
      </c>
      <c r="Y44" s="2">
        <v>4</v>
      </c>
      <c r="Z44" s="2">
        <v>8</v>
      </c>
      <c r="AB44" s="2" t="s">
        <v>26</v>
      </c>
      <c r="AC44" s="2">
        <v>7</v>
      </c>
      <c r="AD44" s="4">
        <v>0.85</v>
      </c>
      <c r="AE44" s="45"/>
      <c r="AJ44" t="s">
        <v>41</v>
      </c>
      <c r="AK44" s="2">
        <v>4</v>
      </c>
      <c r="AL44" s="2">
        <v>8</v>
      </c>
      <c r="AN44" s="2" t="s">
        <v>26</v>
      </c>
      <c r="AO44" s="2">
        <f t="shared" si="7"/>
        <v>11.9</v>
      </c>
      <c r="AP44" s="4">
        <v>0.85</v>
      </c>
      <c r="AQ44" s="45">
        <v>14</v>
      </c>
      <c r="BB44" t="s">
        <v>41</v>
      </c>
      <c r="BC44" s="2">
        <v>4</v>
      </c>
      <c r="BD44" s="2">
        <v>8</v>
      </c>
      <c r="BF44" s="2" t="s">
        <v>272</v>
      </c>
      <c r="BG44" s="2">
        <f t="shared" si="5"/>
        <v>10.5</v>
      </c>
      <c r="BH44" s="4">
        <v>0.75</v>
      </c>
      <c r="BI44" s="45">
        <v>14</v>
      </c>
      <c r="BS44" t="s">
        <v>41</v>
      </c>
      <c r="BT44" s="2">
        <v>4</v>
      </c>
      <c r="BU44" s="2">
        <v>8</v>
      </c>
      <c r="BW44" s="2" t="s">
        <v>272</v>
      </c>
      <c r="BX44" s="2">
        <f t="shared" si="6"/>
        <v>10.5</v>
      </c>
      <c r="BY44" s="4">
        <v>0.75</v>
      </c>
      <c r="BZ44" s="45">
        <v>14</v>
      </c>
    </row>
    <row r="45" spans="1:80" x14ac:dyDescent="0.2">
      <c r="H45" s="4"/>
      <c r="S45" s="4"/>
      <c r="W45">
        <v>18</v>
      </c>
      <c r="X45" t="s">
        <v>213</v>
      </c>
      <c r="Y45" s="2">
        <v>4</v>
      </c>
      <c r="Z45" s="2">
        <v>8</v>
      </c>
      <c r="AB45" s="2" t="s">
        <v>18</v>
      </c>
      <c r="AC45" s="2">
        <v>26.3</v>
      </c>
      <c r="AD45" s="4">
        <v>0.8</v>
      </c>
      <c r="AE45" s="45">
        <v>32</v>
      </c>
      <c r="AJ45" t="s">
        <v>47</v>
      </c>
      <c r="AK45" s="2">
        <v>3</v>
      </c>
      <c r="AL45" s="2">
        <v>8</v>
      </c>
      <c r="AN45" s="2" t="s">
        <v>18</v>
      </c>
      <c r="AO45" s="2">
        <f t="shared" si="7"/>
        <v>27.2</v>
      </c>
      <c r="AP45" s="4">
        <v>0.85</v>
      </c>
      <c r="AQ45" s="45">
        <v>32</v>
      </c>
      <c r="BA45" s="294"/>
      <c r="BB45" t="s">
        <v>458</v>
      </c>
      <c r="BC45" s="2">
        <v>3</v>
      </c>
      <c r="BD45" s="2">
        <v>8</v>
      </c>
      <c r="BF45" s="2" t="s">
        <v>272</v>
      </c>
      <c r="BG45" s="2">
        <f t="shared" si="5"/>
        <v>28.950000000000003</v>
      </c>
      <c r="BH45" s="4">
        <v>0.75</v>
      </c>
      <c r="BI45" s="45">
        <v>38.6</v>
      </c>
      <c r="BR45" s="294"/>
      <c r="BS45" t="s">
        <v>458</v>
      </c>
      <c r="BT45" s="2">
        <v>3</v>
      </c>
      <c r="BU45" s="2">
        <v>8</v>
      </c>
      <c r="BW45" s="2" t="s">
        <v>272</v>
      </c>
      <c r="BX45" s="2">
        <f t="shared" si="6"/>
        <v>28.950000000000003</v>
      </c>
      <c r="BY45" s="4">
        <v>0.75</v>
      </c>
      <c r="BZ45" s="45">
        <v>38.6</v>
      </c>
    </row>
    <row r="46" spans="1:80" x14ac:dyDescent="0.2">
      <c r="B46" s="1" t="s">
        <v>53</v>
      </c>
      <c r="C46" s="6" t="s">
        <v>14</v>
      </c>
      <c r="D46" s="7" t="s">
        <v>15</v>
      </c>
      <c r="E46" s="7" t="s">
        <v>29</v>
      </c>
      <c r="F46" s="7" t="s">
        <v>16</v>
      </c>
      <c r="G46" s="8" t="s">
        <v>17</v>
      </c>
      <c r="H46" s="15" t="s">
        <v>21</v>
      </c>
      <c r="I46" s="2" t="s">
        <v>22</v>
      </c>
      <c r="M46" s="1" t="s">
        <v>53</v>
      </c>
      <c r="N46" s="6" t="s">
        <v>14</v>
      </c>
      <c r="O46" s="7" t="s">
        <v>15</v>
      </c>
      <c r="P46" s="7" t="s">
        <v>29</v>
      </c>
      <c r="Q46" s="7" t="s">
        <v>16</v>
      </c>
      <c r="R46" s="8" t="s">
        <v>17</v>
      </c>
      <c r="S46" s="15" t="s">
        <v>21</v>
      </c>
      <c r="T46" s="2" t="s">
        <v>22</v>
      </c>
      <c r="AD46" s="4"/>
      <c r="AJ46" t="s">
        <v>48</v>
      </c>
      <c r="AK46" s="2">
        <v>3</v>
      </c>
      <c r="AL46" s="2">
        <v>8</v>
      </c>
      <c r="AN46" s="2" t="s">
        <v>26</v>
      </c>
      <c r="AO46" s="2">
        <f t="shared" si="7"/>
        <v>1.7</v>
      </c>
      <c r="AP46" s="4">
        <v>0.85</v>
      </c>
      <c r="AQ46" s="45">
        <v>2</v>
      </c>
      <c r="BB46" t="s">
        <v>48</v>
      </c>
      <c r="BC46" s="2">
        <v>3</v>
      </c>
      <c r="BD46" s="2">
        <v>8</v>
      </c>
      <c r="BF46" s="2" t="s">
        <v>272</v>
      </c>
      <c r="BG46" s="2">
        <f t="shared" si="5"/>
        <v>1.5</v>
      </c>
      <c r="BH46" s="4">
        <v>0.75</v>
      </c>
      <c r="BI46" s="45">
        <v>2</v>
      </c>
      <c r="BS46" t="s">
        <v>48</v>
      </c>
      <c r="BT46" s="2">
        <v>3</v>
      </c>
      <c r="BU46" s="2">
        <v>8</v>
      </c>
      <c r="BW46" s="2" t="s">
        <v>272</v>
      </c>
      <c r="BX46" s="2">
        <f t="shared" si="6"/>
        <v>1.5</v>
      </c>
      <c r="BY46" s="4">
        <v>0.75</v>
      </c>
      <c r="BZ46" s="45">
        <v>2</v>
      </c>
    </row>
    <row r="47" spans="1:80" x14ac:dyDescent="0.2">
      <c r="B47" t="s">
        <v>54</v>
      </c>
      <c r="C47" s="2">
        <v>3</v>
      </c>
      <c r="D47" s="2">
        <v>12</v>
      </c>
      <c r="F47" s="2" t="s">
        <v>26</v>
      </c>
      <c r="G47" s="2">
        <v>4</v>
      </c>
      <c r="H47" s="5">
        <v>0.9</v>
      </c>
      <c r="I47">
        <v>29.5</v>
      </c>
      <c r="J47">
        <f>I47*0.85</f>
        <v>25.074999999999999</v>
      </c>
      <c r="M47" t="s">
        <v>54</v>
      </c>
      <c r="N47" s="2">
        <v>3</v>
      </c>
      <c r="O47" s="2">
        <v>12</v>
      </c>
      <c r="Q47" s="2" t="s">
        <v>26</v>
      </c>
      <c r="R47" s="2">
        <v>4</v>
      </c>
      <c r="S47" s="5">
        <v>0.9</v>
      </c>
      <c r="T47">
        <v>29.5</v>
      </c>
      <c r="U47">
        <f>T47*0.85</f>
        <v>25.074999999999999</v>
      </c>
      <c r="X47" s="1" t="s">
        <v>53</v>
      </c>
      <c r="Y47" s="6" t="s">
        <v>14</v>
      </c>
      <c r="Z47" s="7" t="s">
        <v>15</v>
      </c>
      <c r="AA47" s="7" t="s">
        <v>29</v>
      </c>
      <c r="AB47" s="7" t="s">
        <v>16</v>
      </c>
      <c r="AC47" s="8" t="s">
        <v>17</v>
      </c>
      <c r="AD47" s="105" t="s">
        <v>21</v>
      </c>
      <c r="AE47" s="15" t="s">
        <v>22</v>
      </c>
      <c r="AI47" s="238">
        <v>12</v>
      </c>
      <c r="AJ47" t="s">
        <v>50</v>
      </c>
      <c r="AK47" s="2">
        <v>4</v>
      </c>
      <c r="AL47" s="2">
        <v>8</v>
      </c>
      <c r="AN47" s="2" t="s">
        <v>26</v>
      </c>
      <c r="AO47" s="2">
        <f t="shared" si="7"/>
        <v>8.0749999999999993</v>
      </c>
      <c r="AP47" s="4">
        <v>0.85</v>
      </c>
      <c r="AQ47" s="45">
        <v>9.5</v>
      </c>
      <c r="BA47" s="238">
        <v>12</v>
      </c>
      <c r="BB47" t="s">
        <v>50</v>
      </c>
      <c r="BC47" s="2">
        <v>4</v>
      </c>
      <c r="BD47" s="2">
        <v>8</v>
      </c>
      <c r="BF47" s="2" t="s">
        <v>272</v>
      </c>
      <c r="BG47" s="2">
        <f t="shared" si="5"/>
        <v>6</v>
      </c>
      <c r="BH47" s="4">
        <v>0.75</v>
      </c>
      <c r="BI47" s="45">
        <v>8</v>
      </c>
      <c r="BR47" s="238">
        <v>12</v>
      </c>
      <c r="BS47" t="s">
        <v>50</v>
      </c>
      <c r="BT47" s="2">
        <v>4</v>
      </c>
      <c r="BU47" s="2">
        <v>8</v>
      </c>
      <c r="BW47" s="2" t="s">
        <v>272</v>
      </c>
      <c r="BX47" s="2">
        <f t="shared" si="6"/>
        <v>6</v>
      </c>
      <c r="BY47" s="4">
        <v>0.75</v>
      </c>
      <c r="BZ47" s="45">
        <v>8</v>
      </c>
    </row>
    <row r="48" spans="1:80" x14ac:dyDescent="0.2">
      <c r="B48" t="s">
        <v>55</v>
      </c>
      <c r="C48" s="2">
        <v>3</v>
      </c>
      <c r="D48" s="2">
        <v>12</v>
      </c>
      <c r="F48" s="2" t="s">
        <v>26</v>
      </c>
      <c r="G48" s="2">
        <v>6</v>
      </c>
      <c r="H48" s="5">
        <v>0.8</v>
      </c>
      <c r="M48" t="s">
        <v>55</v>
      </c>
      <c r="N48" s="2">
        <v>3</v>
      </c>
      <c r="O48" s="2">
        <v>12</v>
      </c>
      <c r="Q48" s="2" t="s">
        <v>26</v>
      </c>
      <c r="R48" s="2">
        <v>6</v>
      </c>
      <c r="S48" s="5">
        <v>0.8</v>
      </c>
      <c r="X48" t="s">
        <v>54</v>
      </c>
      <c r="Y48" s="2">
        <v>3</v>
      </c>
      <c r="Z48" s="2">
        <v>12</v>
      </c>
      <c r="AB48" s="2" t="s">
        <v>26</v>
      </c>
      <c r="AC48" s="2">
        <v>4</v>
      </c>
      <c r="AD48" s="5">
        <v>0.9</v>
      </c>
      <c r="AE48" s="42">
        <v>29.5</v>
      </c>
      <c r="AF48">
        <f>AE48*0.85</f>
        <v>25.074999999999999</v>
      </c>
      <c r="AI48" s="238">
        <v>12</v>
      </c>
      <c r="AJ48" t="s">
        <v>385</v>
      </c>
      <c r="AK48" s="2">
        <v>4</v>
      </c>
      <c r="AL48" s="2">
        <v>8</v>
      </c>
      <c r="AN48" s="2" t="s">
        <v>18</v>
      </c>
      <c r="AO48" s="2">
        <f t="shared" si="7"/>
        <v>12.41</v>
      </c>
      <c r="AP48" s="4">
        <v>0.85</v>
      </c>
      <c r="AQ48" s="45">
        <v>14.6</v>
      </c>
      <c r="BA48" s="238">
        <v>12</v>
      </c>
      <c r="BB48" t="s">
        <v>385</v>
      </c>
      <c r="BC48" s="2">
        <v>4</v>
      </c>
      <c r="BD48" s="2">
        <v>8</v>
      </c>
      <c r="BF48" s="2" t="s">
        <v>272</v>
      </c>
      <c r="BG48" s="2">
        <f t="shared" si="5"/>
        <v>10.95</v>
      </c>
      <c r="BH48" s="4">
        <v>0.75</v>
      </c>
      <c r="BI48" s="45">
        <v>14.6</v>
      </c>
      <c r="BR48" s="238">
        <v>12</v>
      </c>
      <c r="BS48" t="s">
        <v>385</v>
      </c>
      <c r="BT48" s="2">
        <v>4</v>
      </c>
      <c r="BU48" s="2">
        <v>8</v>
      </c>
      <c r="BW48" s="2" t="s">
        <v>272</v>
      </c>
      <c r="BX48" s="2">
        <f t="shared" si="6"/>
        <v>10.95</v>
      </c>
      <c r="BY48" s="4">
        <v>0.75</v>
      </c>
      <c r="BZ48" s="45">
        <v>14.6</v>
      </c>
    </row>
    <row r="49" spans="2:84" x14ac:dyDescent="0.2">
      <c r="B49" t="s">
        <v>56</v>
      </c>
      <c r="C49" s="2">
        <v>3</v>
      </c>
      <c r="D49" s="2">
        <v>3</v>
      </c>
      <c r="E49" s="2" t="s">
        <v>18</v>
      </c>
      <c r="F49" s="2" t="s">
        <v>18</v>
      </c>
      <c r="G49" s="2">
        <v>2.5</v>
      </c>
      <c r="H49" s="5">
        <v>1</v>
      </c>
      <c r="M49" t="s">
        <v>56</v>
      </c>
      <c r="N49" s="2">
        <v>3</v>
      </c>
      <c r="O49" s="2">
        <v>3</v>
      </c>
      <c r="P49" s="2" t="s">
        <v>18</v>
      </c>
      <c r="Q49" s="2" t="s">
        <v>18</v>
      </c>
      <c r="R49" s="2">
        <v>2.5</v>
      </c>
      <c r="S49" s="5">
        <v>1</v>
      </c>
      <c r="X49" t="s">
        <v>55</v>
      </c>
      <c r="Y49" s="2">
        <v>3</v>
      </c>
      <c r="Z49" s="2">
        <v>12</v>
      </c>
      <c r="AB49" s="2" t="s">
        <v>26</v>
      </c>
      <c r="AC49" s="2">
        <v>6</v>
      </c>
      <c r="AD49" s="5">
        <v>0.8</v>
      </c>
      <c r="AE49" s="45">
        <v>6</v>
      </c>
      <c r="AI49" s="238">
        <v>13</v>
      </c>
      <c r="AJ49" t="s">
        <v>213</v>
      </c>
      <c r="AK49" s="2">
        <v>4</v>
      </c>
      <c r="AL49" s="2">
        <v>8</v>
      </c>
      <c r="AN49" s="2" t="s">
        <v>18</v>
      </c>
      <c r="AO49" s="2">
        <f t="shared" ref="AO49" si="8">AQ49*AP49</f>
        <v>34.51</v>
      </c>
      <c r="AP49" s="4">
        <v>0.85</v>
      </c>
      <c r="AQ49" s="45">
        <v>40.6</v>
      </c>
      <c r="BA49" s="238">
        <v>13</v>
      </c>
      <c r="BB49" t="s">
        <v>213</v>
      </c>
      <c r="BC49" s="2">
        <v>4</v>
      </c>
      <c r="BD49" s="2">
        <v>8</v>
      </c>
      <c r="BF49" s="2" t="s">
        <v>272</v>
      </c>
      <c r="BG49" s="2">
        <f t="shared" si="5"/>
        <v>38.25</v>
      </c>
      <c r="BH49" s="4">
        <v>0.75</v>
      </c>
      <c r="BI49" s="45">
        <v>51</v>
      </c>
      <c r="BR49" s="238">
        <v>13</v>
      </c>
      <c r="BS49" t="s">
        <v>213</v>
      </c>
      <c r="BT49" s="2">
        <v>4</v>
      </c>
      <c r="BU49" s="2">
        <v>8</v>
      </c>
      <c r="BW49" s="2" t="s">
        <v>272</v>
      </c>
      <c r="BX49" s="2">
        <f t="shared" si="6"/>
        <v>38.25</v>
      </c>
      <c r="BY49" s="4">
        <v>0.75</v>
      </c>
      <c r="BZ49" s="45">
        <v>51</v>
      </c>
    </row>
    <row r="50" spans="2:84" x14ac:dyDescent="0.2">
      <c r="B50" t="s">
        <v>57</v>
      </c>
      <c r="C50" s="2">
        <v>3</v>
      </c>
      <c r="D50" s="2">
        <v>3</v>
      </c>
      <c r="E50" s="2" t="s">
        <v>18</v>
      </c>
      <c r="F50" s="2" t="s">
        <v>18</v>
      </c>
      <c r="G50" s="2">
        <v>2.5</v>
      </c>
      <c r="H50" s="5">
        <v>1</v>
      </c>
      <c r="M50" t="s">
        <v>57</v>
      </c>
      <c r="N50" s="2">
        <v>3</v>
      </c>
      <c r="O50" s="2">
        <v>3</v>
      </c>
      <c r="P50" s="2" t="s">
        <v>18</v>
      </c>
      <c r="Q50" s="2" t="s">
        <v>18</v>
      </c>
      <c r="R50" s="2">
        <v>2.5</v>
      </c>
      <c r="S50" s="5">
        <v>1</v>
      </c>
      <c r="X50" t="s">
        <v>56</v>
      </c>
      <c r="Y50" s="2">
        <v>3</v>
      </c>
      <c r="Z50" s="2">
        <v>3</v>
      </c>
      <c r="AA50" s="2" t="s">
        <v>18</v>
      </c>
      <c r="AB50" s="2" t="s">
        <v>18</v>
      </c>
      <c r="AC50" s="2">
        <v>2.5</v>
      </c>
      <c r="AD50" s="5">
        <v>1</v>
      </c>
      <c r="AE50" s="45">
        <v>6</v>
      </c>
      <c r="AP50" s="4"/>
      <c r="BH50" s="4"/>
      <c r="BY50" s="4"/>
    </row>
    <row r="51" spans="2:84" x14ac:dyDescent="0.2">
      <c r="H51" s="5"/>
      <c r="S51" s="5"/>
      <c r="X51" t="s">
        <v>57</v>
      </c>
      <c r="Y51" s="2">
        <v>3</v>
      </c>
      <c r="Z51" s="2">
        <v>3</v>
      </c>
      <c r="AA51" s="2" t="s">
        <v>18</v>
      </c>
      <c r="AB51" s="2" t="s">
        <v>18</v>
      </c>
      <c r="AC51" s="2">
        <v>2.5</v>
      </c>
      <c r="AD51" s="5">
        <v>1</v>
      </c>
      <c r="AE51" s="45">
        <v>4</v>
      </c>
      <c r="AJ51" s="1" t="s">
        <v>53</v>
      </c>
      <c r="AK51" s="6" t="s">
        <v>14</v>
      </c>
      <c r="AL51" s="7" t="s">
        <v>15</v>
      </c>
      <c r="AM51" s="7" t="s">
        <v>29</v>
      </c>
      <c r="AN51" s="7" t="s">
        <v>16</v>
      </c>
      <c r="AO51" s="8" t="s">
        <v>17</v>
      </c>
      <c r="AP51" s="105" t="s">
        <v>21</v>
      </c>
      <c r="AQ51" s="15" t="s">
        <v>22</v>
      </c>
      <c r="BB51" s="1" t="s">
        <v>53</v>
      </c>
      <c r="BC51" s="6" t="s">
        <v>14</v>
      </c>
      <c r="BD51" s="7" t="s">
        <v>15</v>
      </c>
      <c r="BE51" s="7" t="s">
        <v>29</v>
      </c>
      <c r="BF51" s="7" t="s">
        <v>16</v>
      </c>
      <c r="BG51" s="8" t="s">
        <v>17</v>
      </c>
      <c r="BH51" s="105" t="s">
        <v>21</v>
      </c>
      <c r="BI51" s="15" t="s">
        <v>22</v>
      </c>
      <c r="BS51" s="1" t="s">
        <v>53</v>
      </c>
      <c r="BT51" s="6" t="s">
        <v>14</v>
      </c>
      <c r="BU51" s="7" t="s">
        <v>15</v>
      </c>
      <c r="BV51" s="7" t="s">
        <v>29</v>
      </c>
      <c r="BW51" s="7" t="s">
        <v>16</v>
      </c>
      <c r="BX51" s="8" t="s">
        <v>17</v>
      </c>
      <c r="BY51" s="105" t="s">
        <v>21</v>
      </c>
      <c r="BZ51" s="15" t="s">
        <v>22</v>
      </c>
    </row>
    <row r="52" spans="2:84" x14ac:dyDescent="0.2">
      <c r="AD52" s="5"/>
      <c r="AJ52" t="s">
        <v>54</v>
      </c>
      <c r="AK52" s="2">
        <v>3</v>
      </c>
      <c r="AL52" s="2">
        <v>12</v>
      </c>
      <c r="AN52" s="2" t="s">
        <v>26</v>
      </c>
      <c r="AO52" s="2">
        <f t="shared" ref="AO52:AO55" si="9">AQ52*AP52</f>
        <v>8.0749999999999993</v>
      </c>
      <c r="AP52" s="5">
        <v>0.85</v>
      </c>
      <c r="AQ52" s="42">
        <v>9.5</v>
      </c>
      <c r="AR52">
        <f>AQ52*0.85</f>
        <v>8.0749999999999993</v>
      </c>
      <c r="BB52" t="s">
        <v>54</v>
      </c>
      <c r="BC52" s="2">
        <v>3</v>
      </c>
      <c r="BD52" s="2">
        <v>12</v>
      </c>
      <c r="BF52" s="2" t="s">
        <v>272</v>
      </c>
      <c r="BG52" s="2">
        <f t="shared" ref="BG52:BG55" si="10">BI52*BH52</f>
        <v>8.0249999999999986</v>
      </c>
      <c r="BH52" s="5">
        <v>0.75</v>
      </c>
      <c r="BI52" s="42">
        <v>10.7</v>
      </c>
      <c r="BJ52">
        <f>BI52*0.85</f>
        <v>9.0949999999999989</v>
      </c>
      <c r="BS52" t="s">
        <v>54</v>
      </c>
      <c r="BT52" s="2">
        <v>3</v>
      </c>
      <c r="BU52" s="2">
        <v>12</v>
      </c>
      <c r="BW52" s="2" t="s">
        <v>272</v>
      </c>
      <c r="BX52" s="2">
        <f t="shared" ref="BX52:BX55" si="11">BZ52*BY52</f>
        <v>8.0249999999999986</v>
      </c>
      <c r="BY52" s="5">
        <v>0.75</v>
      </c>
      <c r="BZ52" s="42">
        <v>10.7</v>
      </c>
      <c r="CA52">
        <f>BZ52*0.85</f>
        <v>9.0949999999999989</v>
      </c>
    </row>
    <row r="53" spans="2:84" x14ac:dyDescent="0.2">
      <c r="AJ53" t="s">
        <v>55</v>
      </c>
      <c r="AK53" s="2">
        <v>3</v>
      </c>
      <c r="AL53" s="2">
        <v>12</v>
      </c>
      <c r="AN53" s="2" t="s">
        <v>26</v>
      </c>
      <c r="AO53" s="2">
        <f t="shared" si="9"/>
        <v>6.0349999999999993</v>
      </c>
      <c r="AP53" s="5">
        <v>0.85</v>
      </c>
      <c r="AQ53" s="45">
        <v>7.1</v>
      </c>
      <c r="BB53" t="s">
        <v>55</v>
      </c>
      <c r="BC53" s="2">
        <v>3</v>
      </c>
      <c r="BD53" s="2">
        <v>12</v>
      </c>
      <c r="BF53" s="2" t="s">
        <v>272</v>
      </c>
      <c r="BG53" s="2">
        <f t="shared" si="10"/>
        <v>4.0124999999999993</v>
      </c>
      <c r="BH53" s="5">
        <v>0.75</v>
      </c>
      <c r="BI53" s="45">
        <v>5.35</v>
      </c>
      <c r="BS53" t="s">
        <v>55</v>
      </c>
      <c r="BT53" s="2">
        <v>3</v>
      </c>
      <c r="BU53" s="2">
        <v>12</v>
      </c>
      <c r="BW53" s="2" t="s">
        <v>272</v>
      </c>
      <c r="BX53" s="2">
        <f t="shared" si="11"/>
        <v>4.0124999999999993</v>
      </c>
      <c r="BY53" s="5">
        <v>0.75</v>
      </c>
      <c r="BZ53" s="45">
        <v>5.35</v>
      </c>
    </row>
    <row r="54" spans="2:84" x14ac:dyDescent="0.2">
      <c r="AJ54" t="s">
        <v>56</v>
      </c>
      <c r="AK54" s="2">
        <v>3</v>
      </c>
      <c r="AL54" s="2">
        <v>3</v>
      </c>
      <c r="AM54" s="2" t="s">
        <v>18</v>
      </c>
      <c r="AN54" s="2" t="s">
        <v>18</v>
      </c>
      <c r="AO54" s="2">
        <f t="shared" si="9"/>
        <v>6.0349999999999993</v>
      </c>
      <c r="AP54" s="5">
        <v>0.85</v>
      </c>
      <c r="AQ54" s="45">
        <v>7.1</v>
      </c>
      <c r="BB54" t="s">
        <v>56</v>
      </c>
      <c r="BC54" s="2">
        <v>3</v>
      </c>
      <c r="BD54" s="2">
        <v>3</v>
      </c>
      <c r="BE54" s="2" t="s">
        <v>18</v>
      </c>
      <c r="BF54" s="2" t="s">
        <v>272</v>
      </c>
      <c r="BG54" s="2">
        <f t="shared" si="10"/>
        <v>5.3249999999999993</v>
      </c>
      <c r="BH54" s="5">
        <v>0.75</v>
      </c>
      <c r="BI54" s="45">
        <v>7.1</v>
      </c>
      <c r="BS54" t="s">
        <v>56</v>
      </c>
      <c r="BT54" s="2">
        <v>3</v>
      </c>
      <c r="BU54" s="2">
        <v>3</v>
      </c>
      <c r="BV54" s="2" t="s">
        <v>18</v>
      </c>
      <c r="BW54" s="2" t="s">
        <v>272</v>
      </c>
      <c r="BX54" s="2">
        <f t="shared" si="11"/>
        <v>5.3249999999999993</v>
      </c>
      <c r="BY54" s="5">
        <v>0.75</v>
      </c>
      <c r="BZ54" s="45">
        <v>7.1</v>
      </c>
    </row>
    <row r="55" spans="2:84" x14ac:dyDescent="0.2">
      <c r="B55" s="1" t="s">
        <v>8</v>
      </c>
      <c r="C55" s="6" t="s">
        <v>14</v>
      </c>
      <c r="D55" s="7" t="s">
        <v>15</v>
      </c>
      <c r="E55" s="7" t="s">
        <v>29</v>
      </c>
      <c r="F55" s="7" t="s">
        <v>16</v>
      </c>
      <c r="G55" s="8" t="s">
        <v>59</v>
      </c>
      <c r="H55" s="8" t="s">
        <v>17</v>
      </c>
      <c r="I55" s="15" t="s">
        <v>21</v>
      </c>
      <c r="J55" s="2" t="s">
        <v>22</v>
      </c>
      <c r="M55" s="1" t="s">
        <v>8</v>
      </c>
      <c r="N55" s="6" t="s">
        <v>14</v>
      </c>
      <c r="O55" s="7" t="s">
        <v>15</v>
      </c>
      <c r="P55" s="7" t="s">
        <v>29</v>
      </c>
      <c r="Q55" s="7" t="s">
        <v>16</v>
      </c>
      <c r="R55" s="8" t="s">
        <v>59</v>
      </c>
      <c r="S55" s="8" t="s">
        <v>17</v>
      </c>
      <c r="T55" s="15" t="s">
        <v>21</v>
      </c>
      <c r="U55" s="2" t="s">
        <v>22</v>
      </c>
      <c r="AJ55" t="s">
        <v>57</v>
      </c>
      <c r="AK55" s="2">
        <v>3</v>
      </c>
      <c r="AL55" s="2">
        <v>3</v>
      </c>
      <c r="AM55" s="2" t="s">
        <v>18</v>
      </c>
      <c r="AN55" s="2" t="s">
        <v>18</v>
      </c>
      <c r="AO55" s="2">
        <f t="shared" si="9"/>
        <v>4.25</v>
      </c>
      <c r="AP55" s="5">
        <v>0.85</v>
      </c>
      <c r="AQ55" s="45">
        <v>5</v>
      </c>
      <c r="BB55" t="s">
        <v>57</v>
      </c>
      <c r="BC55" s="2">
        <v>3</v>
      </c>
      <c r="BD55" s="2">
        <v>3</v>
      </c>
      <c r="BE55" s="2" t="s">
        <v>18</v>
      </c>
      <c r="BF55" s="2" t="s">
        <v>272</v>
      </c>
      <c r="BG55" s="2">
        <f t="shared" si="10"/>
        <v>3.75</v>
      </c>
      <c r="BH55" s="5">
        <v>0.75</v>
      </c>
      <c r="BI55" s="45">
        <v>5</v>
      </c>
      <c r="BS55" t="s">
        <v>57</v>
      </c>
      <c r="BT55" s="2">
        <v>3</v>
      </c>
      <c r="BU55" s="2">
        <v>3</v>
      </c>
      <c r="BV55" s="2" t="s">
        <v>18</v>
      </c>
      <c r="BW55" s="2" t="s">
        <v>272</v>
      </c>
      <c r="BX55" s="2">
        <f t="shared" si="11"/>
        <v>3.75</v>
      </c>
      <c r="BY55" s="5">
        <v>0.75</v>
      </c>
      <c r="BZ55" s="45">
        <v>5</v>
      </c>
    </row>
    <row r="56" spans="2:84" x14ac:dyDescent="0.2">
      <c r="B56" t="s">
        <v>58</v>
      </c>
      <c r="C56" s="2">
        <v>3</v>
      </c>
      <c r="D56" s="2">
        <v>3</v>
      </c>
      <c r="E56" s="2" t="s">
        <v>31</v>
      </c>
      <c r="F56" s="2" t="s">
        <v>61</v>
      </c>
      <c r="G56" s="2" t="s">
        <v>60</v>
      </c>
      <c r="H56" s="2">
        <v>35</v>
      </c>
      <c r="I56" s="5">
        <v>1</v>
      </c>
      <c r="J56">
        <v>29.5</v>
      </c>
      <c r="K56">
        <f>J56*0.85</f>
        <v>25.074999999999999</v>
      </c>
      <c r="M56" t="s">
        <v>58</v>
      </c>
      <c r="N56" s="2">
        <v>3</v>
      </c>
      <c r="O56" s="2">
        <v>3</v>
      </c>
      <c r="P56" s="2" t="s">
        <v>31</v>
      </c>
      <c r="Q56" s="2" t="s">
        <v>61</v>
      </c>
      <c r="R56" s="2" t="s">
        <v>60</v>
      </c>
      <c r="S56" s="2">
        <v>35</v>
      </c>
      <c r="T56" s="5">
        <v>1</v>
      </c>
      <c r="U56">
        <v>29.5</v>
      </c>
      <c r="X56" s="1" t="s">
        <v>8</v>
      </c>
      <c r="Y56" s="6" t="s">
        <v>14</v>
      </c>
      <c r="Z56" s="7" t="s">
        <v>15</v>
      </c>
      <c r="AA56" s="7" t="s">
        <v>29</v>
      </c>
      <c r="AB56" s="7" t="s">
        <v>16</v>
      </c>
      <c r="AC56" s="8" t="s">
        <v>59</v>
      </c>
      <c r="AD56" s="8" t="s">
        <v>17</v>
      </c>
      <c r="AE56" s="15" t="s">
        <v>21</v>
      </c>
      <c r="AF56" s="2" t="s">
        <v>22</v>
      </c>
      <c r="AP56" s="5"/>
      <c r="BH56" s="5"/>
      <c r="BY56" s="5"/>
    </row>
    <row r="57" spans="2:84" x14ac:dyDescent="0.2">
      <c r="H57" s="5"/>
      <c r="S57" s="5"/>
      <c r="X57" t="s">
        <v>58</v>
      </c>
      <c r="Y57" s="2">
        <v>3</v>
      </c>
      <c r="Z57" s="2">
        <v>3</v>
      </c>
      <c r="AA57" s="2" t="s">
        <v>31</v>
      </c>
      <c r="AB57" s="2" t="s">
        <v>61</v>
      </c>
      <c r="AC57" s="2" t="s">
        <v>60</v>
      </c>
      <c r="AD57" s="2">
        <v>35</v>
      </c>
      <c r="AE57" s="5">
        <v>1</v>
      </c>
      <c r="AF57">
        <v>29.5</v>
      </c>
    </row>
    <row r="58" spans="2:84" x14ac:dyDescent="0.2">
      <c r="H58" s="5"/>
      <c r="S58" s="5"/>
      <c r="AD58" s="5"/>
      <c r="AJ58" s="1" t="s">
        <v>9</v>
      </c>
      <c r="AK58" s="6" t="s">
        <v>14</v>
      </c>
      <c r="AL58" s="7" t="s">
        <v>15</v>
      </c>
      <c r="AM58" s="7" t="s">
        <v>29</v>
      </c>
      <c r="AN58" s="7" t="s">
        <v>16</v>
      </c>
      <c r="AO58" s="8" t="s">
        <v>59</v>
      </c>
      <c r="AP58" s="8" t="s">
        <v>17</v>
      </c>
      <c r="AQ58" s="15" t="s">
        <v>21</v>
      </c>
      <c r="BB58" s="1" t="s">
        <v>9</v>
      </c>
      <c r="BC58" s="6" t="s">
        <v>14</v>
      </c>
      <c r="BD58" s="7" t="s">
        <v>15</v>
      </c>
      <c r="BE58" s="7" t="s">
        <v>29</v>
      </c>
      <c r="BF58" s="7" t="s">
        <v>16</v>
      </c>
      <c r="BG58" s="8" t="s">
        <v>59</v>
      </c>
      <c r="BH58" s="8" t="s">
        <v>17</v>
      </c>
      <c r="BI58" s="15" t="s">
        <v>21</v>
      </c>
      <c r="BS58" s="1" t="s">
        <v>9</v>
      </c>
      <c r="BT58" s="6" t="s">
        <v>14</v>
      </c>
      <c r="BU58" s="7" t="s">
        <v>15</v>
      </c>
      <c r="BV58" s="7" t="s">
        <v>29</v>
      </c>
      <c r="BW58" s="7" t="s">
        <v>16</v>
      </c>
      <c r="BX58" s="8" t="s">
        <v>59</v>
      </c>
      <c r="BY58" s="8" t="s">
        <v>17</v>
      </c>
      <c r="BZ58" s="15" t="s">
        <v>21</v>
      </c>
    </row>
    <row r="59" spans="2:84" x14ac:dyDescent="0.2">
      <c r="B59" s="1" t="s">
        <v>9</v>
      </c>
      <c r="C59" s="6" t="s">
        <v>14</v>
      </c>
      <c r="D59" s="7" t="s">
        <v>15</v>
      </c>
      <c r="E59" s="7" t="s">
        <v>29</v>
      </c>
      <c r="F59" s="7" t="s">
        <v>16</v>
      </c>
      <c r="G59" s="8" t="s">
        <v>59</v>
      </c>
      <c r="H59" s="8" t="s">
        <v>17</v>
      </c>
      <c r="I59" s="15" t="s">
        <v>21</v>
      </c>
      <c r="M59" s="1" t="s">
        <v>9</v>
      </c>
      <c r="N59" s="6" t="s">
        <v>14</v>
      </c>
      <c r="O59" s="7" t="s">
        <v>15</v>
      </c>
      <c r="P59" s="7" t="s">
        <v>29</v>
      </c>
      <c r="Q59" s="7" t="s">
        <v>16</v>
      </c>
      <c r="R59" s="8" t="s">
        <v>59</v>
      </c>
      <c r="S59" s="8" t="s">
        <v>17</v>
      </c>
      <c r="T59" s="15" t="s">
        <v>21</v>
      </c>
      <c r="AD59" s="5"/>
      <c r="AJ59" t="s">
        <v>62</v>
      </c>
      <c r="AK59" s="2">
        <v>12</v>
      </c>
      <c r="AL59" s="2">
        <v>1</v>
      </c>
      <c r="AM59" s="2" t="s">
        <v>26</v>
      </c>
      <c r="AQ59" s="5">
        <v>1</v>
      </c>
      <c r="BB59" t="s">
        <v>62</v>
      </c>
      <c r="BC59" s="2">
        <v>12</v>
      </c>
      <c r="BD59" s="2">
        <v>1</v>
      </c>
      <c r="BE59" s="2" t="s">
        <v>26</v>
      </c>
      <c r="BI59" s="5">
        <v>1</v>
      </c>
      <c r="BS59" t="s">
        <v>62</v>
      </c>
      <c r="BT59" s="2">
        <v>12</v>
      </c>
      <c r="BU59" s="2">
        <v>1</v>
      </c>
      <c r="BV59" s="2" t="s">
        <v>26</v>
      </c>
      <c r="BZ59" s="5">
        <v>1</v>
      </c>
    </row>
    <row r="60" spans="2:84" x14ac:dyDescent="0.2">
      <c r="B60" t="s">
        <v>62</v>
      </c>
      <c r="C60" s="2">
        <v>12</v>
      </c>
      <c r="D60" s="2">
        <v>1</v>
      </c>
      <c r="E60" s="2" t="s">
        <v>26</v>
      </c>
      <c r="I60">
        <v>100</v>
      </c>
      <c r="M60" t="s">
        <v>62</v>
      </c>
      <c r="N60" s="2">
        <v>12</v>
      </c>
      <c r="O60" s="2">
        <v>1</v>
      </c>
      <c r="P60" s="2" t="s">
        <v>26</v>
      </c>
      <c r="T60">
        <v>100</v>
      </c>
      <c r="X60" s="1" t="s">
        <v>9</v>
      </c>
      <c r="Y60" s="6" t="s">
        <v>14</v>
      </c>
      <c r="Z60" s="7" t="s">
        <v>15</v>
      </c>
      <c r="AA60" s="7" t="s">
        <v>29</v>
      </c>
      <c r="AB60" s="7" t="s">
        <v>16</v>
      </c>
      <c r="AC60" s="8" t="s">
        <v>59</v>
      </c>
      <c r="AD60" s="8" t="s">
        <v>17</v>
      </c>
      <c r="AE60" s="15" t="s">
        <v>21</v>
      </c>
    </row>
    <row r="61" spans="2:84" x14ac:dyDescent="0.2">
      <c r="X61" t="s">
        <v>62</v>
      </c>
      <c r="Y61" s="2">
        <v>12</v>
      </c>
      <c r="Z61" s="2">
        <v>1</v>
      </c>
      <c r="AA61" s="2" t="s">
        <v>26</v>
      </c>
      <c r="AE61" s="5">
        <v>1</v>
      </c>
      <c r="AJ61" s="1" t="s">
        <v>214</v>
      </c>
      <c r="AK61" s="6" t="s">
        <v>14</v>
      </c>
      <c r="AL61" s="7" t="s">
        <v>15</v>
      </c>
      <c r="AM61" s="7" t="s">
        <v>29</v>
      </c>
      <c r="AN61" s="7" t="s">
        <v>16</v>
      </c>
      <c r="AO61" s="8" t="s">
        <v>59</v>
      </c>
      <c r="AP61" s="8" t="s">
        <v>17</v>
      </c>
      <c r="AQ61" s="15" t="s">
        <v>21</v>
      </c>
      <c r="AR61" s="104" t="s">
        <v>216</v>
      </c>
      <c r="BB61" s="1" t="s">
        <v>214</v>
      </c>
      <c r="BC61" s="6" t="s">
        <v>14</v>
      </c>
      <c r="BD61" s="7" t="s">
        <v>15</v>
      </c>
      <c r="BE61" s="7" t="s">
        <v>29</v>
      </c>
      <c r="BF61" s="7" t="s">
        <v>16</v>
      </c>
      <c r="BG61" s="8" t="s">
        <v>59</v>
      </c>
      <c r="BH61" s="8" t="s">
        <v>17</v>
      </c>
      <c r="BI61" s="15" t="s">
        <v>21</v>
      </c>
      <c r="BJ61" s="104" t="s">
        <v>216</v>
      </c>
      <c r="BS61" s="1" t="s">
        <v>214</v>
      </c>
      <c r="BT61" s="6" t="s">
        <v>14</v>
      </c>
      <c r="BU61" s="7" t="s">
        <v>15</v>
      </c>
      <c r="BV61" s="7" t="s">
        <v>29</v>
      </c>
      <c r="BW61" s="7" t="s">
        <v>16</v>
      </c>
      <c r="BX61" s="8" t="s">
        <v>59</v>
      </c>
      <c r="BY61" s="8" t="s">
        <v>17</v>
      </c>
      <c r="BZ61" s="15" t="s">
        <v>21</v>
      </c>
      <c r="CA61" s="104" t="s">
        <v>216</v>
      </c>
    </row>
    <row r="62" spans="2:84" x14ac:dyDescent="0.2">
      <c r="AJ62" t="s">
        <v>215</v>
      </c>
      <c r="AK62" s="2">
        <v>3</v>
      </c>
      <c r="AL62" s="2">
        <v>12</v>
      </c>
      <c r="AM62" s="2" t="s">
        <v>26</v>
      </c>
      <c r="AO62" s="2" t="s">
        <v>18</v>
      </c>
      <c r="AP62">
        <f>AQ62*AR62</f>
        <v>12.75</v>
      </c>
      <c r="AQ62" s="5">
        <v>0.85</v>
      </c>
      <c r="AR62">
        <v>15</v>
      </c>
      <c r="BB62" t="s">
        <v>215</v>
      </c>
      <c r="BC62" s="2">
        <v>3</v>
      </c>
      <c r="BD62" s="2">
        <v>12</v>
      </c>
      <c r="BE62" s="2" t="s">
        <v>26</v>
      </c>
      <c r="BG62" s="2" t="s">
        <v>18</v>
      </c>
      <c r="BH62">
        <f>BI62*BJ62</f>
        <v>12.75</v>
      </c>
      <c r="BI62" s="5">
        <v>0.85</v>
      </c>
      <c r="BJ62">
        <v>15</v>
      </c>
      <c r="BS62" t="s">
        <v>215</v>
      </c>
      <c r="BT62" s="2">
        <v>3</v>
      </c>
      <c r="BU62" s="2">
        <v>12</v>
      </c>
      <c r="BV62" s="2" t="s">
        <v>26</v>
      </c>
      <c r="BX62" s="2" t="s">
        <v>18</v>
      </c>
      <c r="BY62">
        <f>BZ62*CA62</f>
        <v>12.75</v>
      </c>
      <c r="BZ62" s="5">
        <v>0.85</v>
      </c>
      <c r="CA62">
        <v>15</v>
      </c>
    </row>
    <row r="63" spans="2:84" ht="16" thickBot="1" x14ac:dyDescent="0.25">
      <c r="X63" s="1" t="s">
        <v>214</v>
      </c>
      <c r="Y63" s="6" t="s">
        <v>14</v>
      </c>
      <c r="Z63" s="7" t="s">
        <v>15</v>
      </c>
      <c r="AA63" s="7" t="s">
        <v>29</v>
      </c>
      <c r="AB63" s="7" t="s">
        <v>16</v>
      </c>
      <c r="AC63" s="8" t="s">
        <v>59</v>
      </c>
      <c r="AD63" s="8" t="s">
        <v>17</v>
      </c>
      <c r="AE63" s="15" t="s">
        <v>21</v>
      </c>
      <c r="AF63" s="104" t="s">
        <v>216</v>
      </c>
    </row>
    <row r="64" spans="2:84" ht="16" thickBot="1" x14ac:dyDescent="0.25">
      <c r="B64" s="144" t="s">
        <v>274</v>
      </c>
      <c r="C64" s="145"/>
      <c r="D64" s="145"/>
      <c r="E64" s="145"/>
      <c r="F64" s="145"/>
      <c r="G64" s="145"/>
      <c r="H64" s="146"/>
      <c r="I64" s="146"/>
      <c r="J64" s="147">
        <v>45413</v>
      </c>
      <c r="X64" t="s">
        <v>215</v>
      </c>
      <c r="Y64" s="2">
        <v>3</v>
      </c>
      <c r="Z64" s="2">
        <v>12</v>
      </c>
      <c r="AA64" s="2" t="s">
        <v>26</v>
      </c>
      <c r="AC64" s="2" t="s">
        <v>18</v>
      </c>
      <c r="AD64">
        <f>AE64*AF64</f>
        <v>12.75</v>
      </c>
      <c r="AE64" s="5">
        <v>0.85</v>
      </c>
      <c r="AF64">
        <v>15</v>
      </c>
      <c r="AJ64" s="184" t="s">
        <v>289</v>
      </c>
      <c r="AK64" s="185"/>
      <c r="AL64" s="185"/>
      <c r="AM64" s="185"/>
      <c r="AN64" s="185"/>
      <c r="AO64" s="185"/>
      <c r="AP64" s="185"/>
      <c r="AQ64" s="185"/>
      <c r="AR64" s="185"/>
      <c r="AS64" s="185"/>
      <c r="AT64" s="185"/>
      <c r="AU64" s="185"/>
      <c r="AV64" s="185"/>
      <c r="AW64" s="185"/>
      <c r="AX64" s="185"/>
      <c r="AY64" s="186"/>
      <c r="BB64" s="184" t="s">
        <v>289</v>
      </c>
      <c r="BC64" s="185"/>
      <c r="BD64" s="185"/>
      <c r="BE64" s="185"/>
      <c r="BF64" s="185"/>
      <c r="BG64" s="185"/>
      <c r="BH64" s="185"/>
      <c r="BI64" s="185"/>
      <c r="BJ64" s="185"/>
      <c r="BK64" s="185"/>
      <c r="BL64" s="185"/>
      <c r="BM64" s="185"/>
      <c r="BN64" s="185"/>
      <c r="BO64" s="185"/>
      <c r="BP64" s="185"/>
      <c r="BS64" s="184" t="s">
        <v>289</v>
      </c>
      <c r="BT64" s="185"/>
      <c r="BU64" s="185"/>
      <c r="BV64" s="185"/>
      <c r="BW64" s="185"/>
      <c r="BX64" s="185"/>
      <c r="BY64" s="185"/>
      <c r="BZ64" s="185"/>
      <c r="CA64" s="185"/>
      <c r="CB64" s="185"/>
      <c r="CC64" s="185"/>
      <c r="CD64" s="185"/>
      <c r="CE64" s="185"/>
      <c r="CF64" s="185"/>
    </row>
    <row r="65" spans="1:83" x14ac:dyDescent="0.2">
      <c r="A65">
        <v>1</v>
      </c>
      <c r="B65" t="s">
        <v>275</v>
      </c>
      <c r="J65" s="3" t="s">
        <v>276</v>
      </c>
    </row>
    <row r="66" spans="1:83" x14ac:dyDescent="0.2">
      <c r="A66">
        <v>2</v>
      </c>
      <c r="B66" t="s">
        <v>277</v>
      </c>
      <c r="J66" s="3" t="s">
        <v>278</v>
      </c>
      <c r="AJ66" t="s">
        <v>229</v>
      </c>
      <c r="BB66" t="s">
        <v>229</v>
      </c>
      <c r="BS66" t="s">
        <v>229</v>
      </c>
    </row>
    <row r="67" spans="1:83" x14ac:dyDescent="0.2">
      <c r="A67">
        <v>3</v>
      </c>
      <c r="B67" t="s">
        <v>279</v>
      </c>
      <c r="J67" s="2" t="s">
        <v>280</v>
      </c>
      <c r="AI67">
        <v>1</v>
      </c>
      <c r="AJ67" s="134" t="s">
        <v>8</v>
      </c>
      <c r="AK67" s="126" t="s">
        <v>14</v>
      </c>
      <c r="AL67" s="126" t="s">
        <v>15</v>
      </c>
      <c r="AM67" s="126" t="s">
        <v>29</v>
      </c>
      <c r="AN67" s="126" t="s">
        <v>16</v>
      </c>
      <c r="AO67" s="126" t="s">
        <v>59</v>
      </c>
      <c r="AP67" s="126" t="s">
        <v>17</v>
      </c>
      <c r="AQ67" s="15" t="s">
        <v>21</v>
      </c>
      <c r="AR67" s="131" t="s">
        <v>227</v>
      </c>
      <c r="AS67" s="129" t="s">
        <v>223</v>
      </c>
      <c r="AT67" s="126" t="s">
        <v>224</v>
      </c>
      <c r="AU67" s="127" t="s">
        <v>222</v>
      </c>
      <c r="AV67" t="s">
        <v>228</v>
      </c>
      <c r="BA67">
        <v>1</v>
      </c>
      <c r="BB67" s="134" t="s">
        <v>8</v>
      </c>
      <c r="BC67" s="126" t="s">
        <v>14</v>
      </c>
      <c r="BD67" s="126" t="s">
        <v>15</v>
      </c>
      <c r="BE67" s="126" t="s">
        <v>29</v>
      </c>
      <c r="BF67" s="126" t="s">
        <v>16</v>
      </c>
      <c r="BG67" s="126" t="s">
        <v>59</v>
      </c>
      <c r="BH67" s="126" t="s">
        <v>17</v>
      </c>
      <c r="BI67" s="15" t="s">
        <v>21</v>
      </c>
      <c r="BJ67" s="131" t="s">
        <v>227</v>
      </c>
      <c r="BK67" s="129" t="s">
        <v>223</v>
      </c>
      <c r="BL67" s="126" t="s">
        <v>224</v>
      </c>
      <c r="BM67" s="127" t="s">
        <v>222</v>
      </c>
      <c r="BN67" t="s">
        <v>228</v>
      </c>
      <c r="BR67">
        <v>1</v>
      </c>
      <c r="BS67" s="134" t="s">
        <v>8</v>
      </c>
      <c r="BT67" s="126" t="s">
        <v>14</v>
      </c>
      <c r="BU67" s="126" t="s">
        <v>15</v>
      </c>
      <c r="BV67" s="126" t="s">
        <v>29</v>
      </c>
      <c r="BW67" s="126" t="s">
        <v>16</v>
      </c>
      <c r="BX67" s="126" t="s">
        <v>59</v>
      </c>
      <c r="BY67" s="126" t="s">
        <v>17</v>
      </c>
      <c r="BZ67" s="15" t="s">
        <v>21</v>
      </c>
      <c r="CA67" s="131" t="s">
        <v>227</v>
      </c>
      <c r="CB67" s="129" t="s">
        <v>223</v>
      </c>
      <c r="CC67" s="126" t="s">
        <v>224</v>
      </c>
      <c r="CD67" s="127" t="s">
        <v>222</v>
      </c>
      <c r="CE67" t="s">
        <v>228</v>
      </c>
    </row>
    <row r="68" spans="1:83" x14ac:dyDescent="0.2">
      <c r="A68">
        <v>4</v>
      </c>
      <c r="B68" t="s">
        <v>281</v>
      </c>
      <c r="D68" s="3" t="s">
        <v>286</v>
      </c>
      <c r="H68" t="s">
        <v>288</v>
      </c>
      <c r="J68" s="2" t="s">
        <v>282</v>
      </c>
      <c r="AJ68" t="s">
        <v>226</v>
      </c>
      <c r="AK68" s="15">
        <v>6</v>
      </c>
      <c r="AL68" s="15">
        <v>1</v>
      </c>
      <c r="AM68" s="15" t="s">
        <v>31</v>
      </c>
      <c r="AN68" s="15" t="s">
        <v>18</v>
      </c>
      <c r="AO68" s="15" t="s">
        <v>60</v>
      </c>
      <c r="AP68" s="15">
        <f t="shared" ref="AP68" si="12">AR68*AQ68</f>
        <v>39.424999999999997</v>
      </c>
      <c r="AQ68" s="128">
        <v>0.95</v>
      </c>
      <c r="AR68" s="131">
        <f>AU68-(AS68+AT68)</f>
        <v>41.5</v>
      </c>
      <c r="AS68" s="130">
        <v>7</v>
      </c>
      <c r="AT68" s="42">
        <v>0</v>
      </c>
      <c r="AU68" s="42">
        <v>48.5</v>
      </c>
      <c r="AV68">
        <v>39.700000000000003</v>
      </c>
      <c r="BB68" t="s">
        <v>226</v>
      </c>
      <c r="BC68" s="15">
        <v>6</v>
      </c>
      <c r="BD68" s="15">
        <v>1</v>
      </c>
      <c r="BE68" s="15" t="s">
        <v>31</v>
      </c>
      <c r="BF68" s="15" t="s">
        <v>18</v>
      </c>
      <c r="BG68" s="15" t="s">
        <v>60</v>
      </c>
      <c r="BH68" s="15">
        <f t="shared" ref="BH68" si="13">BJ68*BI68</f>
        <v>39.424999999999997</v>
      </c>
      <c r="BI68" s="128">
        <v>0.95</v>
      </c>
      <c r="BJ68" s="131">
        <f>BM68-(BK68+BL68)</f>
        <v>41.5</v>
      </c>
      <c r="BK68" s="130">
        <v>7</v>
      </c>
      <c r="BL68" s="42">
        <v>0</v>
      </c>
      <c r="BM68" s="42">
        <v>48.5</v>
      </c>
      <c r="BN68">
        <v>39.700000000000003</v>
      </c>
      <c r="BS68" t="s">
        <v>226</v>
      </c>
      <c r="BT68" s="15">
        <v>6</v>
      </c>
      <c r="BU68" s="15">
        <v>1</v>
      </c>
      <c r="BV68" s="15" t="s">
        <v>31</v>
      </c>
      <c r="BW68" s="15" t="s">
        <v>18</v>
      </c>
      <c r="BX68" s="15" t="s">
        <v>60</v>
      </c>
      <c r="BY68" s="15">
        <f t="shared" ref="BY68" si="14">CA68*BZ68</f>
        <v>39.424999999999997</v>
      </c>
      <c r="BZ68" s="128">
        <v>0.95</v>
      </c>
      <c r="CA68" s="131">
        <f>CD68-(CB68+CC68)</f>
        <v>41.5</v>
      </c>
      <c r="CB68" s="130">
        <v>7</v>
      </c>
      <c r="CC68" s="42">
        <v>0</v>
      </c>
      <c r="CD68" s="42">
        <v>48.5</v>
      </c>
      <c r="CE68">
        <v>39.700000000000003</v>
      </c>
    </row>
    <row r="69" spans="1:83" x14ac:dyDescent="0.2">
      <c r="A69">
        <v>5</v>
      </c>
      <c r="B69" t="s">
        <v>283</v>
      </c>
      <c r="D69" s="3" t="s">
        <v>287</v>
      </c>
      <c r="G69" s="142" t="s">
        <v>284</v>
      </c>
      <c r="H69" t="s">
        <v>288</v>
      </c>
      <c r="J69" s="2" t="s">
        <v>285</v>
      </c>
    </row>
    <row r="70" spans="1:83" x14ac:dyDescent="0.2">
      <c r="AP70">
        <v>36.700000000000003</v>
      </c>
      <c r="AR70">
        <v>39.700000000000003</v>
      </c>
      <c r="AS70">
        <v>90</v>
      </c>
      <c r="BH70">
        <v>36.700000000000003</v>
      </c>
      <c r="BJ70">
        <v>39.700000000000003</v>
      </c>
      <c r="BK70">
        <v>90</v>
      </c>
      <c r="BY70">
        <v>36.700000000000003</v>
      </c>
      <c r="CA70">
        <v>39.700000000000003</v>
      </c>
      <c r="CB70">
        <v>90</v>
      </c>
    </row>
    <row r="71" spans="1:83" x14ac:dyDescent="0.2">
      <c r="AR71" s="133">
        <f>(AR70*AS71)/AS70</f>
        <v>44.111111111111114</v>
      </c>
      <c r="AS71">
        <v>100</v>
      </c>
      <c r="BJ71" s="133">
        <f>(BJ70*BK71)/BK70</f>
        <v>44.111111111111114</v>
      </c>
      <c r="BK71">
        <v>100</v>
      </c>
      <c r="CA71" s="133">
        <f>(CA70*CB71)/CB70</f>
        <v>44.111111111111114</v>
      </c>
      <c r="CB71">
        <v>100</v>
      </c>
    </row>
    <row r="72" spans="1:83" x14ac:dyDescent="0.2">
      <c r="AJ72" s="134" t="s">
        <v>183</v>
      </c>
      <c r="AK72" s="126" t="s">
        <v>14</v>
      </c>
      <c r="AL72" s="126" t="s">
        <v>15</v>
      </c>
      <c r="AM72" s="126" t="s">
        <v>29</v>
      </c>
      <c r="AN72" s="126" t="s">
        <v>16</v>
      </c>
      <c r="AO72" s="126" t="s">
        <v>59</v>
      </c>
      <c r="AP72" s="126" t="s">
        <v>17</v>
      </c>
      <c r="AQ72" s="15" t="s">
        <v>21</v>
      </c>
      <c r="AR72" s="131" t="s">
        <v>227</v>
      </c>
      <c r="AS72" s="129" t="s">
        <v>223</v>
      </c>
      <c r="AT72" s="126" t="s">
        <v>224</v>
      </c>
      <c r="AU72" s="127" t="s">
        <v>222</v>
      </c>
      <c r="AV72" s="132" t="s">
        <v>230</v>
      </c>
      <c r="BB72" s="134" t="s">
        <v>183</v>
      </c>
      <c r="BC72" s="126" t="s">
        <v>14</v>
      </c>
      <c r="BD72" s="126" t="s">
        <v>15</v>
      </c>
      <c r="BE72" s="126" t="s">
        <v>29</v>
      </c>
      <c r="BF72" s="126" t="s">
        <v>16</v>
      </c>
      <c r="BG72" s="126" t="s">
        <v>59</v>
      </c>
      <c r="BH72" s="126" t="s">
        <v>17</v>
      </c>
      <c r="BI72" s="15" t="s">
        <v>21</v>
      </c>
      <c r="BJ72" s="131" t="s">
        <v>227</v>
      </c>
      <c r="BK72" s="129" t="s">
        <v>223</v>
      </c>
      <c r="BL72" s="126" t="s">
        <v>224</v>
      </c>
      <c r="BM72" s="127" t="s">
        <v>222</v>
      </c>
      <c r="BN72" s="132" t="s">
        <v>230</v>
      </c>
      <c r="BS72" s="134" t="s">
        <v>183</v>
      </c>
      <c r="BT72" s="126" t="s">
        <v>14</v>
      </c>
      <c r="BU72" s="126" t="s">
        <v>15</v>
      </c>
      <c r="BV72" s="126" t="s">
        <v>29</v>
      </c>
      <c r="BW72" s="126" t="s">
        <v>16</v>
      </c>
      <c r="BX72" s="126" t="s">
        <v>59</v>
      </c>
      <c r="BY72" s="126" t="s">
        <v>17</v>
      </c>
      <c r="BZ72" s="15" t="s">
        <v>21</v>
      </c>
      <c r="CA72" s="131" t="s">
        <v>227</v>
      </c>
      <c r="CB72" s="129" t="s">
        <v>223</v>
      </c>
      <c r="CC72" s="126" t="s">
        <v>224</v>
      </c>
      <c r="CD72" s="127" t="s">
        <v>222</v>
      </c>
      <c r="CE72" s="132" t="s">
        <v>230</v>
      </c>
    </row>
    <row r="73" spans="1:83" x14ac:dyDescent="0.2">
      <c r="AJ73" t="s">
        <v>327</v>
      </c>
      <c r="AK73" s="15">
        <v>6</v>
      </c>
      <c r="AL73" s="15">
        <v>1</v>
      </c>
      <c r="AM73" s="15" t="s">
        <v>225</v>
      </c>
      <c r="AN73" s="15" t="s">
        <v>18</v>
      </c>
      <c r="AO73" s="15" t="s">
        <v>60</v>
      </c>
      <c r="AP73" s="15">
        <f t="shared" ref="AP73" si="15">AR73*AQ73</f>
        <v>24.3</v>
      </c>
      <c r="AQ73" s="128">
        <v>0.9</v>
      </c>
      <c r="AR73" s="131">
        <f>(AS73+AT73)</f>
        <v>27</v>
      </c>
      <c r="AS73" s="130">
        <v>0</v>
      </c>
      <c r="AT73" s="42">
        <v>27</v>
      </c>
      <c r="AU73" s="42">
        <v>48.7</v>
      </c>
      <c r="AV73" s="135" t="s">
        <v>231</v>
      </c>
      <c r="BB73" t="s">
        <v>327</v>
      </c>
      <c r="BC73" s="15">
        <v>6</v>
      </c>
      <c r="BD73" s="15">
        <v>1</v>
      </c>
      <c r="BE73" s="15" t="s">
        <v>225</v>
      </c>
      <c r="BF73" s="15" t="s">
        <v>18</v>
      </c>
      <c r="BG73" s="15" t="s">
        <v>60</v>
      </c>
      <c r="BH73" s="15">
        <f t="shared" ref="BH73" si="16">BJ73*BI73</f>
        <v>24.3</v>
      </c>
      <c r="BI73" s="128">
        <v>0.9</v>
      </c>
      <c r="BJ73" s="131">
        <f>(BK73+BL73)</f>
        <v>27</v>
      </c>
      <c r="BK73" s="130">
        <v>0</v>
      </c>
      <c r="BL73" s="42">
        <v>27</v>
      </c>
      <c r="BM73" s="42">
        <v>48.7</v>
      </c>
      <c r="BN73" s="135" t="s">
        <v>231</v>
      </c>
      <c r="BS73" t="s">
        <v>327</v>
      </c>
      <c r="BT73" s="15">
        <v>6</v>
      </c>
      <c r="BU73" s="15">
        <v>1</v>
      </c>
      <c r="BV73" s="15" t="s">
        <v>225</v>
      </c>
      <c r="BW73" s="15" t="s">
        <v>18</v>
      </c>
      <c r="BX73" s="15" t="s">
        <v>60</v>
      </c>
      <c r="BY73" s="15">
        <f t="shared" ref="BY73" si="17">CA73*BZ73</f>
        <v>24.3</v>
      </c>
      <c r="BZ73" s="128">
        <v>0.9</v>
      </c>
      <c r="CA73" s="131">
        <f>(CB73+CC73)</f>
        <v>27</v>
      </c>
      <c r="CB73" s="130">
        <v>0</v>
      </c>
      <c r="CC73" s="42">
        <v>27</v>
      </c>
      <c r="CD73" s="42">
        <v>48.7</v>
      </c>
      <c r="CE73" s="135" t="s">
        <v>231</v>
      </c>
    </row>
    <row r="75" spans="1:83" x14ac:dyDescent="0.2">
      <c r="AJ75" s="134" t="s">
        <v>328</v>
      </c>
      <c r="AK75" s="126" t="s">
        <v>14</v>
      </c>
      <c r="AL75" s="126" t="s">
        <v>15</v>
      </c>
      <c r="AM75" s="126" t="s">
        <v>29</v>
      </c>
      <c r="AN75" s="126" t="s">
        <v>16</v>
      </c>
      <c r="AO75" s="126" t="s">
        <v>59</v>
      </c>
      <c r="AP75" s="126" t="s">
        <v>17</v>
      </c>
      <c r="AQ75" s="15" t="s">
        <v>21</v>
      </c>
      <c r="AR75" s="131" t="s">
        <v>227</v>
      </c>
      <c r="AS75" s="129" t="s">
        <v>223</v>
      </c>
      <c r="AT75" s="126" t="s">
        <v>224</v>
      </c>
      <c r="AU75" s="127" t="s">
        <v>222</v>
      </c>
      <c r="AV75" s="132" t="s">
        <v>230</v>
      </c>
      <c r="BB75" s="134" t="s">
        <v>328</v>
      </c>
      <c r="BC75" s="126" t="s">
        <v>14</v>
      </c>
      <c r="BD75" s="126" t="s">
        <v>15</v>
      </c>
      <c r="BE75" s="126" t="s">
        <v>29</v>
      </c>
      <c r="BF75" s="126" t="s">
        <v>16</v>
      </c>
      <c r="BG75" s="126" t="s">
        <v>59</v>
      </c>
      <c r="BH75" s="126" t="s">
        <v>17</v>
      </c>
      <c r="BI75" s="15" t="s">
        <v>21</v>
      </c>
      <c r="BJ75" s="131" t="s">
        <v>227</v>
      </c>
      <c r="BK75" s="129" t="s">
        <v>223</v>
      </c>
      <c r="BL75" s="126" t="s">
        <v>224</v>
      </c>
      <c r="BM75" s="127" t="s">
        <v>222</v>
      </c>
      <c r="BN75" s="132" t="s">
        <v>230</v>
      </c>
      <c r="BS75" s="134" t="s">
        <v>328</v>
      </c>
      <c r="BT75" s="126" t="s">
        <v>14</v>
      </c>
      <c r="BU75" s="126" t="s">
        <v>15</v>
      </c>
      <c r="BV75" s="126" t="s">
        <v>29</v>
      </c>
      <c r="BW75" s="126" t="s">
        <v>16</v>
      </c>
      <c r="BX75" s="126" t="s">
        <v>59</v>
      </c>
      <c r="BY75" s="126" t="s">
        <v>17</v>
      </c>
      <c r="BZ75" s="15" t="s">
        <v>21</v>
      </c>
      <c r="CA75" s="131" t="s">
        <v>227</v>
      </c>
      <c r="CB75" s="129" t="s">
        <v>223</v>
      </c>
      <c r="CC75" s="126" t="s">
        <v>224</v>
      </c>
      <c r="CD75" s="127" t="s">
        <v>222</v>
      </c>
      <c r="CE75" s="132" t="s">
        <v>230</v>
      </c>
    </row>
    <row r="76" spans="1:83" x14ac:dyDescent="0.2">
      <c r="AJ76" t="s">
        <v>324</v>
      </c>
      <c r="AK76" s="15">
        <v>6</v>
      </c>
      <c r="AL76" s="15">
        <v>7</v>
      </c>
      <c r="AM76" s="15" t="s">
        <v>225</v>
      </c>
      <c r="AN76" s="15" t="s">
        <v>18</v>
      </c>
      <c r="AO76" s="15" t="s">
        <v>60</v>
      </c>
      <c r="AP76" s="15">
        <f t="shared" ref="AP76" si="18">AR76*AQ76</f>
        <v>-16.099999999999998</v>
      </c>
      <c r="AQ76" s="128">
        <v>0.7</v>
      </c>
      <c r="AR76" s="131">
        <f>(AS76+AT76)</f>
        <v>-23</v>
      </c>
      <c r="AS76" s="130">
        <v>-23</v>
      </c>
      <c r="AT76" s="42">
        <v>0</v>
      </c>
      <c r="AU76" s="42">
        <v>48.7</v>
      </c>
      <c r="AV76" s="135" t="s">
        <v>231</v>
      </c>
      <c r="BB76" t="s">
        <v>324</v>
      </c>
      <c r="BC76" s="15">
        <v>6</v>
      </c>
      <c r="BD76" s="15">
        <v>7</v>
      </c>
      <c r="BE76" s="15" t="s">
        <v>225</v>
      </c>
      <c r="BF76" s="15" t="s">
        <v>18</v>
      </c>
      <c r="BG76" s="15" t="s">
        <v>60</v>
      </c>
      <c r="BH76" s="15">
        <f t="shared" ref="BH76" si="19">BJ76*BI76</f>
        <v>-16.099999999999998</v>
      </c>
      <c r="BI76" s="128">
        <v>0.7</v>
      </c>
      <c r="BJ76" s="131">
        <f>(BK76+BL76)</f>
        <v>-23</v>
      </c>
      <c r="BK76" s="130">
        <v>-23</v>
      </c>
      <c r="BL76" s="42">
        <v>0</v>
      </c>
      <c r="BM76" s="42">
        <v>48.7</v>
      </c>
      <c r="BN76" s="135" t="s">
        <v>231</v>
      </c>
      <c r="BS76" t="s">
        <v>324</v>
      </c>
      <c r="BT76" s="15">
        <v>6</v>
      </c>
      <c r="BU76" s="15">
        <v>7</v>
      </c>
      <c r="BV76" s="15" t="s">
        <v>225</v>
      </c>
      <c r="BW76" s="15" t="s">
        <v>18</v>
      </c>
      <c r="BX76" s="15" t="s">
        <v>60</v>
      </c>
      <c r="BY76" s="15">
        <f t="shared" ref="BY76" si="20">CA76*BZ76</f>
        <v>-16.099999999999998</v>
      </c>
      <c r="BZ76" s="128">
        <v>0.7</v>
      </c>
      <c r="CA76" s="131">
        <f>(CB76+CC76)</f>
        <v>-23</v>
      </c>
      <c r="CB76" s="130">
        <v>-23</v>
      </c>
      <c r="CC76" s="42">
        <v>0</v>
      </c>
      <c r="CD76" s="42">
        <v>48.7</v>
      </c>
      <c r="CE76" s="135" t="s">
        <v>231</v>
      </c>
    </row>
    <row r="78" spans="1:83" x14ac:dyDescent="0.2">
      <c r="AJ78" s="134" t="s">
        <v>183</v>
      </c>
      <c r="AK78" s="126" t="s">
        <v>14</v>
      </c>
      <c r="AL78" s="126" t="s">
        <v>15</v>
      </c>
      <c r="AM78" s="126" t="s">
        <v>29</v>
      </c>
      <c r="AN78" s="126" t="s">
        <v>16</v>
      </c>
      <c r="AO78" s="126" t="s">
        <v>59</v>
      </c>
      <c r="AP78" s="126" t="s">
        <v>17</v>
      </c>
      <c r="AQ78" s="15" t="s">
        <v>21</v>
      </c>
      <c r="AR78" s="131" t="s">
        <v>227</v>
      </c>
      <c r="AS78" s="129" t="s">
        <v>223</v>
      </c>
      <c r="AT78" s="126" t="s">
        <v>224</v>
      </c>
      <c r="AU78" s="127" t="s">
        <v>222</v>
      </c>
      <c r="AV78" s="132" t="s">
        <v>230</v>
      </c>
      <c r="BB78" s="134" t="s">
        <v>183</v>
      </c>
      <c r="BC78" s="126" t="s">
        <v>14</v>
      </c>
      <c r="BD78" s="126" t="s">
        <v>15</v>
      </c>
      <c r="BE78" s="126" t="s">
        <v>29</v>
      </c>
      <c r="BF78" s="126" t="s">
        <v>16</v>
      </c>
      <c r="BG78" s="126" t="s">
        <v>59</v>
      </c>
      <c r="BH78" s="126" t="s">
        <v>17</v>
      </c>
      <c r="BI78" s="15" t="s">
        <v>21</v>
      </c>
      <c r="BJ78" s="131" t="s">
        <v>227</v>
      </c>
      <c r="BK78" s="129" t="s">
        <v>223</v>
      </c>
      <c r="BL78" s="126" t="s">
        <v>224</v>
      </c>
      <c r="BM78" s="127" t="s">
        <v>222</v>
      </c>
      <c r="BN78" s="132" t="s">
        <v>230</v>
      </c>
      <c r="BS78" s="134" t="s">
        <v>183</v>
      </c>
      <c r="BT78" s="126" t="s">
        <v>14</v>
      </c>
      <c r="BU78" s="126" t="s">
        <v>15</v>
      </c>
      <c r="BV78" s="126" t="s">
        <v>29</v>
      </c>
      <c r="BW78" s="126" t="s">
        <v>16</v>
      </c>
      <c r="BX78" s="126" t="s">
        <v>59</v>
      </c>
      <c r="BY78" s="126" t="s">
        <v>17</v>
      </c>
      <c r="BZ78" s="15" t="s">
        <v>21</v>
      </c>
      <c r="CA78" s="131" t="s">
        <v>227</v>
      </c>
      <c r="CB78" s="129" t="s">
        <v>223</v>
      </c>
      <c r="CC78" s="126" t="s">
        <v>224</v>
      </c>
      <c r="CD78" s="127" t="s">
        <v>222</v>
      </c>
      <c r="CE78" s="132" t="s">
        <v>230</v>
      </c>
    </row>
    <row r="79" spans="1:83" x14ac:dyDescent="0.2">
      <c r="AJ79" t="s">
        <v>329</v>
      </c>
      <c r="AK79" s="15">
        <v>6</v>
      </c>
      <c r="AL79" s="15">
        <v>1</v>
      </c>
      <c r="AM79" s="15" t="s">
        <v>225</v>
      </c>
      <c r="AN79" s="15" t="s">
        <v>18</v>
      </c>
      <c r="AO79" s="15" t="s">
        <v>60</v>
      </c>
      <c r="AP79" s="15">
        <f t="shared" ref="AP79" si="21">AR79*AQ79</f>
        <v>39.9</v>
      </c>
      <c r="AQ79" s="128">
        <v>0.95</v>
      </c>
      <c r="AR79" s="131">
        <f>(AS79+AT79)</f>
        <v>42</v>
      </c>
      <c r="AS79" s="130">
        <v>0</v>
      </c>
      <c r="AT79" s="42">
        <v>42</v>
      </c>
      <c r="AU79" s="42">
        <v>48.7</v>
      </c>
      <c r="AV79" s="135" t="s">
        <v>231</v>
      </c>
      <c r="BB79" t="s">
        <v>329</v>
      </c>
      <c r="BC79" s="15">
        <v>6</v>
      </c>
      <c r="BD79" s="15">
        <v>1</v>
      </c>
      <c r="BE79" s="15" t="s">
        <v>225</v>
      </c>
      <c r="BF79" s="15" t="s">
        <v>18</v>
      </c>
      <c r="BG79" s="15" t="s">
        <v>60</v>
      </c>
      <c r="BH79" s="15">
        <f t="shared" ref="BH79" si="22">BJ79*BI79</f>
        <v>39.9</v>
      </c>
      <c r="BI79" s="128">
        <v>0.95</v>
      </c>
      <c r="BJ79" s="131">
        <f>(BK79+BL79)</f>
        <v>42</v>
      </c>
      <c r="BK79" s="130">
        <v>0</v>
      </c>
      <c r="BL79" s="42">
        <v>42</v>
      </c>
      <c r="BM79" s="42">
        <v>48.7</v>
      </c>
      <c r="BN79" s="135" t="s">
        <v>231</v>
      </c>
      <c r="BS79" t="s">
        <v>329</v>
      </c>
      <c r="BT79" s="15">
        <v>6</v>
      </c>
      <c r="BU79" s="15">
        <v>1</v>
      </c>
      <c r="BV79" s="15" t="s">
        <v>225</v>
      </c>
      <c r="BW79" s="15" t="s">
        <v>18</v>
      </c>
      <c r="BX79" s="15" t="s">
        <v>60</v>
      </c>
      <c r="BY79" s="15">
        <f t="shared" ref="BY79" si="23">CA79*BZ79</f>
        <v>39.9</v>
      </c>
      <c r="BZ79" s="128">
        <v>0.95</v>
      </c>
      <c r="CA79" s="131">
        <f>(CB79+CC79)</f>
        <v>42</v>
      </c>
      <c r="CB79" s="130">
        <v>0</v>
      </c>
      <c r="CC79" s="42">
        <v>42</v>
      </c>
      <c r="CD79" s="42">
        <v>48.7</v>
      </c>
      <c r="CE79" s="135" t="s">
        <v>231</v>
      </c>
    </row>
    <row r="82" spans="35:84" x14ac:dyDescent="0.2">
      <c r="AI82">
        <v>2</v>
      </c>
      <c r="AJ82" s="134" t="s">
        <v>8</v>
      </c>
      <c r="AK82" s="126" t="s">
        <v>14</v>
      </c>
      <c r="AL82" s="126" t="s">
        <v>15</v>
      </c>
      <c r="AM82" s="126" t="s">
        <v>29</v>
      </c>
      <c r="AN82" s="126" t="s">
        <v>16</v>
      </c>
      <c r="AO82" s="126" t="s">
        <v>59</v>
      </c>
      <c r="AP82" s="126" t="s">
        <v>17</v>
      </c>
      <c r="AQ82" s="15" t="s">
        <v>21</v>
      </c>
      <c r="AR82" s="131" t="s">
        <v>227</v>
      </c>
      <c r="AS82" s="129" t="s">
        <v>223</v>
      </c>
      <c r="AT82" s="126" t="s">
        <v>224</v>
      </c>
      <c r="AU82" s="127" t="s">
        <v>222</v>
      </c>
      <c r="AV82" s="132" t="s">
        <v>230</v>
      </c>
      <c r="BA82">
        <v>2</v>
      </c>
      <c r="BB82" s="134" t="s">
        <v>8</v>
      </c>
      <c r="BC82" s="126" t="s">
        <v>14</v>
      </c>
      <c r="BD82" s="126" t="s">
        <v>15</v>
      </c>
      <c r="BE82" s="126" t="s">
        <v>29</v>
      </c>
      <c r="BF82" s="126" t="s">
        <v>16</v>
      </c>
      <c r="BG82" s="126" t="s">
        <v>59</v>
      </c>
      <c r="BH82" s="126" t="s">
        <v>17</v>
      </c>
      <c r="BI82" s="15" t="s">
        <v>21</v>
      </c>
      <c r="BJ82" s="131" t="s">
        <v>227</v>
      </c>
      <c r="BK82" s="129" t="s">
        <v>223</v>
      </c>
      <c r="BL82" s="126" t="s">
        <v>224</v>
      </c>
      <c r="BM82" s="127" t="s">
        <v>222</v>
      </c>
      <c r="BN82" s="132" t="s">
        <v>230</v>
      </c>
      <c r="BR82">
        <v>2</v>
      </c>
      <c r="BS82" s="134" t="s">
        <v>8</v>
      </c>
      <c r="BT82" s="126" t="s">
        <v>14</v>
      </c>
      <c r="BU82" s="126" t="s">
        <v>15</v>
      </c>
      <c r="BV82" s="126" t="s">
        <v>29</v>
      </c>
      <c r="BW82" s="126" t="s">
        <v>16</v>
      </c>
      <c r="BX82" s="126" t="s">
        <v>59</v>
      </c>
      <c r="BY82" s="126" t="s">
        <v>17</v>
      </c>
      <c r="BZ82" s="15" t="s">
        <v>21</v>
      </c>
      <c r="CA82" s="131" t="s">
        <v>227</v>
      </c>
      <c r="CB82" s="129" t="s">
        <v>223</v>
      </c>
      <c r="CC82" s="126" t="s">
        <v>224</v>
      </c>
      <c r="CD82" s="127" t="s">
        <v>222</v>
      </c>
      <c r="CE82" s="132" t="s">
        <v>230</v>
      </c>
    </row>
    <row r="83" spans="35:84" x14ac:dyDescent="0.2">
      <c r="AJ83" t="s">
        <v>290</v>
      </c>
      <c r="AK83" s="15">
        <v>5</v>
      </c>
      <c r="AL83" s="15">
        <v>1</v>
      </c>
      <c r="AM83" s="15" t="s">
        <v>225</v>
      </c>
      <c r="AN83" s="15" t="s">
        <v>18</v>
      </c>
      <c r="AO83" s="15" t="s">
        <v>60</v>
      </c>
      <c r="AP83" s="15">
        <f t="shared" ref="AP83" si="24">AR83*AQ83</f>
        <v>6.3</v>
      </c>
      <c r="AQ83" s="128">
        <v>0.9</v>
      </c>
      <c r="AR83" s="131">
        <f>(AS83+AT83)</f>
        <v>7</v>
      </c>
      <c r="AS83" s="130">
        <v>0</v>
      </c>
      <c r="AT83" s="42">
        <v>7</v>
      </c>
      <c r="AU83" s="42">
        <v>48.7</v>
      </c>
      <c r="AV83" s="135" t="s">
        <v>231</v>
      </c>
      <c r="BB83" t="s">
        <v>290</v>
      </c>
      <c r="BC83" s="15">
        <v>5</v>
      </c>
      <c r="BD83" s="15">
        <v>1</v>
      </c>
      <c r="BE83" s="15" t="s">
        <v>225</v>
      </c>
      <c r="BF83" s="15" t="s">
        <v>18</v>
      </c>
      <c r="BG83" s="15" t="s">
        <v>60</v>
      </c>
      <c r="BH83" s="15">
        <f t="shared" ref="BH83" si="25">BJ83*BI83</f>
        <v>6.3</v>
      </c>
      <c r="BI83" s="128">
        <v>0.9</v>
      </c>
      <c r="BJ83" s="131">
        <f>(BK83+BL83)</f>
        <v>7</v>
      </c>
      <c r="BK83" s="130">
        <v>0</v>
      </c>
      <c r="BL83" s="42">
        <v>7</v>
      </c>
      <c r="BM83" s="42">
        <v>48.7</v>
      </c>
      <c r="BN83" s="135" t="s">
        <v>231</v>
      </c>
      <c r="BS83" t="s">
        <v>290</v>
      </c>
      <c r="BT83" s="15">
        <v>5</v>
      </c>
      <c r="BU83" s="15">
        <v>1</v>
      </c>
      <c r="BV83" s="15" t="s">
        <v>225</v>
      </c>
      <c r="BW83" s="15" t="s">
        <v>18</v>
      </c>
      <c r="BX83" s="15" t="s">
        <v>60</v>
      </c>
      <c r="BY83" s="15">
        <f t="shared" ref="BY83" si="26">CA83*BZ83</f>
        <v>6.3</v>
      </c>
      <c r="BZ83" s="128">
        <v>0.9</v>
      </c>
      <c r="CA83" s="131">
        <f>(CB83+CC83)</f>
        <v>7</v>
      </c>
      <c r="CB83" s="130">
        <v>0</v>
      </c>
      <c r="CC83" s="42">
        <v>7</v>
      </c>
      <c r="CD83" s="42">
        <v>48.7</v>
      </c>
      <c r="CE83" s="135" t="s">
        <v>231</v>
      </c>
    </row>
    <row r="85" spans="35:84" ht="14.5" customHeight="1" x14ac:dyDescent="0.2">
      <c r="AI85">
        <v>3</v>
      </c>
      <c r="AJ85" s="134" t="s">
        <v>8</v>
      </c>
      <c r="AK85" s="126" t="s">
        <v>14</v>
      </c>
      <c r="AL85" s="126" t="s">
        <v>15</v>
      </c>
      <c r="AM85" s="126" t="s">
        <v>29</v>
      </c>
      <c r="AN85" s="126" t="s">
        <v>16</v>
      </c>
      <c r="AO85" s="126" t="s">
        <v>59</v>
      </c>
      <c r="AP85" s="126" t="s">
        <v>17</v>
      </c>
      <c r="AQ85" s="15" t="s">
        <v>21</v>
      </c>
      <c r="AR85" s="131" t="s">
        <v>227</v>
      </c>
      <c r="AS85" s="129" t="s">
        <v>223</v>
      </c>
      <c r="AT85" s="126" t="s">
        <v>224</v>
      </c>
      <c r="AU85" s="127" t="s">
        <v>222</v>
      </c>
      <c r="AV85" s="132" t="s">
        <v>230</v>
      </c>
      <c r="BA85">
        <v>3</v>
      </c>
      <c r="BB85" s="134" t="s">
        <v>8</v>
      </c>
      <c r="BC85" s="126" t="s">
        <v>14</v>
      </c>
      <c r="BD85" s="126" t="s">
        <v>15</v>
      </c>
      <c r="BE85" s="126" t="s">
        <v>29</v>
      </c>
      <c r="BF85" s="126" t="s">
        <v>16</v>
      </c>
      <c r="BG85" s="126" t="s">
        <v>59</v>
      </c>
      <c r="BH85" s="126" t="s">
        <v>17</v>
      </c>
      <c r="BI85" s="15" t="s">
        <v>21</v>
      </c>
      <c r="BJ85" s="131" t="s">
        <v>227</v>
      </c>
      <c r="BK85" s="129" t="s">
        <v>223</v>
      </c>
      <c r="BL85" s="126" t="s">
        <v>224</v>
      </c>
      <c r="BM85" s="127" t="s">
        <v>222</v>
      </c>
      <c r="BN85" s="132" t="s">
        <v>230</v>
      </c>
      <c r="BR85">
        <v>3</v>
      </c>
      <c r="BS85" s="134" t="s">
        <v>8</v>
      </c>
      <c r="BT85" s="126" t="s">
        <v>14</v>
      </c>
      <c r="BU85" s="126" t="s">
        <v>15</v>
      </c>
      <c r="BV85" s="126" t="s">
        <v>29</v>
      </c>
      <c r="BW85" s="126" t="s">
        <v>16</v>
      </c>
      <c r="BX85" s="126" t="s">
        <v>59</v>
      </c>
      <c r="BY85" s="126" t="s">
        <v>17</v>
      </c>
      <c r="BZ85" s="15" t="s">
        <v>21</v>
      </c>
      <c r="CA85" s="131" t="s">
        <v>227</v>
      </c>
      <c r="CB85" s="129" t="s">
        <v>223</v>
      </c>
      <c r="CC85" s="126" t="s">
        <v>224</v>
      </c>
      <c r="CD85" s="127" t="s">
        <v>222</v>
      </c>
      <c r="CE85" s="132" t="s">
        <v>230</v>
      </c>
    </row>
    <row r="86" spans="35:84" x14ac:dyDescent="0.2">
      <c r="AJ86" t="s">
        <v>291</v>
      </c>
      <c r="AK86" s="15">
        <v>5</v>
      </c>
      <c r="AL86" s="15">
        <v>1</v>
      </c>
      <c r="AM86" s="15" t="s">
        <v>225</v>
      </c>
      <c r="AN86" s="15" t="s">
        <v>18</v>
      </c>
      <c r="AO86" s="15" t="s">
        <v>60</v>
      </c>
      <c r="AP86" s="15">
        <f t="shared" ref="AP86" si="27">AR86*AQ86</f>
        <v>10.8</v>
      </c>
      <c r="AQ86" s="128">
        <v>0.8</v>
      </c>
      <c r="AR86" s="131">
        <f>(AS86+AT86)</f>
        <v>13.5</v>
      </c>
      <c r="AS86" s="130">
        <v>0</v>
      </c>
      <c r="AT86" s="42">
        <v>13.5</v>
      </c>
      <c r="AU86" s="42">
        <v>48.7</v>
      </c>
      <c r="AV86" s="135" t="s">
        <v>231</v>
      </c>
      <c r="BB86" t="s">
        <v>291</v>
      </c>
      <c r="BC86" s="15">
        <v>5</v>
      </c>
      <c r="BD86" s="15">
        <v>1</v>
      </c>
      <c r="BE86" s="15" t="s">
        <v>225</v>
      </c>
      <c r="BF86" s="15" t="s">
        <v>18</v>
      </c>
      <c r="BG86" s="15" t="s">
        <v>60</v>
      </c>
      <c r="BH86" s="15">
        <f t="shared" ref="BH86" si="28">BJ86*BI86</f>
        <v>10.8</v>
      </c>
      <c r="BI86" s="128">
        <v>0.8</v>
      </c>
      <c r="BJ86" s="131">
        <f>(BK86+BL86)</f>
        <v>13.5</v>
      </c>
      <c r="BK86" s="130">
        <v>0</v>
      </c>
      <c r="BL86" s="42">
        <v>13.5</v>
      </c>
      <c r="BM86" s="42">
        <v>48.7</v>
      </c>
      <c r="BN86" s="135" t="s">
        <v>231</v>
      </c>
      <c r="BS86" t="s">
        <v>291</v>
      </c>
      <c r="BT86" s="15">
        <v>5</v>
      </c>
      <c r="BU86" s="15">
        <v>1</v>
      </c>
      <c r="BV86" s="15" t="s">
        <v>225</v>
      </c>
      <c r="BW86" s="15" t="s">
        <v>18</v>
      </c>
      <c r="BX86" s="15" t="s">
        <v>60</v>
      </c>
      <c r="BY86" s="15">
        <f t="shared" ref="BY86" si="29">CA86*BZ86</f>
        <v>10.8</v>
      </c>
      <c r="BZ86" s="128">
        <v>0.8</v>
      </c>
      <c r="CA86" s="131">
        <f>(CB86+CC86)</f>
        <v>13.5</v>
      </c>
      <c r="CB86" s="130">
        <v>0</v>
      </c>
      <c r="CC86" s="42">
        <v>13.5</v>
      </c>
      <c r="CD86" s="42">
        <v>48.7</v>
      </c>
      <c r="CE86" s="135" t="s">
        <v>231</v>
      </c>
    </row>
    <row r="88" spans="35:84" x14ac:dyDescent="0.2">
      <c r="AI88">
        <v>4</v>
      </c>
      <c r="AJ88" s="134" t="s">
        <v>8</v>
      </c>
      <c r="AK88" s="126" t="s">
        <v>14</v>
      </c>
      <c r="AL88" s="126" t="s">
        <v>15</v>
      </c>
      <c r="AM88" s="126" t="s">
        <v>29</v>
      </c>
      <c r="AN88" s="126" t="s">
        <v>16</v>
      </c>
      <c r="AO88" s="126" t="s">
        <v>59</v>
      </c>
      <c r="AP88" s="126" t="s">
        <v>17</v>
      </c>
      <c r="AQ88" s="15" t="s">
        <v>21</v>
      </c>
      <c r="AR88" s="131" t="s">
        <v>227</v>
      </c>
      <c r="AS88" s="129" t="s">
        <v>223</v>
      </c>
      <c r="AT88" s="126" t="s">
        <v>224</v>
      </c>
      <c r="AU88" s="127" t="s">
        <v>222</v>
      </c>
      <c r="AV88" s="132" t="s">
        <v>230</v>
      </c>
      <c r="BA88">
        <v>4</v>
      </c>
      <c r="BB88" s="134" t="s">
        <v>8</v>
      </c>
      <c r="BC88" s="126" t="s">
        <v>14</v>
      </c>
      <c r="BD88" s="126" t="s">
        <v>15</v>
      </c>
      <c r="BE88" s="126" t="s">
        <v>29</v>
      </c>
      <c r="BF88" s="126" t="s">
        <v>16</v>
      </c>
      <c r="BG88" s="126" t="s">
        <v>59</v>
      </c>
      <c r="BH88" s="126" t="s">
        <v>17</v>
      </c>
      <c r="BI88" s="15" t="s">
        <v>21</v>
      </c>
      <c r="BJ88" s="131" t="s">
        <v>227</v>
      </c>
      <c r="BK88" s="129" t="s">
        <v>223</v>
      </c>
      <c r="BL88" s="126" t="s">
        <v>224</v>
      </c>
      <c r="BM88" s="127" t="s">
        <v>222</v>
      </c>
      <c r="BN88" s="132" t="s">
        <v>230</v>
      </c>
      <c r="BR88">
        <v>4</v>
      </c>
      <c r="BS88" s="134" t="s">
        <v>8</v>
      </c>
      <c r="BT88" s="126" t="s">
        <v>14</v>
      </c>
      <c r="BU88" s="126" t="s">
        <v>15</v>
      </c>
      <c r="BV88" s="126" t="s">
        <v>29</v>
      </c>
      <c r="BW88" s="126" t="s">
        <v>16</v>
      </c>
      <c r="BX88" s="126" t="s">
        <v>59</v>
      </c>
      <c r="BY88" s="126" t="s">
        <v>17</v>
      </c>
      <c r="BZ88" s="15" t="s">
        <v>21</v>
      </c>
      <c r="CA88" s="131" t="s">
        <v>227</v>
      </c>
      <c r="CB88" s="129" t="s">
        <v>223</v>
      </c>
      <c r="CC88" s="126" t="s">
        <v>224</v>
      </c>
      <c r="CD88" s="127" t="s">
        <v>222</v>
      </c>
      <c r="CE88" s="132" t="s">
        <v>230</v>
      </c>
    </row>
    <row r="89" spans="35:84" x14ac:dyDescent="0.2">
      <c r="AJ89" t="s">
        <v>292</v>
      </c>
      <c r="AK89" s="15">
        <v>5</v>
      </c>
      <c r="AL89" s="15">
        <v>1</v>
      </c>
      <c r="AM89" s="15" t="s">
        <v>225</v>
      </c>
      <c r="AN89" s="15" t="s">
        <v>18</v>
      </c>
      <c r="AO89" s="15" t="s">
        <v>60</v>
      </c>
      <c r="AP89" s="15">
        <f t="shared" ref="AP89" si="30">AR89*AQ89</f>
        <v>12.15</v>
      </c>
      <c r="AQ89" s="128">
        <v>0.9</v>
      </c>
      <c r="AR89" s="131">
        <f>(AS89+AT89)</f>
        <v>13.5</v>
      </c>
      <c r="AS89" s="130">
        <v>0</v>
      </c>
      <c r="AT89" s="42">
        <v>13.5</v>
      </c>
      <c r="AU89" s="42">
        <v>48.7</v>
      </c>
      <c r="AV89" s="135" t="s">
        <v>231</v>
      </c>
      <c r="BB89" t="s">
        <v>292</v>
      </c>
      <c r="BC89" s="15">
        <v>5</v>
      </c>
      <c r="BD89" s="15">
        <v>1</v>
      </c>
      <c r="BE89" s="15" t="s">
        <v>225</v>
      </c>
      <c r="BF89" s="15" t="s">
        <v>18</v>
      </c>
      <c r="BG89" s="15" t="s">
        <v>60</v>
      </c>
      <c r="BH89" s="15">
        <f t="shared" ref="BH89" si="31">BJ89*BI89</f>
        <v>12.15</v>
      </c>
      <c r="BI89" s="128">
        <v>0.9</v>
      </c>
      <c r="BJ89" s="131">
        <f>(BK89+BL89)</f>
        <v>13.5</v>
      </c>
      <c r="BK89" s="130">
        <v>0</v>
      </c>
      <c r="BL89" s="42">
        <v>13.5</v>
      </c>
      <c r="BM89" s="42">
        <v>48.7</v>
      </c>
      <c r="BN89" s="135" t="s">
        <v>231</v>
      </c>
      <c r="BS89" t="s">
        <v>292</v>
      </c>
      <c r="BT89" s="15">
        <v>5</v>
      </c>
      <c r="BU89" s="15">
        <v>1</v>
      </c>
      <c r="BV89" s="15" t="s">
        <v>225</v>
      </c>
      <c r="BW89" s="15" t="s">
        <v>18</v>
      </c>
      <c r="BX89" s="15" t="s">
        <v>60</v>
      </c>
      <c r="BY89" s="15">
        <f t="shared" ref="BY89" si="32">CA89*BZ89</f>
        <v>12.15</v>
      </c>
      <c r="BZ89" s="128">
        <v>0.9</v>
      </c>
      <c r="CA89" s="131">
        <f>(CB89+CC89)</f>
        <v>13.5</v>
      </c>
      <c r="CB89" s="130">
        <v>0</v>
      </c>
      <c r="CC89" s="42">
        <v>13.5</v>
      </c>
      <c r="CD89" s="42">
        <v>48.7</v>
      </c>
      <c r="CE89" s="135" t="s">
        <v>231</v>
      </c>
    </row>
    <row r="91" spans="35:84" x14ac:dyDescent="0.2">
      <c r="AI91">
        <v>5</v>
      </c>
      <c r="AJ91" s="134" t="s">
        <v>8</v>
      </c>
      <c r="AK91" s="126" t="s">
        <v>14</v>
      </c>
      <c r="AL91" s="126" t="s">
        <v>15</v>
      </c>
      <c r="AM91" s="126" t="s">
        <v>29</v>
      </c>
      <c r="AN91" s="126" t="s">
        <v>16</v>
      </c>
      <c r="AO91" s="126" t="s">
        <v>59</v>
      </c>
      <c r="AP91" s="126" t="s">
        <v>17</v>
      </c>
      <c r="AQ91" s="15" t="s">
        <v>21</v>
      </c>
      <c r="AR91" s="131" t="s">
        <v>227</v>
      </c>
      <c r="AS91" s="129" t="s">
        <v>223</v>
      </c>
      <c r="AT91" s="126" t="s">
        <v>224</v>
      </c>
      <c r="AU91" s="127" t="s">
        <v>222</v>
      </c>
      <c r="AV91" s="132" t="s">
        <v>230</v>
      </c>
      <c r="BA91">
        <v>5</v>
      </c>
      <c r="BB91" s="134" t="s">
        <v>8</v>
      </c>
      <c r="BC91" s="126" t="s">
        <v>14</v>
      </c>
      <c r="BD91" s="126" t="s">
        <v>15</v>
      </c>
      <c r="BE91" s="126" t="s">
        <v>29</v>
      </c>
      <c r="BF91" s="126" t="s">
        <v>16</v>
      </c>
      <c r="BG91" s="126" t="s">
        <v>59</v>
      </c>
      <c r="BH91" s="126" t="s">
        <v>17</v>
      </c>
      <c r="BI91" s="15" t="s">
        <v>21</v>
      </c>
      <c r="BJ91" s="131" t="s">
        <v>227</v>
      </c>
      <c r="BK91" s="129" t="s">
        <v>223</v>
      </c>
      <c r="BL91" s="126" t="s">
        <v>224</v>
      </c>
      <c r="BM91" s="127" t="s">
        <v>222</v>
      </c>
      <c r="BN91" s="132" t="s">
        <v>230</v>
      </c>
      <c r="BR91">
        <v>5</v>
      </c>
      <c r="BS91" s="134" t="s">
        <v>8</v>
      </c>
      <c r="BT91" s="126" t="s">
        <v>14</v>
      </c>
      <c r="BU91" s="126" t="s">
        <v>15</v>
      </c>
      <c r="BV91" s="126" t="s">
        <v>29</v>
      </c>
      <c r="BW91" s="126" t="s">
        <v>16</v>
      </c>
      <c r="BX91" s="126" t="s">
        <v>59</v>
      </c>
      <c r="BY91" s="126" t="s">
        <v>17</v>
      </c>
      <c r="BZ91" s="15" t="s">
        <v>21</v>
      </c>
      <c r="CA91" s="131" t="s">
        <v>227</v>
      </c>
      <c r="CB91" s="129" t="s">
        <v>223</v>
      </c>
      <c r="CC91" s="126" t="s">
        <v>224</v>
      </c>
      <c r="CD91" s="127" t="s">
        <v>222</v>
      </c>
      <c r="CE91" s="132" t="s">
        <v>230</v>
      </c>
    </row>
    <row r="92" spans="35:84" x14ac:dyDescent="0.2">
      <c r="AJ92" t="s">
        <v>293</v>
      </c>
      <c r="AK92" s="15">
        <v>5</v>
      </c>
      <c r="AL92" s="15">
        <v>1</v>
      </c>
      <c r="AM92" s="15" t="s">
        <v>225</v>
      </c>
      <c r="AN92" s="15" t="s">
        <v>18</v>
      </c>
      <c r="AO92" s="15" t="s">
        <v>60</v>
      </c>
      <c r="AP92" s="15">
        <f t="shared" ref="AP92" si="33">AR92*AQ92</f>
        <v>12.15</v>
      </c>
      <c r="AQ92" s="128">
        <v>0.9</v>
      </c>
      <c r="AR92" s="131">
        <f>(AS92+AT92)</f>
        <v>13.5</v>
      </c>
      <c r="AS92" s="130">
        <v>0</v>
      </c>
      <c r="AT92" s="42">
        <v>13.5</v>
      </c>
      <c r="AU92" s="42">
        <v>48.7</v>
      </c>
      <c r="AV92" s="135" t="s">
        <v>231</v>
      </c>
      <c r="BB92" t="s">
        <v>293</v>
      </c>
      <c r="BC92" s="15">
        <v>5</v>
      </c>
      <c r="BD92" s="15">
        <v>1</v>
      </c>
      <c r="BE92" s="15" t="s">
        <v>225</v>
      </c>
      <c r="BF92" s="15" t="s">
        <v>18</v>
      </c>
      <c r="BG92" s="15" t="s">
        <v>60</v>
      </c>
      <c r="BH92" s="15">
        <f t="shared" ref="BH92" si="34">BJ92*BI92</f>
        <v>12.15</v>
      </c>
      <c r="BI92" s="128">
        <v>0.9</v>
      </c>
      <c r="BJ92" s="131">
        <f>(BK92+BL92)</f>
        <v>13.5</v>
      </c>
      <c r="BK92" s="130">
        <v>0</v>
      </c>
      <c r="BL92" s="42">
        <v>13.5</v>
      </c>
      <c r="BM92" s="42">
        <v>48.7</v>
      </c>
      <c r="BN92" s="135" t="s">
        <v>231</v>
      </c>
      <c r="BS92" t="s">
        <v>293</v>
      </c>
      <c r="BT92" s="15">
        <v>5</v>
      </c>
      <c r="BU92" s="15">
        <v>1</v>
      </c>
      <c r="BV92" s="15" t="s">
        <v>225</v>
      </c>
      <c r="BW92" s="15" t="s">
        <v>18</v>
      </c>
      <c r="BX92" s="15" t="s">
        <v>60</v>
      </c>
      <c r="BY92" s="15">
        <f t="shared" ref="BY92" si="35">CA92*BZ92</f>
        <v>12.15</v>
      </c>
      <c r="BZ92" s="128">
        <v>0.9</v>
      </c>
      <c r="CA92" s="131">
        <f>(CB92+CC92)</f>
        <v>13.5</v>
      </c>
      <c r="CB92" s="130">
        <v>0</v>
      </c>
      <c r="CC92" s="42">
        <v>13.5</v>
      </c>
      <c r="CD92" s="42">
        <v>48.7</v>
      </c>
      <c r="CE92" s="135" t="s">
        <v>231</v>
      </c>
    </row>
    <row r="94" spans="35:84" x14ac:dyDescent="0.2">
      <c r="AJ94" s="148" t="s">
        <v>165</v>
      </c>
      <c r="AK94" s="126" t="s">
        <v>14</v>
      </c>
      <c r="AL94" s="126" t="s">
        <v>15</v>
      </c>
      <c r="AM94" s="126" t="s">
        <v>29</v>
      </c>
      <c r="AN94" s="126" t="s">
        <v>16</v>
      </c>
      <c r="AO94" s="126" t="s">
        <v>59</v>
      </c>
      <c r="AP94" s="126" t="s">
        <v>17</v>
      </c>
      <c r="AQ94" s="15" t="s">
        <v>21</v>
      </c>
      <c r="AR94" s="131" t="s">
        <v>227</v>
      </c>
      <c r="AS94" s="149" t="s">
        <v>223</v>
      </c>
      <c r="AT94" s="149" t="s">
        <v>224</v>
      </c>
      <c r="AU94" s="127" t="s">
        <v>222</v>
      </c>
      <c r="AV94" s="132" t="s">
        <v>230</v>
      </c>
      <c r="AW94" s="17" t="s">
        <v>296</v>
      </c>
      <c r="BB94" s="148" t="s">
        <v>165</v>
      </c>
      <c r="BC94" s="126" t="s">
        <v>14</v>
      </c>
      <c r="BD94" s="126" t="s">
        <v>15</v>
      </c>
      <c r="BE94" s="126" t="s">
        <v>29</v>
      </c>
      <c r="BF94" s="126" t="s">
        <v>16</v>
      </c>
      <c r="BG94" s="126" t="s">
        <v>59</v>
      </c>
      <c r="BH94" s="126" t="s">
        <v>17</v>
      </c>
      <c r="BI94" s="15" t="s">
        <v>21</v>
      </c>
      <c r="BJ94" s="131" t="s">
        <v>227</v>
      </c>
      <c r="BK94" s="149" t="s">
        <v>223</v>
      </c>
      <c r="BL94" s="149" t="s">
        <v>224</v>
      </c>
      <c r="BM94" s="127" t="s">
        <v>222</v>
      </c>
      <c r="BN94" s="132" t="s">
        <v>230</v>
      </c>
      <c r="BO94" s="17" t="s">
        <v>296</v>
      </c>
      <c r="BS94" s="148" t="s">
        <v>165</v>
      </c>
      <c r="BT94" s="126" t="s">
        <v>14</v>
      </c>
      <c r="BU94" s="126" t="s">
        <v>15</v>
      </c>
      <c r="BV94" s="126" t="s">
        <v>29</v>
      </c>
      <c r="BW94" s="126" t="s">
        <v>16</v>
      </c>
      <c r="BX94" s="126" t="s">
        <v>59</v>
      </c>
      <c r="BY94" s="126" t="s">
        <v>17</v>
      </c>
      <c r="BZ94" s="15" t="s">
        <v>21</v>
      </c>
      <c r="CA94" s="131" t="s">
        <v>227</v>
      </c>
      <c r="CB94" s="149" t="s">
        <v>223</v>
      </c>
      <c r="CC94" s="149" t="s">
        <v>224</v>
      </c>
      <c r="CD94" s="127" t="s">
        <v>222</v>
      </c>
      <c r="CE94" s="132" t="s">
        <v>230</v>
      </c>
      <c r="CF94" s="17" t="s">
        <v>296</v>
      </c>
    </row>
    <row r="95" spans="35:84" x14ac:dyDescent="0.2">
      <c r="AJ95" t="s">
        <v>294</v>
      </c>
      <c r="AK95" s="15">
        <v>3</v>
      </c>
      <c r="AL95" s="15">
        <v>8</v>
      </c>
      <c r="AM95" s="137" t="s">
        <v>30</v>
      </c>
      <c r="AN95" s="15" t="s">
        <v>295</v>
      </c>
      <c r="AO95" s="15" t="s">
        <v>60</v>
      </c>
      <c r="AP95" s="15">
        <f t="shared" ref="AP95" si="36">AR95*AQ95</f>
        <v>4.95</v>
      </c>
      <c r="AQ95" s="128">
        <v>0.9</v>
      </c>
      <c r="AR95" s="131">
        <f>(AS95+AT95)</f>
        <v>5.5</v>
      </c>
      <c r="AS95" s="150">
        <v>0</v>
      </c>
      <c r="AT95" s="42">
        <v>5.5</v>
      </c>
      <c r="AU95" s="42">
        <v>48.7</v>
      </c>
      <c r="AV95" s="135" t="s">
        <v>231</v>
      </c>
      <c r="AW95" s="15" t="s">
        <v>297</v>
      </c>
      <c r="BB95" t="s">
        <v>294</v>
      </c>
      <c r="BC95" s="15">
        <v>3</v>
      </c>
      <c r="BD95" s="15">
        <v>8</v>
      </c>
      <c r="BE95" s="137" t="s">
        <v>30</v>
      </c>
      <c r="BF95" s="15" t="s">
        <v>295</v>
      </c>
      <c r="BG95" s="15" t="s">
        <v>60</v>
      </c>
      <c r="BH95" s="15">
        <f t="shared" ref="BH95" si="37">BJ95*BI95</f>
        <v>4.95</v>
      </c>
      <c r="BI95" s="128">
        <v>0.9</v>
      </c>
      <c r="BJ95" s="131">
        <f>(BK95+BL95)</f>
        <v>5.5</v>
      </c>
      <c r="BK95" s="150">
        <v>0</v>
      </c>
      <c r="BL95" s="42">
        <v>5.5</v>
      </c>
      <c r="BM95" s="42">
        <v>48.7</v>
      </c>
      <c r="BN95" s="135" t="s">
        <v>231</v>
      </c>
      <c r="BO95" s="15" t="s">
        <v>297</v>
      </c>
      <c r="BS95" t="s">
        <v>294</v>
      </c>
      <c r="BT95" s="15">
        <v>3</v>
      </c>
      <c r="BU95" s="15">
        <v>8</v>
      </c>
      <c r="BV95" s="137" t="s">
        <v>30</v>
      </c>
      <c r="BW95" s="15" t="s">
        <v>295</v>
      </c>
      <c r="BX95" s="15" t="s">
        <v>60</v>
      </c>
      <c r="BY95" s="15">
        <f t="shared" ref="BY95" si="38">CA95*BZ95</f>
        <v>4.95</v>
      </c>
      <c r="BZ95" s="128">
        <v>0.9</v>
      </c>
      <c r="CA95" s="131">
        <f>(CB95+CC95)</f>
        <v>5.5</v>
      </c>
      <c r="CB95" s="150">
        <v>0</v>
      </c>
      <c r="CC95" s="42">
        <v>5.5</v>
      </c>
      <c r="CD95" s="42">
        <v>48.7</v>
      </c>
      <c r="CE95" s="135" t="s">
        <v>231</v>
      </c>
      <c r="CF95" s="15" t="s">
        <v>297</v>
      </c>
    </row>
    <row r="97" spans="36:84" x14ac:dyDescent="0.2">
      <c r="AJ97" s="148" t="s">
        <v>165</v>
      </c>
      <c r="AK97" s="126" t="s">
        <v>14</v>
      </c>
      <c r="AL97" s="126" t="s">
        <v>15</v>
      </c>
      <c r="AM97" s="126" t="s">
        <v>29</v>
      </c>
      <c r="AN97" s="126" t="s">
        <v>16</v>
      </c>
      <c r="AO97" s="126" t="s">
        <v>59</v>
      </c>
      <c r="AP97" s="126" t="s">
        <v>17</v>
      </c>
      <c r="AQ97" s="15" t="s">
        <v>21</v>
      </c>
      <c r="AR97" s="131" t="s">
        <v>227</v>
      </c>
      <c r="AS97" s="149" t="s">
        <v>223</v>
      </c>
      <c r="AT97" s="149" t="s">
        <v>224</v>
      </c>
      <c r="AU97" s="127" t="s">
        <v>222</v>
      </c>
      <c r="AV97" s="132" t="s">
        <v>230</v>
      </c>
      <c r="AW97" s="17" t="s">
        <v>296</v>
      </c>
      <c r="BB97" s="148" t="s">
        <v>165</v>
      </c>
      <c r="BC97" s="126" t="s">
        <v>14</v>
      </c>
      <c r="BD97" s="126" t="s">
        <v>15</v>
      </c>
      <c r="BE97" s="126" t="s">
        <v>29</v>
      </c>
      <c r="BF97" s="126" t="s">
        <v>16</v>
      </c>
      <c r="BG97" s="126" t="s">
        <v>59</v>
      </c>
      <c r="BH97" s="126" t="s">
        <v>17</v>
      </c>
      <c r="BI97" s="15" t="s">
        <v>21</v>
      </c>
      <c r="BJ97" s="131" t="s">
        <v>227</v>
      </c>
      <c r="BK97" s="149" t="s">
        <v>223</v>
      </c>
      <c r="BL97" s="149" t="s">
        <v>224</v>
      </c>
      <c r="BM97" s="127" t="s">
        <v>222</v>
      </c>
      <c r="BN97" s="132" t="s">
        <v>230</v>
      </c>
      <c r="BO97" s="17" t="s">
        <v>296</v>
      </c>
      <c r="BS97" s="148" t="s">
        <v>165</v>
      </c>
      <c r="BT97" s="126" t="s">
        <v>14</v>
      </c>
      <c r="BU97" s="126" t="s">
        <v>15</v>
      </c>
      <c r="BV97" s="126" t="s">
        <v>29</v>
      </c>
      <c r="BW97" s="126" t="s">
        <v>16</v>
      </c>
      <c r="BX97" s="126" t="s">
        <v>59</v>
      </c>
      <c r="BY97" s="126" t="s">
        <v>17</v>
      </c>
      <c r="BZ97" s="15" t="s">
        <v>21</v>
      </c>
      <c r="CA97" s="131" t="s">
        <v>227</v>
      </c>
      <c r="CB97" s="149" t="s">
        <v>223</v>
      </c>
      <c r="CC97" s="149" t="s">
        <v>224</v>
      </c>
      <c r="CD97" s="127" t="s">
        <v>222</v>
      </c>
      <c r="CE97" s="132" t="s">
        <v>230</v>
      </c>
      <c r="CF97" s="17" t="s">
        <v>296</v>
      </c>
    </row>
    <row r="98" spans="36:84" x14ac:dyDescent="0.2">
      <c r="AJ98" t="s">
        <v>294</v>
      </c>
      <c r="AK98" s="15">
        <v>3</v>
      </c>
      <c r="AL98" s="15">
        <v>8</v>
      </c>
      <c r="AM98" s="137" t="s">
        <v>30</v>
      </c>
      <c r="AN98" s="15" t="s">
        <v>295</v>
      </c>
      <c r="AO98" s="15" t="s">
        <v>60</v>
      </c>
      <c r="AP98" s="15">
        <f t="shared" ref="AP98" si="39">AR98*AQ98</f>
        <v>4.95</v>
      </c>
      <c r="AQ98" s="128">
        <v>0.9</v>
      </c>
      <c r="AR98" s="131">
        <f>(AS98+AT98)</f>
        <v>5.5</v>
      </c>
      <c r="AS98" s="150">
        <v>0</v>
      </c>
      <c r="AT98" s="42">
        <v>5.5</v>
      </c>
      <c r="AU98" s="42">
        <v>48.7</v>
      </c>
      <c r="AV98" s="135" t="s">
        <v>299</v>
      </c>
      <c r="AW98" s="15" t="s">
        <v>297</v>
      </c>
      <c r="BB98" t="s">
        <v>294</v>
      </c>
      <c r="BC98" s="15">
        <v>3</v>
      </c>
      <c r="BD98" s="15">
        <v>8</v>
      </c>
      <c r="BE98" s="137" t="s">
        <v>30</v>
      </c>
      <c r="BF98" s="15" t="s">
        <v>295</v>
      </c>
      <c r="BG98" s="15" t="s">
        <v>60</v>
      </c>
      <c r="BH98" s="15">
        <f t="shared" ref="BH98" si="40">BJ98*BI98</f>
        <v>4.95</v>
      </c>
      <c r="BI98" s="128">
        <v>0.9</v>
      </c>
      <c r="BJ98" s="131">
        <f>(BK98+BL98)</f>
        <v>5.5</v>
      </c>
      <c r="BK98" s="150">
        <v>0</v>
      </c>
      <c r="BL98" s="42">
        <v>5.5</v>
      </c>
      <c r="BM98" s="42">
        <v>48.7</v>
      </c>
      <c r="BN98" s="135" t="s">
        <v>299</v>
      </c>
      <c r="BO98" s="15" t="s">
        <v>297</v>
      </c>
      <c r="BS98" t="s">
        <v>294</v>
      </c>
      <c r="BT98" s="15">
        <v>3</v>
      </c>
      <c r="BU98" s="15">
        <v>8</v>
      </c>
      <c r="BV98" s="137" t="s">
        <v>30</v>
      </c>
      <c r="BW98" s="15" t="s">
        <v>295</v>
      </c>
      <c r="BX98" s="15" t="s">
        <v>60</v>
      </c>
      <c r="BY98" s="15">
        <f t="shared" ref="BY98" si="41">CA98*BZ98</f>
        <v>4.95</v>
      </c>
      <c r="BZ98" s="128">
        <v>0.9</v>
      </c>
      <c r="CA98" s="131">
        <f>(CB98+CC98)</f>
        <v>5.5</v>
      </c>
      <c r="CB98" s="150">
        <v>0</v>
      </c>
      <c r="CC98" s="42">
        <v>5.5</v>
      </c>
      <c r="CD98" s="42">
        <v>48.7</v>
      </c>
      <c r="CE98" s="135" t="s">
        <v>299</v>
      </c>
      <c r="CF98" s="15" t="s">
        <v>297</v>
      </c>
    </row>
    <row r="100" spans="36:84" x14ac:dyDescent="0.2">
      <c r="AJ100" s="148" t="s">
        <v>165</v>
      </c>
      <c r="AK100" s="126" t="s">
        <v>14</v>
      </c>
      <c r="AL100" s="126" t="s">
        <v>15</v>
      </c>
      <c r="AM100" s="126" t="s">
        <v>29</v>
      </c>
      <c r="AN100" s="126" t="s">
        <v>16</v>
      </c>
      <c r="AO100" s="126" t="s">
        <v>59</v>
      </c>
      <c r="AP100" s="126" t="s">
        <v>17</v>
      </c>
      <c r="AQ100" s="15" t="s">
        <v>21</v>
      </c>
      <c r="AR100" s="131" t="s">
        <v>227</v>
      </c>
      <c r="AS100" s="149" t="s">
        <v>223</v>
      </c>
      <c r="AT100" s="149" t="s">
        <v>224</v>
      </c>
      <c r="AU100" s="127" t="s">
        <v>222</v>
      </c>
      <c r="AV100" s="132" t="s">
        <v>230</v>
      </c>
      <c r="AW100" s="17" t="s">
        <v>296</v>
      </c>
      <c r="BB100" s="148" t="s">
        <v>165</v>
      </c>
      <c r="BC100" s="126" t="s">
        <v>14</v>
      </c>
      <c r="BD100" s="126" t="s">
        <v>15</v>
      </c>
      <c r="BE100" s="126" t="s">
        <v>29</v>
      </c>
      <c r="BF100" s="126" t="s">
        <v>16</v>
      </c>
      <c r="BG100" s="126" t="s">
        <v>59</v>
      </c>
      <c r="BH100" s="126" t="s">
        <v>17</v>
      </c>
      <c r="BI100" s="15" t="s">
        <v>21</v>
      </c>
      <c r="BJ100" s="131" t="s">
        <v>227</v>
      </c>
      <c r="BK100" s="149" t="s">
        <v>223</v>
      </c>
      <c r="BL100" s="149" t="s">
        <v>224</v>
      </c>
      <c r="BM100" s="127" t="s">
        <v>222</v>
      </c>
      <c r="BN100" s="132" t="s">
        <v>230</v>
      </c>
      <c r="BO100" s="17" t="s">
        <v>296</v>
      </c>
      <c r="BS100" s="148" t="s">
        <v>165</v>
      </c>
      <c r="BT100" s="126" t="s">
        <v>14</v>
      </c>
      <c r="BU100" s="126" t="s">
        <v>15</v>
      </c>
      <c r="BV100" s="126" t="s">
        <v>29</v>
      </c>
      <c r="BW100" s="126" t="s">
        <v>16</v>
      </c>
      <c r="BX100" s="126" t="s">
        <v>59</v>
      </c>
      <c r="BY100" s="126" t="s">
        <v>17</v>
      </c>
      <c r="BZ100" s="15" t="s">
        <v>21</v>
      </c>
      <c r="CA100" s="131" t="s">
        <v>227</v>
      </c>
      <c r="CB100" s="149" t="s">
        <v>223</v>
      </c>
      <c r="CC100" s="149" t="s">
        <v>224</v>
      </c>
      <c r="CD100" s="127" t="s">
        <v>222</v>
      </c>
      <c r="CE100" s="132" t="s">
        <v>230</v>
      </c>
      <c r="CF100" s="17" t="s">
        <v>296</v>
      </c>
    </row>
    <row r="101" spans="36:84" x14ac:dyDescent="0.2">
      <c r="AJ101" t="s">
        <v>298</v>
      </c>
      <c r="AK101" s="15">
        <v>4</v>
      </c>
      <c r="AL101" s="15">
        <v>4</v>
      </c>
      <c r="AM101" s="137" t="s">
        <v>30</v>
      </c>
      <c r="AN101" s="15" t="s">
        <v>18</v>
      </c>
      <c r="AO101" s="15" t="s">
        <v>60</v>
      </c>
      <c r="AP101" s="15">
        <f t="shared" ref="AP101" si="42">AR101*AQ101</f>
        <v>0</v>
      </c>
      <c r="AQ101" s="128">
        <v>0.9</v>
      </c>
      <c r="AR101" s="131">
        <f>(AS101+AT101)</f>
        <v>0</v>
      </c>
      <c r="AS101" s="150">
        <v>0</v>
      </c>
      <c r="AT101" s="42">
        <v>0</v>
      </c>
      <c r="AU101" s="42">
        <v>48.7</v>
      </c>
      <c r="AV101" s="135" t="s">
        <v>30</v>
      </c>
      <c r="AW101" s="15" t="s">
        <v>300</v>
      </c>
      <c r="BB101" t="s">
        <v>298</v>
      </c>
      <c r="BC101" s="15">
        <v>4</v>
      </c>
      <c r="BD101" s="15">
        <v>4</v>
      </c>
      <c r="BE101" s="137" t="s">
        <v>30</v>
      </c>
      <c r="BF101" s="15" t="s">
        <v>18</v>
      </c>
      <c r="BG101" s="15" t="s">
        <v>60</v>
      </c>
      <c r="BH101" s="15">
        <f t="shared" ref="BH101" si="43">BJ101*BI101</f>
        <v>0</v>
      </c>
      <c r="BI101" s="128">
        <v>0.9</v>
      </c>
      <c r="BJ101" s="131">
        <f>(BK101+BL101)</f>
        <v>0</v>
      </c>
      <c r="BK101" s="150">
        <v>0</v>
      </c>
      <c r="BL101" s="42">
        <v>0</v>
      </c>
      <c r="BM101" s="42">
        <v>48.7</v>
      </c>
      <c r="BN101" s="135" t="s">
        <v>30</v>
      </c>
      <c r="BO101" s="15" t="s">
        <v>300</v>
      </c>
      <c r="BS101" t="s">
        <v>298</v>
      </c>
      <c r="BT101" s="15">
        <v>4</v>
      </c>
      <c r="BU101" s="15">
        <v>4</v>
      </c>
      <c r="BV101" s="137" t="s">
        <v>30</v>
      </c>
      <c r="BW101" s="15" t="s">
        <v>18</v>
      </c>
      <c r="BX101" s="15" t="s">
        <v>60</v>
      </c>
      <c r="BY101" s="15">
        <f t="shared" ref="BY101" si="44">CA101*BZ101</f>
        <v>0</v>
      </c>
      <c r="BZ101" s="128">
        <v>0.9</v>
      </c>
      <c r="CA101" s="131">
        <f>(CB101+CC101)</f>
        <v>0</v>
      </c>
      <c r="CB101" s="150">
        <v>0</v>
      </c>
      <c r="CC101" s="42">
        <v>0</v>
      </c>
      <c r="CD101" s="42">
        <v>48.7</v>
      </c>
      <c r="CE101" s="135" t="s">
        <v>30</v>
      </c>
      <c r="CF101" s="15" t="s">
        <v>300</v>
      </c>
    </row>
    <row r="103" spans="36:84" x14ac:dyDescent="0.2">
      <c r="AJ103" s="148" t="s">
        <v>165</v>
      </c>
      <c r="AK103" s="126" t="s">
        <v>14</v>
      </c>
      <c r="AL103" s="126" t="s">
        <v>15</v>
      </c>
      <c r="AM103" s="126" t="s">
        <v>29</v>
      </c>
      <c r="AN103" s="126" t="s">
        <v>16</v>
      </c>
      <c r="AO103" s="126" t="s">
        <v>59</v>
      </c>
      <c r="AP103" s="126" t="s">
        <v>17</v>
      </c>
      <c r="AQ103" s="15" t="s">
        <v>21</v>
      </c>
      <c r="AR103" s="131" t="s">
        <v>227</v>
      </c>
      <c r="AS103" s="149" t="s">
        <v>223</v>
      </c>
      <c r="AT103" s="149" t="s">
        <v>224</v>
      </c>
      <c r="AU103" s="127" t="s">
        <v>222</v>
      </c>
      <c r="AV103" s="132" t="s">
        <v>230</v>
      </c>
      <c r="AW103" s="17" t="s">
        <v>296</v>
      </c>
      <c r="BB103" s="148" t="s">
        <v>165</v>
      </c>
      <c r="BC103" s="126" t="s">
        <v>14</v>
      </c>
      <c r="BD103" s="126" t="s">
        <v>15</v>
      </c>
      <c r="BE103" s="126" t="s">
        <v>29</v>
      </c>
      <c r="BF103" s="126" t="s">
        <v>16</v>
      </c>
      <c r="BG103" s="126" t="s">
        <v>59</v>
      </c>
      <c r="BH103" s="126" t="s">
        <v>17</v>
      </c>
      <c r="BI103" s="15" t="s">
        <v>21</v>
      </c>
      <c r="BJ103" s="131" t="s">
        <v>227</v>
      </c>
      <c r="BK103" s="149" t="s">
        <v>223</v>
      </c>
      <c r="BL103" s="149" t="s">
        <v>224</v>
      </c>
      <c r="BM103" s="127" t="s">
        <v>222</v>
      </c>
      <c r="BN103" s="132" t="s">
        <v>230</v>
      </c>
      <c r="BO103" s="17" t="s">
        <v>296</v>
      </c>
      <c r="BS103" s="148" t="s">
        <v>165</v>
      </c>
      <c r="BT103" s="126" t="s">
        <v>14</v>
      </c>
      <c r="BU103" s="126" t="s">
        <v>15</v>
      </c>
      <c r="BV103" s="126" t="s">
        <v>29</v>
      </c>
      <c r="BW103" s="126" t="s">
        <v>16</v>
      </c>
      <c r="BX103" s="126" t="s">
        <v>59</v>
      </c>
      <c r="BY103" s="126" t="s">
        <v>17</v>
      </c>
      <c r="BZ103" s="15" t="s">
        <v>21</v>
      </c>
      <c r="CA103" s="131" t="s">
        <v>227</v>
      </c>
      <c r="CB103" s="149" t="s">
        <v>223</v>
      </c>
      <c r="CC103" s="149" t="s">
        <v>224</v>
      </c>
      <c r="CD103" s="127" t="s">
        <v>222</v>
      </c>
      <c r="CE103" s="132" t="s">
        <v>230</v>
      </c>
      <c r="CF103" s="17" t="s">
        <v>296</v>
      </c>
    </row>
    <row r="104" spans="36:84" x14ac:dyDescent="0.2">
      <c r="AJ104" t="s">
        <v>301</v>
      </c>
      <c r="AK104" s="15">
        <v>4</v>
      </c>
      <c r="AL104" s="15">
        <v>4</v>
      </c>
      <c r="AM104" s="137" t="s">
        <v>30</v>
      </c>
      <c r="AN104" s="15" t="s">
        <v>18</v>
      </c>
      <c r="AO104" s="15" t="s">
        <v>60</v>
      </c>
      <c r="AP104" s="15">
        <f t="shared" ref="AP104" si="45">AR104*AQ104</f>
        <v>7.2</v>
      </c>
      <c r="AQ104" s="128">
        <v>0.9</v>
      </c>
      <c r="AR104" s="131">
        <f>(AS104+AT104)</f>
        <v>8</v>
      </c>
      <c r="AS104" s="150">
        <v>0</v>
      </c>
      <c r="AT104" s="42">
        <v>8</v>
      </c>
      <c r="AU104" s="42">
        <v>48.7</v>
      </c>
      <c r="AV104" s="135" t="s">
        <v>30</v>
      </c>
      <c r="AW104" s="15" t="s">
        <v>300</v>
      </c>
      <c r="BB104" t="s">
        <v>301</v>
      </c>
      <c r="BC104" s="15">
        <v>4</v>
      </c>
      <c r="BD104" s="15">
        <v>4</v>
      </c>
      <c r="BE104" s="137" t="s">
        <v>30</v>
      </c>
      <c r="BF104" s="15" t="s">
        <v>18</v>
      </c>
      <c r="BG104" s="15" t="s">
        <v>60</v>
      </c>
      <c r="BH104" s="15">
        <f t="shared" ref="BH104" si="46">BJ104*BI104</f>
        <v>7.2</v>
      </c>
      <c r="BI104" s="128">
        <v>0.9</v>
      </c>
      <c r="BJ104" s="131">
        <f>(BK104+BL104)</f>
        <v>8</v>
      </c>
      <c r="BK104" s="150">
        <v>0</v>
      </c>
      <c r="BL104" s="42">
        <v>8</v>
      </c>
      <c r="BM104" s="42">
        <v>48.7</v>
      </c>
      <c r="BN104" s="135" t="s">
        <v>30</v>
      </c>
      <c r="BO104" s="15" t="s">
        <v>300</v>
      </c>
      <c r="BS104" t="s">
        <v>301</v>
      </c>
      <c r="BT104" s="15">
        <v>4</v>
      </c>
      <c r="BU104" s="15">
        <v>4</v>
      </c>
      <c r="BV104" s="137" t="s">
        <v>30</v>
      </c>
      <c r="BW104" s="15" t="s">
        <v>18</v>
      </c>
      <c r="BX104" s="15" t="s">
        <v>60</v>
      </c>
      <c r="BY104" s="15">
        <f t="shared" ref="BY104" si="47">CA104*BZ104</f>
        <v>7.2</v>
      </c>
      <c r="BZ104" s="128">
        <v>0.9</v>
      </c>
      <c r="CA104" s="131">
        <f>(CB104+CC104)</f>
        <v>8</v>
      </c>
      <c r="CB104" s="150">
        <v>0</v>
      </c>
      <c r="CC104" s="42">
        <v>8</v>
      </c>
      <c r="CD104" s="42">
        <v>48.7</v>
      </c>
      <c r="CE104" s="135" t="s">
        <v>30</v>
      </c>
      <c r="CF104" s="15" t="s">
        <v>300</v>
      </c>
    </row>
    <row r="107" spans="36:84" x14ac:dyDescent="0.2">
      <c r="AJ107" s="148" t="s">
        <v>165</v>
      </c>
      <c r="AK107" s="126" t="s">
        <v>14</v>
      </c>
      <c r="AL107" s="126" t="s">
        <v>15</v>
      </c>
      <c r="AM107" s="126" t="s">
        <v>29</v>
      </c>
      <c r="AN107" s="126" t="s">
        <v>16</v>
      </c>
      <c r="AO107" s="126" t="s">
        <v>59</v>
      </c>
      <c r="AP107" s="126" t="s">
        <v>17</v>
      </c>
      <c r="AQ107" s="15" t="s">
        <v>21</v>
      </c>
      <c r="AR107" s="131" t="s">
        <v>227</v>
      </c>
      <c r="AS107" s="149" t="s">
        <v>223</v>
      </c>
      <c r="AT107" s="149" t="s">
        <v>224</v>
      </c>
      <c r="AU107" s="127" t="s">
        <v>222</v>
      </c>
      <c r="AV107" s="132" t="s">
        <v>230</v>
      </c>
      <c r="AW107" s="17" t="s">
        <v>296</v>
      </c>
      <c r="BB107" s="148" t="s">
        <v>165</v>
      </c>
      <c r="BC107" s="126" t="s">
        <v>14</v>
      </c>
      <c r="BD107" s="126" t="s">
        <v>15</v>
      </c>
      <c r="BE107" s="126" t="s">
        <v>29</v>
      </c>
      <c r="BF107" s="126" t="s">
        <v>16</v>
      </c>
      <c r="BG107" s="126" t="s">
        <v>59</v>
      </c>
      <c r="BH107" s="126" t="s">
        <v>17</v>
      </c>
      <c r="BI107" s="15" t="s">
        <v>21</v>
      </c>
      <c r="BJ107" s="131" t="s">
        <v>227</v>
      </c>
      <c r="BK107" s="149" t="s">
        <v>223</v>
      </c>
      <c r="BL107" s="149" t="s">
        <v>224</v>
      </c>
      <c r="BM107" s="127" t="s">
        <v>222</v>
      </c>
      <c r="BN107" s="132" t="s">
        <v>230</v>
      </c>
      <c r="BO107" s="17" t="s">
        <v>296</v>
      </c>
      <c r="BS107" s="148" t="s">
        <v>165</v>
      </c>
      <c r="BT107" s="126" t="s">
        <v>14</v>
      </c>
      <c r="BU107" s="126" t="s">
        <v>15</v>
      </c>
      <c r="BV107" s="126" t="s">
        <v>29</v>
      </c>
      <c r="BW107" s="126" t="s">
        <v>16</v>
      </c>
      <c r="BX107" s="126" t="s">
        <v>59</v>
      </c>
      <c r="BY107" s="126" t="s">
        <v>17</v>
      </c>
      <c r="BZ107" s="15" t="s">
        <v>21</v>
      </c>
      <c r="CA107" s="131" t="s">
        <v>227</v>
      </c>
      <c r="CB107" s="149" t="s">
        <v>223</v>
      </c>
      <c r="CC107" s="149" t="s">
        <v>224</v>
      </c>
      <c r="CD107" s="127" t="s">
        <v>222</v>
      </c>
      <c r="CE107" s="132" t="s">
        <v>230</v>
      </c>
      <c r="CF107" s="17" t="s">
        <v>296</v>
      </c>
    </row>
    <row r="108" spans="36:84" x14ac:dyDescent="0.2">
      <c r="AJ108" t="s">
        <v>307</v>
      </c>
      <c r="AK108" s="15">
        <v>3</v>
      </c>
      <c r="AL108" s="15">
        <v>8</v>
      </c>
      <c r="AM108" s="137" t="s">
        <v>30</v>
      </c>
      <c r="AN108" s="15" t="s">
        <v>295</v>
      </c>
      <c r="AO108" s="15" t="s">
        <v>60</v>
      </c>
      <c r="AP108" s="15">
        <f t="shared" ref="AP108" si="48">AR108*AQ108</f>
        <v>14.4</v>
      </c>
      <c r="AQ108" s="128">
        <v>0.9</v>
      </c>
      <c r="AR108" s="131">
        <f>(AS108+AT108)</f>
        <v>16</v>
      </c>
      <c r="AS108" s="150">
        <v>0</v>
      </c>
      <c r="AT108" s="42">
        <v>16</v>
      </c>
      <c r="AU108" s="42">
        <v>48.7</v>
      </c>
      <c r="AV108" s="135" t="s">
        <v>30</v>
      </c>
      <c r="AW108" s="15" t="s">
        <v>297</v>
      </c>
      <c r="BB108" t="s">
        <v>307</v>
      </c>
      <c r="BC108" s="15">
        <v>3</v>
      </c>
      <c r="BD108" s="15">
        <v>8</v>
      </c>
      <c r="BE108" s="137" t="s">
        <v>30</v>
      </c>
      <c r="BF108" s="15" t="s">
        <v>295</v>
      </c>
      <c r="BG108" s="15" t="s">
        <v>60</v>
      </c>
      <c r="BH108" s="15">
        <f t="shared" ref="BH108" si="49">BJ108*BI108</f>
        <v>14.4</v>
      </c>
      <c r="BI108" s="128">
        <v>0.9</v>
      </c>
      <c r="BJ108" s="131">
        <f>(BK108+BL108)</f>
        <v>16</v>
      </c>
      <c r="BK108" s="150">
        <v>0</v>
      </c>
      <c r="BL108" s="42">
        <v>16</v>
      </c>
      <c r="BM108" s="42">
        <v>48.7</v>
      </c>
      <c r="BN108" s="135" t="s">
        <v>30</v>
      </c>
      <c r="BO108" s="15" t="s">
        <v>297</v>
      </c>
      <c r="BS108" t="s">
        <v>307</v>
      </c>
      <c r="BT108" s="15">
        <v>3</v>
      </c>
      <c r="BU108" s="15">
        <v>8</v>
      </c>
      <c r="BV108" s="137" t="s">
        <v>30</v>
      </c>
      <c r="BW108" s="15" t="s">
        <v>295</v>
      </c>
      <c r="BX108" s="15" t="s">
        <v>60</v>
      </c>
      <c r="BY108" s="15">
        <f t="shared" ref="BY108" si="50">CA108*BZ108</f>
        <v>14.4</v>
      </c>
      <c r="BZ108" s="128">
        <v>0.9</v>
      </c>
      <c r="CA108" s="131">
        <f>(CB108+CC108)</f>
        <v>16</v>
      </c>
      <c r="CB108" s="150">
        <v>0</v>
      </c>
      <c r="CC108" s="42">
        <v>16</v>
      </c>
      <c r="CD108" s="42">
        <v>48.7</v>
      </c>
      <c r="CE108" s="135" t="s">
        <v>30</v>
      </c>
      <c r="CF108" s="15" t="s">
        <v>297</v>
      </c>
    </row>
    <row r="110" spans="36:84" x14ac:dyDescent="0.2">
      <c r="AJ110" s="148" t="s">
        <v>165</v>
      </c>
      <c r="AK110" s="126" t="s">
        <v>14</v>
      </c>
      <c r="AL110" s="126" t="s">
        <v>15</v>
      </c>
      <c r="AM110" s="126" t="s">
        <v>29</v>
      </c>
      <c r="AN110" s="126" t="s">
        <v>16</v>
      </c>
      <c r="AO110" s="126" t="s">
        <v>59</v>
      </c>
      <c r="AP110" s="126" t="s">
        <v>17</v>
      </c>
      <c r="AQ110" s="15" t="s">
        <v>21</v>
      </c>
      <c r="AR110" s="131" t="s">
        <v>227</v>
      </c>
      <c r="AS110" s="149" t="s">
        <v>223</v>
      </c>
      <c r="AT110" s="149" t="s">
        <v>224</v>
      </c>
      <c r="AU110" s="127" t="s">
        <v>222</v>
      </c>
      <c r="AV110" s="132" t="s">
        <v>230</v>
      </c>
      <c r="AW110" s="17" t="s">
        <v>296</v>
      </c>
      <c r="BB110" s="148" t="s">
        <v>165</v>
      </c>
      <c r="BC110" s="126" t="s">
        <v>14</v>
      </c>
      <c r="BD110" s="126" t="s">
        <v>15</v>
      </c>
      <c r="BE110" s="126" t="s">
        <v>29</v>
      </c>
      <c r="BF110" s="126" t="s">
        <v>16</v>
      </c>
      <c r="BG110" s="126" t="s">
        <v>59</v>
      </c>
      <c r="BH110" s="126" t="s">
        <v>17</v>
      </c>
      <c r="BI110" s="15" t="s">
        <v>21</v>
      </c>
      <c r="BJ110" s="131" t="s">
        <v>227</v>
      </c>
      <c r="BK110" s="149" t="s">
        <v>223</v>
      </c>
      <c r="BL110" s="149" t="s">
        <v>224</v>
      </c>
      <c r="BM110" s="127" t="s">
        <v>222</v>
      </c>
      <c r="BN110" s="132" t="s">
        <v>230</v>
      </c>
      <c r="BO110" s="17" t="s">
        <v>296</v>
      </c>
      <c r="BS110" s="148" t="s">
        <v>165</v>
      </c>
      <c r="BT110" s="126" t="s">
        <v>14</v>
      </c>
      <c r="BU110" s="126" t="s">
        <v>15</v>
      </c>
      <c r="BV110" s="126" t="s">
        <v>29</v>
      </c>
      <c r="BW110" s="126" t="s">
        <v>16</v>
      </c>
      <c r="BX110" s="126" t="s">
        <v>59</v>
      </c>
      <c r="BY110" s="126" t="s">
        <v>17</v>
      </c>
      <c r="BZ110" s="15" t="s">
        <v>21</v>
      </c>
      <c r="CA110" s="131" t="s">
        <v>227</v>
      </c>
      <c r="CB110" s="149" t="s">
        <v>223</v>
      </c>
      <c r="CC110" s="149" t="s">
        <v>224</v>
      </c>
      <c r="CD110" s="127" t="s">
        <v>222</v>
      </c>
      <c r="CE110" s="132" t="s">
        <v>230</v>
      </c>
      <c r="CF110" s="17" t="s">
        <v>296</v>
      </c>
    </row>
    <row r="111" spans="36:84" x14ac:dyDescent="0.2">
      <c r="AJ111" t="s">
        <v>308</v>
      </c>
      <c r="AK111" s="15">
        <v>3</v>
      </c>
      <c r="AL111" s="15">
        <v>8</v>
      </c>
      <c r="AM111" s="137" t="s">
        <v>30</v>
      </c>
      <c r="AN111" s="15" t="s">
        <v>295</v>
      </c>
      <c r="AO111" s="15" t="s">
        <v>60</v>
      </c>
      <c r="AP111" s="15">
        <f t="shared" ref="AP111" si="51">AR111*AQ111</f>
        <v>8</v>
      </c>
      <c r="AQ111" s="128">
        <v>0.8</v>
      </c>
      <c r="AR111" s="131">
        <f>(AS111+AT111)</f>
        <v>10</v>
      </c>
      <c r="AS111" s="150">
        <v>0</v>
      </c>
      <c r="AT111" s="42">
        <v>10</v>
      </c>
      <c r="AU111" s="42">
        <v>48.7</v>
      </c>
      <c r="AV111" s="135" t="s">
        <v>30</v>
      </c>
      <c r="AW111" s="15" t="s">
        <v>297</v>
      </c>
      <c r="BB111" t="s">
        <v>308</v>
      </c>
      <c r="BC111" s="15">
        <v>3</v>
      </c>
      <c r="BD111" s="15">
        <v>8</v>
      </c>
      <c r="BE111" s="137" t="s">
        <v>30</v>
      </c>
      <c r="BF111" s="15" t="s">
        <v>295</v>
      </c>
      <c r="BG111" s="15" t="s">
        <v>60</v>
      </c>
      <c r="BH111" s="15">
        <f t="shared" ref="BH111" si="52">BJ111*BI111</f>
        <v>8</v>
      </c>
      <c r="BI111" s="128">
        <v>0.8</v>
      </c>
      <c r="BJ111" s="131">
        <f>(BK111+BL111)</f>
        <v>10</v>
      </c>
      <c r="BK111" s="150">
        <v>0</v>
      </c>
      <c r="BL111" s="42">
        <v>10</v>
      </c>
      <c r="BM111" s="42">
        <v>48.7</v>
      </c>
      <c r="BN111" s="135" t="s">
        <v>30</v>
      </c>
      <c r="BO111" s="15" t="s">
        <v>297</v>
      </c>
      <c r="BS111" t="s">
        <v>308</v>
      </c>
      <c r="BT111" s="15">
        <v>3</v>
      </c>
      <c r="BU111" s="15">
        <v>8</v>
      </c>
      <c r="BV111" s="137" t="s">
        <v>30</v>
      </c>
      <c r="BW111" s="15" t="s">
        <v>295</v>
      </c>
      <c r="BX111" s="15" t="s">
        <v>60</v>
      </c>
      <c r="BY111" s="15">
        <f t="shared" ref="BY111" si="53">CA111*BZ111</f>
        <v>8</v>
      </c>
      <c r="BZ111" s="128">
        <v>0.8</v>
      </c>
      <c r="CA111" s="131">
        <f>(CB111+CC111)</f>
        <v>10</v>
      </c>
      <c r="CB111" s="150">
        <v>0</v>
      </c>
      <c r="CC111" s="42">
        <v>10</v>
      </c>
      <c r="CD111" s="42">
        <v>48.7</v>
      </c>
      <c r="CE111" s="135" t="s">
        <v>30</v>
      </c>
      <c r="CF111" s="15" t="s">
        <v>297</v>
      </c>
    </row>
    <row r="113" spans="35:84" x14ac:dyDescent="0.2">
      <c r="AJ113" s="148" t="s">
        <v>165</v>
      </c>
      <c r="AK113" s="126" t="s">
        <v>14</v>
      </c>
      <c r="AL113" s="126" t="s">
        <v>15</v>
      </c>
      <c r="AM113" s="126" t="s">
        <v>29</v>
      </c>
      <c r="AN113" s="126" t="s">
        <v>16</v>
      </c>
      <c r="AO113" s="126" t="s">
        <v>59</v>
      </c>
      <c r="AP113" s="126" t="s">
        <v>17</v>
      </c>
      <c r="AQ113" s="15" t="s">
        <v>21</v>
      </c>
      <c r="AR113" s="131" t="s">
        <v>227</v>
      </c>
      <c r="AS113" s="149" t="s">
        <v>223</v>
      </c>
      <c r="AT113" s="149" t="s">
        <v>224</v>
      </c>
      <c r="AU113" s="127" t="s">
        <v>222</v>
      </c>
      <c r="AV113" s="132" t="s">
        <v>230</v>
      </c>
      <c r="AW113" s="17" t="s">
        <v>296</v>
      </c>
      <c r="BB113" s="148" t="s">
        <v>165</v>
      </c>
      <c r="BC113" s="126" t="s">
        <v>14</v>
      </c>
      <c r="BD113" s="126" t="s">
        <v>15</v>
      </c>
      <c r="BE113" s="126" t="s">
        <v>29</v>
      </c>
      <c r="BF113" s="126" t="s">
        <v>16</v>
      </c>
      <c r="BG113" s="126" t="s">
        <v>59</v>
      </c>
      <c r="BH113" s="126" t="s">
        <v>17</v>
      </c>
      <c r="BI113" s="15" t="s">
        <v>21</v>
      </c>
      <c r="BJ113" s="131" t="s">
        <v>227</v>
      </c>
      <c r="BK113" s="149" t="s">
        <v>223</v>
      </c>
      <c r="BL113" s="149" t="s">
        <v>224</v>
      </c>
      <c r="BM113" s="127" t="s">
        <v>222</v>
      </c>
      <c r="BN113" s="132" t="s">
        <v>230</v>
      </c>
      <c r="BO113" s="17" t="s">
        <v>296</v>
      </c>
      <c r="BS113" s="148" t="s">
        <v>165</v>
      </c>
      <c r="BT113" s="126" t="s">
        <v>14</v>
      </c>
      <c r="BU113" s="126" t="s">
        <v>15</v>
      </c>
      <c r="BV113" s="126" t="s">
        <v>29</v>
      </c>
      <c r="BW113" s="126" t="s">
        <v>16</v>
      </c>
      <c r="BX113" s="126" t="s">
        <v>59</v>
      </c>
      <c r="BY113" s="126" t="s">
        <v>17</v>
      </c>
      <c r="BZ113" s="15" t="s">
        <v>21</v>
      </c>
      <c r="CA113" s="131" t="s">
        <v>227</v>
      </c>
      <c r="CB113" s="149" t="s">
        <v>223</v>
      </c>
      <c r="CC113" s="149" t="s">
        <v>224</v>
      </c>
      <c r="CD113" s="127" t="s">
        <v>222</v>
      </c>
      <c r="CE113" s="132" t="s">
        <v>230</v>
      </c>
      <c r="CF113" s="17" t="s">
        <v>296</v>
      </c>
    </row>
    <row r="114" spans="35:84" x14ac:dyDescent="0.2">
      <c r="AJ114" t="s">
        <v>309</v>
      </c>
      <c r="AK114" s="15">
        <v>3</v>
      </c>
      <c r="AL114" s="15">
        <v>8</v>
      </c>
      <c r="AM114" s="137" t="s">
        <v>30</v>
      </c>
      <c r="AN114" s="15" t="s">
        <v>295</v>
      </c>
      <c r="AO114" s="15" t="s">
        <v>60</v>
      </c>
      <c r="AP114" s="15">
        <f t="shared" ref="AP114" si="54">AR114*AQ114</f>
        <v>4</v>
      </c>
      <c r="AQ114" s="128">
        <v>0.8</v>
      </c>
      <c r="AR114" s="131">
        <f>(AS114+AT114)</f>
        <v>5</v>
      </c>
      <c r="AS114" s="150">
        <v>0</v>
      </c>
      <c r="AT114" s="42">
        <v>5</v>
      </c>
      <c r="AU114" s="42">
        <v>48.7</v>
      </c>
      <c r="AV114" s="135" t="s">
        <v>30</v>
      </c>
      <c r="AW114" s="15" t="s">
        <v>297</v>
      </c>
      <c r="BB114" t="s">
        <v>309</v>
      </c>
      <c r="BC114" s="15">
        <v>3</v>
      </c>
      <c r="BD114" s="15">
        <v>8</v>
      </c>
      <c r="BE114" s="137" t="s">
        <v>30</v>
      </c>
      <c r="BF114" s="15" t="s">
        <v>295</v>
      </c>
      <c r="BG114" s="15" t="s">
        <v>60</v>
      </c>
      <c r="BH114" s="15">
        <f t="shared" ref="BH114" si="55">BJ114*BI114</f>
        <v>4</v>
      </c>
      <c r="BI114" s="128">
        <v>0.8</v>
      </c>
      <c r="BJ114" s="131">
        <f>(BK114+BL114)</f>
        <v>5</v>
      </c>
      <c r="BK114" s="150">
        <v>0</v>
      </c>
      <c r="BL114" s="42">
        <v>5</v>
      </c>
      <c r="BM114" s="42">
        <v>48.7</v>
      </c>
      <c r="BN114" s="135" t="s">
        <v>30</v>
      </c>
      <c r="BO114" s="15" t="s">
        <v>297</v>
      </c>
      <c r="BS114" t="s">
        <v>309</v>
      </c>
      <c r="BT114" s="15">
        <v>3</v>
      </c>
      <c r="BU114" s="15">
        <v>8</v>
      </c>
      <c r="BV114" s="137" t="s">
        <v>30</v>
      </c>
      <c r="BW114" s="15" t="s">
        <v>295</v>
      </c>
      <c r="BX114" s="15" t="s">
        <v>60</v>
      </c>
      <c r="BY114" s="15">
        <f t="shared" ref="BY114" si="56">CA114*BZ114</f>
        <v>4</v>
      </c>
      <c r="BZ114" s="128">
        <v>0.8</v>
      </c>
      <c r="CA114" s="131">
        <f>(CB114+CC114)</f>
        <v>5</v>
      </c>
      <c r="CB114" s="150">
        <v>0</v>
      </c>
      <c r="CC114" s="42">
        <v>5</v>
      </c>
      <c r="CD114" s="42">
        <v>48.7</v>
      </c>
      <c r="CE114" s="135" t="s">
        <v>30</v>
      </c>
      <c r="CF114" s="15" t="s">
        <v>297</v>
      </c>
    </row>
    <row r="116" spans="35:84" x14ac:dyDescent="0.2">
      <c r="AI116" s="187"/>
      <c r="AJ116" s="148" t="s">
        <v>165</v>
      </c>
      <c r="AK116" s="126" t="s">
        <v>14</v>
      </c>
      <c r="AL116" s="126" t="s">
        <v>15</v>
      </c>
      <c r="AM116" s="126" t="s">
        <v>29</v>
      </c>
      <c r="AN116" s="126" t="s">
        <v>16</v>
      </c>
      <c r="AO116" s="126" t="s">
        <v>59</v>
      </c>
      <c r="AP116" s="126" t="s">
        <v>17</v>
      </c>
      <c r="AQ116" s="15" t="s">
        <v>21</v>
      </c>
      <c r="AR116" s="131" t="s">
        <v>227</v>
      </c>
      <c r="AS116" s="149" t="s">
        <v>223</v>
      </c>
      <c r="AT116" s="149" t="s">
        <v>224</v>
      </c>
      <c r="AU116" s="127" t="s">
        <v>222</v>
      </c>
      <c r="AV116" s="132" t="s">
        <v>230</v>
      </c>
      <c r="AW116" s="17" t="s">
        <v>296</v>
      </c>
      <c r="BA116" s="187"/>
      <c r="BB116" s="148" t="s">
        <v>165</v>
      </c>
      <c r="BC116" s="126" t="s">
        <v>14</v>
      </c>
      <c r="BD116" s="126" t="s">
        <v>15</v>
      </c>
      <c r="BE116" s="126" t="s">
        <v>29</v>
      </c>
      <c r="BF116" s="126" t="s">
        <v>16</v>
      </c>
      <c r="BG116" s="126" t="s">
        <v>59</v>
      </c>
      <c r="BH116" s="126" t="s">
        <v>17</v>
      </c>
      <c r="BI116" s="15" t="s">
        <v>21</v>
      </c>
      <c r="BJ116" s="131" t="s">
        <v>227</v>
      </c>
      <c r="BK116" s="149" t="s">
        <v>223</v>
      </c>
      <c r="BL116" s="149" t="s">
        <v>224</v>
      </c>
      <c r="BM116" s="127" t="s">
        <v>222</v>
      </c>
      <c r="BN116" s="132" t="s">
        <v>230</v>
      </c>
      <c r="BO116" s="17" t="s">
        <v>296</v>
      </c>
      <c r="BR116" s="187"/>
      <c r="BS116" s="148" t="s">
        <v>165</v>
      </c>
      <c r="BT116" s="126" t="s">
        <v>14</v>
      </c>
      <c r="BU116" s="126" t="s">
        <v>15</v>
      </c>
      <c r="BV116" s="126" t="s">
        <v>29</v>
      </c>
      <c r="BW116" s="126" t="s">
        <v>16</v>
      </c>
      <c r="BX116" s="126" t="s">
        <v>59</v>
      </c>
      <c r="BY116" s="126" t="s">
        <v>17</v>
      </c>
      <c r="BZ116" s="15" t="s">
        <v>21</v>
      </c>
      <c r="CA116" s="131" t="s">
        <v>227</v>
      </c>
      <c r="CB116" s="149" t="s">
        <v>223</v>
      </c>
      <c r="CC116" s="149" t="s">
        <v>224</v>
      </c>
      <c r="CD116" s="127" t="s">
        <v>222</v>
      </c>
      <c r="CE116" s="132" t="s">
        <v>230</v>
      </c>
      <c r="CF116" s="17" t="s">
        <v>296</v>
      </c>
    </row>
    <row r="117" spans="35:84" x14ac:dyDescent="0.2">
      <c r="AI117" s="187"/>
      <c r="AJ117" t="s">
        <v>316</v>
      </c>
      <c r="AK117" s="15">
        <v>3</v>
      </c>
      <c r="AL117" s="15">
        <v>1</v>
      </c>
      <c r="AM117" s="137" t="s">
        <v>31</v>
      </c>
      <c r="AN117" s="15" t="s">
        <v>295</v>
      </c>
      <c r="AO117" s="15" t="s">
        <v>60</v>
      </c>
      <c r="AP117" s="15">
        <f t="shared" ref="AP117" si="57">AR117*AQ117</f>
        <v>10</v>
      </c>
      <c r="AQ117" s="128">
        <v>0.8</v>
      </c>
      <c r="AR117" s="131">
        <f>(AS117+AT117)</f>
        <v>12.5</v>
      </c>
      <c r="AS117" s="150">
        <v>0</v>
      </c>
      <c r="AT117" s="42">
        <v>12.5</v>
      </c>
      <c r="AU117" s="42">
        <v>48.7</v>
      </c>
      <c r="AV117" s="135" t="s">
        <v>314</v>
      </c>
      <c r="AW117" s="15" t="s">
        <v>297</v>
      </c>
      <c r="BA117" s="187"/>
      <c r="BB117" t="s">
        <v>316</v>
      </c>
      <c r="BC117" s="15">
        <v>3</v>
      </c>
      <c r="BD117" s="15">
        <v>1</v>
      </c>
      <c r="BE117" s="137" t="s">
        <v>31</v>
      </c>
      <c r="BF117" s="15" t="s">
        <v>295</v>
      </c>
      <c r="BG117" s="15" t="s">
        <v>60</v>
      </c>
      <c r="BH117" s="15">
        <f t="shared" ref="BH117" si="58">BJ117*BI117</f>
        <v>10</v>
      </c>
      <c r="BI117" s="128">
        <v>0.8</v>
      </c>
      <c r="BJ117" s="131">
        <f>(BK117+BL117)</f>
        <v>12.5</v>
      </c>
      <c r="BK117" s="150">
        <v>0</v>
      </c>
      <c r="BL117" s="42">
        <v>12.5</v>
      </c>
      <c r="BM117" s="42">
        <v>48.7</v>
      </c>
      <c r="BN117" s="135" t="s">
        <v>314</v>
      </c>
      <c r="BO117" s="15" t="s">
        <v>297</v>
      </c>
      <c r="BR117" s="187"/>
      <c r="BS117" t="s">
        <v>316</v>
      </c>
      <c r="BT117" s="15">
        <v>3</v>
      </c>
      <c r="BU117" s="15">
        <v>1</v>
      </c>
      <c r="BV117" s="137" t="s">
        <v>31</v>
      </c>
      <c r="BW117" s="15" t="s">
        <v>295</v>
      </c>
      <c r="BX117" s="15" t="s">
        <v>60</v>
      </c>
      <c r="BY117" s="15">
        <f t="shared" ref="BY117" si="59">CA117*BZ117</f>
        <v>10</v>
      </c>
      <c r="BZ117" s="128">
        <v>0.8</v>
      </c>
      <c r="CA117" s="131">
        <f>(CB117+CC117)</f>
        <v>12.5</v>
      </c>
      <c r="CB117" s="150">
        <v>0</v>
      </c>
      <c r="CC117" s="42">
        <v>12.5</v>
      </c>
      <c r="CD117" s="42">
        <v>48.7</v>
      </c>
      <c r="CE117" s="135" t="s">
        <v>314</v>
      </c>
      <c r="CF117" s="15" t="s">
        <v>297</v>
      </c>
    </row>
    <row r="118" spans="35:84" x14ac:dyDescent="0.2">
      <c r="AI118" s="187"/>
      <c r="BA118" s="187"/>
      <c r="BR118" s="187"/>
    </row>
    <row r="119" spans="35:84" x14ac:dyDescent="0.2">
      <c r="AI119" s="187"/>
      <c r="AJ119" s="148" t="s">
        <v>165</v>
      </c>
      <c r="AK119" s="126" t="s">
        <v>14</v>
      </c>
      <c r="AL119" s="126" t="s">
        <v>15</v>
      </c>
      <c r="AM119" s="126" t="s">
        <v>29</v>
      </c>
      <c r="AN119" s="126" t="s">
        <v>16</v>
      </c>
      <c r="AO119" s="126" t="s">
        <v>59</v>
      </c>
      <c r="AP119" s="126" t="s">
        <v>17</v>
      </c>
      <c r="AQ119" s="15" t="s">
        <v>21</v>
      </c>
      <c r="AR119" s="131" t="s">
        <v>227</v>
      </c>
      <c r="AS119" s="149" t="s">
        <v>223</v>
      </c>
      <c r="AT119" s="149" t="s">
        <v>224</v>
      </c>
      <c r="AU119" s="127" t="s">
        <v>222</v>
      </c>
      <c r="AV119" s="132" t="s">
        <v>230</v>
      </c>
      <c r="AW119" s="17" t="s">
        <v>296</v>
      </c>
      <c r="BA119" s="187"/>
      <c r="BB119" s="148" t="s">
        <v>165</v>
      </c>
      <c r="BC119" s="126" t="s">
        <v>14</v>
      </c>
      <c r="BD119" s="126" t="s">
        <v>15</v>
      </c>
      <c r="BE119" s="126" t="s">
        <v>29</v>
      </c>
      <c r="BF119" s="126" t="s">
        <v>16</v>
      </c>
      <c r="BG119" s="126" t="s">
        <v>59</v>
      </c>
      <c r="BH119" s="126" t="s">
        <v>17</v>
      </c>
      <c r="BI119" s="15" t="s">
        <v>21</v>
      </c>
      <c r="BJ119" s="131" t="s">
        <v>227</v>
      </c>
      <c r="BK119" s="149" t="s">
        <v>223</v>
      </c>
      <c r="BL119" s="149" t="s">
        <v>224</v>
      </c>
      <c r="BM119" s="127" t="s">
        <v>222</v>
      </c>
      <c r="BN119" s="132" t="s">
        <v>230</v>
      </c>
      <c r="BO119" s="17" t="s">
        <v>296</v>
      </c>
      <c r="BR119" s="187"/>
      <c r="BS119" s="148" t="s">
        <v>165</v>
      </c>
      <c r="BT119" s="126" t="s">
        <v>14</v>
      </c>
      <c r="BU119" s="126" t="s">
        <v>15</v>
      </c>
      <c r="BV119" s="126" t="s">
        <v>29</v>
      </c>
      <c r="BW119" s="126" t="s">
        <v>16</v>
      </c>
      <c r="BX119" s="126" t="s">
        <v>59</v>
      </c>
      <c r="BY119" s="126" t="s">
        <v>17</v>
      </c>
      <c r="BZ119" s="15" t="s">
        <v>21</v>
      </c>
      <c r="CA119" s="131" t="s">
        <v>227</v>
      </c>
      <c r="CB119" s="149" t="s">
        <v>223</v>
      </c>
      <c r="CC119" s="149" t="s">
        <v>224</v>
      </c>
      <c r="CD119" s="127" t="s">
        <v>222</v>
      </c>
      <c r="CE119" s="132" t="s">
        <v>230</v>
      </c>
      <c r="CF119" s="17" t="s">
        <v>296</v>
      </c>
    </row>
    <row r="120" spans="35:84" x14ac:dyDescent="0.2">
      <c r="AI120" s="187"/>
      <c r="AJ120" t="s">
        <v>315</v>
      </c>
      <c r="AK120" s="15">
        <v>3</v>
      </c>
      <c r="AL120" s="15">
        <v>6</v>
      </c>
      <c r="AM120" s="137" t="s">
        <v>31</v>
      </c>
      <c r="AN120" s="15" t="s">
        <v>43</v>
      </c>
      <c r="AO120" s="15" t="s">
        <v>18</v>
      </c>
      <c r="AP120" s="15">
        <f t="shared" ref="AP120" si="60">AR120*AQ120</f>
        <v>10</v>
      </c>
      <c r="AQ120" s="128">
        <v>0.8</v>
      </c>
      <c r="AR120" s="131">
        <f>(AS120+AT120)</f>
        <v>12.5</v>
      </c>
      <c r="AS120" s="150">
        <v>0</v>
      </c>
      <c r="AT120" s="42">
        <v>12.5</v>
      </c>
      <c r="AU120" s="42">
        <v>48.7</v>
      </c>
      <c r="AV120" s="135" t="s">
        <v>314</v>
      </c>
      <c r="AW120" s="15" t="s">
        <v>297</v>
      </c>
      <c r="BA120" s="187"/>
      <c r="BB120" t="s">
        <v>315</v>
      </c>
      <c r="BC120" s="15">
        <v>3</v>
      </c>
      <c r="BD120" s="15">
        <v>6</v>
      </c>
      <c r="BE120" s="137" t="s">
        <v>31</v>
      </c>
      <c r="BF120" s="15" t="s">
        <v>43</v>
      </c>
      <c r="BG120" s="15" t="s">
        <v>18</v>
      </c>
      <c r="BH120" s="15">
        <f t="shared" ref="BH120" si="61">BJ120*BI120</f>
        <v>10</v>
      </c>
      <c r="BI120" s="128">
        <v>0.8</v>
      </c>
      <c r="BJ120" s="131">
        <f>(BK120+BL120)</f>
        <v>12.5</v>
      </c>
      <c r="BK120" s="150">
        <v>0</v>
      </c>
      <c r="BL120" s="42">
        <v>12.5</v>
      </c>
      <c r="BM120" s="42">
        <v>48.7</v>
      </c>
      <c r="BN120" s="135" t="s">
        <v>314</v>
      </c>
      <c r="BO120" s="15" t="s">
        <v>297</v>
      </c>
      <c r="BR120" s="187"/>
      <c r="BS120" t="s">
        <v>315</v>
      </c>
      <c r="BT120" s="15">
        <v>3</v>
      </c>
      <c r="BU120" s="15">
        <v>6</v>
      </c>
      <c r="BV120" s="137" t="s">
        <v>31</v>
      </c>
      <c r="BW120" s="15" t="s">
        <v>43</v>
      </c>
      <c r="BX120" s="15" t="s">
        <v>18</v>
      </c>
      <c r="BY120" s="15">
        <f t="shared" ref="BY120" si="62">CA120*BZ120</f>
        <v>10</v>
      </c>
      <c r="BZ120" s="128">
        <v>0.8</v>
      </c>
      <c r="CA120" s="131">
        <f>(CB120+CC120)</f>
        <v>12.5</v>
      </c>
      <c r="CB120" s="150">
        <v>0</v>
      </c>
      <c r="CC120" s="42">
        <v>12.5</v>
      </c>
      <c r="CD120" s="42">
        <v>48.7</v>
      </c>
      <c r="CE120" s="135" t="s">
        <v>314</v>
      </c>
      <c r="CF120" s="15" t="s">
        <v>297</v>
      </c>
    </row>
    <row r="122" spans="35:84" x14ac:dyDescent="0.2">
      <c r="AJ122" s="148" t="s">
        <v>165</v>
      </c>
      <c r="AK122" s="126" t="s">
        <v>14</v>
      </c>
      <c r="AL122" s="126" t="s">
        <v>15</v>
      </c>
      <c r="AM122" s="126" t="s">
        <v>29</v>
      </c>
      <c r="AN122" s="126" t="s">
        <v>16</v>
      </c>
      <c r="AO122" s="126" t="s">
        <v>59</v>
      </c>
      <c r="AP122" s="126" t="s">
        <v>17</v>
      </c>
      <c r="AQ122" s="15" t="s">
        <v>21</v>
      </c>
      <c r="AR122" s="131" t="s">
        <v>227</v>
      </c>
      <c r="AS122" s="149" t="s">
        <v>223</v>
      </c>
      <c r="AT122" s="149" t="s">
        <v>224</v>
      </c>
      <c r="AU122" s="127" t="s">
        <v>222</v>
      </c>
      <c r="AV122" s="132" t="s">
        <v>230</v>
      </c>
      <c r="AW122" s="17" t="s">
        <v>296</v>
      </c>
      <c r="BB122" s="148" t="s">
        <v>165</v>
      </c>
      <c r="BC122" s="126" t="s">
        <v>14</v>
      </c>
      <c r="BD122" s="126" t="s">
        <v>15</v>
      </c>
      <c r="BE122" s="126" t="s">
        <v>29</v>
      </c>
      <c r="BF122" s="126" t="s">
        <v>16</v>
      </c>
      <c r="BG122" s="126" t="s">
        <v>59</v>
      </c>
      <c r="BH122" s="126" t="s">
        <v>17</v>
      </c>
      <c r="BI122" s="15" t="s">
        <v>21</v>
      </c>
      <c r="BJ122" s="131" t="s">
        <v>227</v>
      </c>
      <c r="BK122" s="149" t="s">
        <v>223</v>
      </c>
      <c r="BL122" s="149" t="s">
        <v>224</v>
      </c>
      <c r="BM122" s="127" t="s">
        <v>222</v>
      </c>
      <c r="BN122" s="132" t="s">
        <v>230</v>
      </c>
      <c r="BO122" s="17" t="s">
        <v>296</v>
      </c>
      <c r="BS122" s="148" t="s">
        <v>165</v>
      </c>
      <c r="BT122" s="126" t="s">
        <v>14</v>
      </c>
      <c r="BU122" s="126" t="s">
        <v>15</v>
      </c>
      <c r="BV122" s="126" t="s">
        <v>29</v>
      </c>
      <c r="BW122" s="126" t="s">
        <v>16</v>
      </c>
      <c r="BX122" s="126" t="s">
        <v>59</v>
      </c>
      <c r="BY122" s="126" t="s">
        <v>17</v>
      </c>
      <c r="BZ122" s="15" t="s">
        <v>21</v>
      </c>
      <c r="CA122" s="131" t="s">
        <v>227</v>
      </c>
      <c r="CB122" s="149" t="s">
        <v>223</v>
      </c>
      <c r="CC122" s="149" t="s">
        <v>224</v>
      </c>
      <c r="CD122" s="127" t="s">
        <v>222</v>
      </c>
      <c r="CE122" s="132" t="s">
        <v>230</v>
      </c>
      <c r="CF122" s="17" t="s">
        <v>296</v>
      </c>
    </row>
    <row r="123" spans="35:84" x14ac:dyDescent="0.2">
      <c r="AJ123" t="s">
        <v>317</v>
      </c>
      <c r="AK123" s="15">
        <v>4</v>
      </c>
      <c r="AL123" s="15">
        <v>4</v>
      </c>
      <c r="AM123" s="137" t="s">
        <v>30</v>
      </c>
      <c r="AN123" s="15" t="s">
        <v>18</v>
      </c>
      <c r="AO123" s="15" t="s">
        <v>60</v>
      </c>
      <c r="AP123" s="15">
        <f t="shared" ref="AP123" si="63">AR123*AQ123</f>
        <v>11.9</v>
      </c>
      <c r="AQ123" s="128">
        <v>0.85</v>
      </c>
      <c r="AR123" s="131">
        <f>(AS123+AT123)</f>
        <v>14</v>
      </c>
      <c r="AS123" s="150">
        <v>0</v>
      </c>
      <c r="AT123" s="42">
        <v>14</v>
      </c>
      <c r="AU123" s="42">
        <v>48.7</v>
      </c>
      <c r="AV123" s="135" t="s">
        <v>30</v>
      </c>
      <c r="AW123" s="15" t="s">
        <v>300</v>
      </c>
      <c r="BB123" t="s">
        <v>317</v>
      </c>
      <c r="BC123" s="15">
        <v>4</v>
      </c>
      <c r="BD123" s="15">
        <v>4</v>
      </c>
      <c r="BE123" s="137" t="s">
        <v>30</v>
      </c>
      <c r="BF123" s="15" t="s">
        <v>18</v>
      </c>
      <c r="BG123" s="15" t="s">
        <v>60</v>
      </c>
      <c r="BH123" s="15">
        <f t="shared" ref="BH123" si="64">BJ123*BI123</f>
        <v>11.9</v>
      </c>
      <c r="BI123" s="128">
        <v>0.85</v>
      </c>
      <c r="BJ123" s="131">
        <f>(BK123+BL123)</f>
        <v>14</v>
      </c>
      <c r="BK123" s="150">
        <v>0</v>
      </c>
      <c r="BL123" s="42">
        <v>14</v>
      </c>
      <c r="BM123" s="42">
        <v>48.7</v>
      </c>
      <c r="BN123" s="135" t="s">
        <v>30</v>
      </c>
      <c r="BO123" s="15" t="s">
        <v>300</v>
      </c>
      <c r="BS123" t="s">
        <v>317</v>
      </c>
      <c r="BT123" s="15">
        <v>4</v>
      </c>
      <c r="BU123" s="15">
        <v>4</v>
      </c>
      <c r="BV123" s="137" t="s">
        <v>30</v>
      </c>
      <c r="BW123" s="15" t="s">
        <v>18</v>
      </c>
      <c r="BX123" s="15" t="s">
        <v>60</v>
      </c>
      <c r="BY123" s="15">
        <f t="shared" ref="BY123" si="65">CA123*BZ123</f>
        <v>11.9</v>
      </c>
      <c r="BZ123" s="128">
        <v>0.85</v>
      </c>
      <c r="CA123" s="131">
        <f>(CB123+CC123)</f>
        <v>14</v>
      </c>
      <c r="CB123" s="150">
        <v>0</v>
      </c>
      <c r="CC123" s="42">
        <v>14</v>
      </c>
      <c r="CD123" s="42">
        <v>48.7</v>
      </c>
      <c r="CE123" s="135" t="s">
        <v>30</v>
      </c>
      <c r="CF123" s="15" t="s">
        <v>300</v>
      </c>
    </row>
    <row r="125" spans="35:84" x14ac:dyDescent="0.2">
      <c r="AJ125" s="148" t="s">
        <v>165</v>
      </c>
      <c r="AK125" s="126" t="s">
        <v>14</v>
      </c>
      <c r="AL125" s="126" t="s">
        <v>15</v>
      </c>
      <c r="AM125" s="126" t="s">
        <v>29</v>
      </c>
      <c r="AN125" s="126" t="s">
        <v>16</v>
      </c>
      <c r="AO125" s="126" t="s">
        <v>59</v>
      </c>
      <c r="AP125" s="126" t="s">
        <v>17</v>
      </c>
      <c r="AQ125" s="15" t="s">
        <v>21</v>
      </c>
      <c r="AR125" s="131" t="s">
        <v>227</v>
      </c>
      <c r="AS125" s="149" t="s">
        <v>223</v>
      </c>
      <c r="AT125" s="149" t="s">
        <v>224</v>
      </c>
      <c r="AU125" s="127" t="s">
        <v>222</v>
      </c>
      <c r="AV125" s="132" t="s">
        <v>230</v>
      </c>
      <c r="AW125" s="17" t="s">
        <v>296</v>
      </c>
      <c r="BB125" s="148" t="s">
        <v>165</v>
      </c>
      <c r="BC125" s="126" t="s">
        <v>14</v>
      </c>
      <c r="BD125" s="126" t="s">
        <v>15</v>
      </c>
      <c r="BE125" s="126" t="s">
        <v>29</v>
      </c>
      <c r="BF125" s="126" t="s">
        <v>16</v>
      </c>
      <c r="BG125" s="126" t="s">
        <v>59</v>
      </c>
      <c r="BH125" s="126" t="s">
        <v>17</v>
      </c>
      <c r="BI125" s="15" t="s">
        <v>21</v>
      </c>
      <c r="BJ125" s="131" t="s">
        <v>227</v>
      </c>
      <c r="BK125" s="149" t="s">
        <v>223</v>
      </c>
      <c r="BL125" s="149" t="s">
        <v>224</v>
      </c>
      <c r="BM125" s="127" t="s">
        <v>222</v>
      </c>
      <c r="BN125" s="132" t="s">
        <v>230</v>
      </c>
      <c r="BO125" s="17" t="s">
        <v>296</v>
      </c>
      <c r="BS125" s="148" t="s">
        <v>165</v>
      </c>
      <c r="BT125" s="126" t="s">
        <v>14</v>
      </c>
      <c r="BU125" s="126" t="s">
        <v>15</v>
      </c>
      <c r="BV125" s="126" t="s">
        <v>29</v>
      </c>
      <c r="BW125" s="126" t="s">
        <v>16</v>
      </c>
      <c r="BX125" s="126" t="s">
        <v>59</v>
      </c>
      <c r="BY125" s="126" t="s">
        <v>17</v>
      </c>
      <c r="BZ125" s="15" t="s">
        <v>21</v>
      </c>
      <c r="CA125" s="131" t="s">
        <v>227</v>
      </c>
      <c r="CB125" s="149" t="s">
        <v>223</v>
      </c>
      <c r="CC125" s="149" t="s">
        <v>224</v>
      </c>
      <c r="CD125" s="127" t="s">
        <v>222</v>
      </c>
      <c r="CE125" s="132" t="s">
        <v>230</v>
      </c>
      <c r="CF125" s="17" t="s">
        <v>296</v>
      </c>
    </row>
    <row r="126" spans="35:84" x14ac:dyDescent="0.2">
      <c r="AJ126" t="s">
        <v>318</v>
      </c>
      <c r="AK126" s="15">
        <v>3</v>
      </c>
      <c r="AL126" s="15">
        <v>12</v>
      </c>
      <c r="AM126" s="137" t="s">
        <v>30</v>
      </c>
      <c r="AN126" s="15" t="s">
        <v>295</v>
      </c>
      <c r="AO126" s="15" t="s">
        <v>60</v>
      </c>
      <c r="AP126" s="15">
        <f t="shared" ref="AP126" si="66">AR126*AQ126</f>
        <v>5.0999999999999996</v>
      </c>
      <c r="AQ126" s="128">
        <v>0.85</v>
      </c>
      <c r="AR126" s="131">
        <f>(AS126+AT126)</f>
        <v>6</v>
      </c>
      <c r="AS126" s="150">
        <v>0</v>
      </c>
      <c r="AT126" s="42">
        <v>6</v>
      </c>
      <c r="AU126" s="42">
        <v>48.7</v>
      </c>
      <c r="AV126" s="135" t="s">
        <v>30</v>
      </c>
      <c r="AW126" s="15" t="s">
        <v>319</v>
      </c>
      <c r="BB126" t="s">
        <v>318</v>
      </c>
      <c r="BC126" s="15">
        <v>3</v>
      </c>
      <c r="BD126" s="15">
        <v>12</v>
      </c>
      <c r="BE126" s="137" t="s">
        <v>30</v>
      </c>
      <c r="BF126" s="15" t="s">
        <v>295</v>
      </c>
      <c r="BG126" s="15" t="s">
        <v>60</v>
      </c>
      <c r="BH126" s="15">
        <f t="shared" ref="BH126" si="67">BJ126*BI126</f>
        <v>5.0999999999999996</v>
      </c>
      <c r="BI126" s="128">
        <v>0.85</v>
      </c>
      <c r="BJ126" s="131">
        <f>(BK126+BL126)</f>
        <v>6</v>
      </c>
      <c r="BK126" s="150">
        <v>0</v>
      </c>
      <c r="BL126" s="42">
        <v>6</v>
      </c>
      <c r="BM126" s="42">
        <v>48.7</v>
      </c>
      <c r="BN126" s="135" t="s">
        <v>30</v>
      </c>
      <c r="BO126" s="15" t="s">
        <v>319</v>
      </c>
      <c r="BS126" t="s">
        <v>318</v>
      </c>
      <c r="BT126" s="15">
        <v>3</v>
      </c>
      <c r="BU126" s="15">
        <v>12</v>
      </c>
      <c r="BV126" s="137" t="s">
        <v>30</v>
      </c>
      <c r="BW126" s="15" t="s">
        <v>295</v>
      </c>
      <c r="BX126" s="15" t="s">
        <v>60</v>
      </c>
      <c r="BY126" s="15">
        <f t="shared" ref="BY126" si="68">CA126*BZ126</f>
        <v>5.0999999999999996</v>
      </c>
      <c r="BZ126" s="128">
        <v>0.85</v>
      </c>
      <c r="CA126" s="131">
        <f>(CB126+CC126)</f>
        <v>6</v>
      </c>
      <c r="CB126" s="150">
        <v>0</v>
      </c>
      <c r="CC126" s="42">
        <v>6</v>
      </c>
      <c r="CD126" s="42">
        <v>48.7</v>
      </c>
      <c r="CE126" s="135" t="s">
        <v>30</v>
      </c>
      <c r="CF126" s="15" t="s">
        <v>319</v>
      </c>
    </row>
    <row r="128" spans="35:84" x14ac:dyDescent="0.2">
      <c r="AJ128" s="148" t="s">
        <v>165</v>
      </c>
      <c r="AK128" s="126" t="s">
        <v>14</v>
      </c>
      <c r="AL128" s="126" t="s">
        <v>15</v>
      </c>
      <c r="AM128" s="126" t="s">
        <v>29</v>
      </c>
      <c r="AN128" s="126" t="s">
        <v>16</v>
      </c>
      <c r="AO128" s="126" t="s">
        <v>59</v>
      </c>
      <c r="AP128" s="126" t="s">
        <v>17</v>
      </c>
      <c r="AQ128" s="15" t="s">
        <v>21</v>
      </c>
      <c r="AR128" s="131" t="s">
        <v>227</v>
      </c>
      <c r="AS128" s="149" t="s">
        <v>223</v>
      </c>
      <c r="AT128" s="149" t="s">
        <v>224</v>
      </c>
      <c r="AU128" s="127" t="s">
        <v>222</v>
      </c>
      <c r="AV128" s="132" t="s">
        <v>230</v>
      </c>
      <c r="AW128" s="17" t="s">
        <v>296</v>
      </c>
      <c r="BB128" s="148" t="s">
        <v>165</v>
      </c>
      <c r="BC128" s="126" t="s">
        <v>14</v>
      </c>
      <c r="BD128" s="126" t="s">
        <v>15</v>
      </c>
      <c r="BE128" s="126" t="s">
        <v>29</v>
      </c>
      <c r="BF128" s="126" t="s">
        <v>16</v>
      </c>
      <c r="BG128" s="126" t="s">
        <v>59</v>
      </c>
      <c r="BH128" s="126" t="s">
        <v>17</v>
      </c>
      <c r="BI128" s="15" t="s">
        <v>21</v>
      </c>
      <c r="BJ128" s="131" t="s">
        <v>227</v>
      </c>
      <c r="BK128" s="149" t="s">
        <v>223</v>
      </c>
      <c r="BL128" s="149" t="s">
        <v>224</v>
      </c>
      <c r="BM128" s="127" t="s">
        <v>222</v>
      </c>
      <c r="BN128" s="132" t="s">
        <v>230</v>
      </c>
      <c r="BO128" s="17" t="s">
        <v>296</v>
      </c>
      <c r="BS128" s="148" t="s">
        <v>165</v>
      </c>
      <c r="BT128" s="126" t="s">
        <v>14</v>
      </c>
      <c r="BU128" s="126" t="s">
        <v>15</v>
      </c>
      <c r="BV128" s="126" t="s">
        <v>29</v>
      </c>
      <c r="BW128" s="126" t="s">
        <v>16</v>
      </c>
      <c r="BX128" s="126" t="s">
        <v>59</v>
      </c>
      <c r="BY128" s="126" t="s">
        <v>17</v>
      </c>
      <c r="BZ128" s="15" t="s">
        <v>21</v>
      </c>
      <c r="CA128" s="131" t="s">
        <v>227</v>
      </c>
      <c r="CB128" s="149" t="s">
        <v>223</v>
      </c>
      <c r="CC128" s="149" t="s">
        <v>224</v>
      </c>
      <c r="CD128" s="127" t="s">
        <v>222</v>
      </c>
      <c r="CE128" s="132" t="s">
        <v>230</v>
      </c>
      <c r="CF128" s="17" t="s">
        <v>296</v>
      </c>
    </row>
    <row r="129" spans="35:84" x14ac:dyDescent="0.2">
      <c r="AJ129" t="s">
        <v>320</v>
      </c>
      <c r="AK129" s="15">
        <v>3</v>
      </c>
      <c r="AL129" s="15">
        <v>8</v>
      </c>
      <c r="AM129" s="137" t="s">
        <v>30</v>
      </c>
      <c r="AN129" s="15" t="s">
        <v>272</v>
      </c>
      <c r="AO129" s="15" t="s">
        <v>60</v>
      </c>
      <c r="AP129" s="15">
        <f t="shared" ref="AP129" si="69">AR129*AQ129</f>
        <v>2</v>
      </c>
      <c r="AQ129" s="128">
        <v>0.8</v>
      </c>
      <c r="AR129" s="131">
        <f>(AS129+AT129)</f>
        <v>2.5</v>
      </c>
      <c r="AS129" s="150">
        <v>0</v>
      </c>
      <c r="AT129" s="42">
        <v>2.5</v>
      </c>
      <c r="AU129" s="42">
        <v>48.7</v>
      </c>
      <c r="AV129" s="135" t="s">
        <v>30</v>
      </c>
      <c r="AW129" s="15" t="s">
        <v>297</v>
      </c>
      <c r="BB129" t="s">
        <v>320</v>
      </c>
      <c r="BC129" s="15">
        <v>3</v>
      </c>
      <c r="BD129" s="15">
        <v>8</v>
      </c>
      <c r="BE129" s="137" t="s">
        <v>30</v>
      </c>
      <c r="BF129" s="15" t="s">
        <v>272</v>
      </c>
      <c r="BG129" s="15" t="s">
        <v>60</v>
      </c>
      <c r="BH129" s="15">
        <f t="shared" ref="BH129" si="70">BJ129*BI129</f>
        <v>2</v>
      </c>
      <c r="BI129" s="128">
        <v>0.8</v>
      </c>
      <c r="BJ129" s="131">
        <f>(BK129+BL129)</f>
        <v>2.5</v>
      </c>
      <c r="BK129" s="150">
        <v>0</v>
      </c>
      <c r="BL129" s="42">
        <v>2.5</v>
      </c>
      <c r="BM129" s="42">
        <v>48.7</v>
      </c>
      <c r="BN129" s="135" t="s">
        <v>30</v>
      </c>
      <c r="BO129" s="15" t="s">
        <v>297</v>
      </c>
      <c r="BS129" t="s">
        <v>320</v>
      </c>
      <c r="BT129" s="15">
        <v>3</v>
      </c>
      <c r="BU129" s="15">
        <v>8</v>
      </c>
      <c r="BV129" s="137" t="s">
        <v>30</v>
      </c>
      <c r="BW129" s="15" t="s">
        <v>272</v>
      </c>
      <c r="BX129" s="15" t="s">
        <v>60</v>
      </c>
      <c r="BY129" s="15">
        <f t="shared" ref="BY129" si="71">CA129*BZ129</f>
        <v>2</v>
      </c>
      <c r="BZ129" s="128">
        <v>0.8</v>
      </c>
      <c r="CA129" s="131">
        <f>(CB129+CC129)</f>
        <v>2.5</v>
      </c>
      <c r="CB129" s="150">
        <v>0</v>
      </c>
      <c r="CC129" s="42">
        <v>2.5</v>
      </c>
      <c r="CD129" s="42">
        <v>48.7</v>
      </c>
      <c r="CE129" s="135" t="s">
        <v>30</v>
      </c>
      <c r="CF129" s="15" t="s">
        <v>297</v>
      </c>
    </row>
    <row r="131" spans="35:84" x14ac:dyDescent="0.2">
      <c r="AJ131" s="148" t="s">
        <v>165</v>
      </c>
      <c r="AK131" s="126" t="s">
        <v>14</v>
      </c>
      <c r="AL131" s="126" t="s">
        <v>15</v>
      </c>
      <c r="AM131" s="126" t="s">
        <v>29</v>
      </c>
      <c r="AN131" s="126" t="s">
        <v>16</v>
      </c>
      <c r="AO131" s="126" t="s">
        <v>59</v>
      </c>
      <c r="AP131" s="126" t="s">
        <v>17</v>
      </c>
      <c r="AQ131" s="15" t="s">
        <v>21</v>
      </c>
      <c r="AR131" s="131" t="s">
        <v>227</v>
      </c>
      <c r="AS131" s="149" t="s">
        <v>223</v>
      </c>
      <c r="AT131" s="149" t="s">
        <v>224</v>
      </c>
      <c r="AU131" s="127" t="s">
        <v>222</v>
      </c>
      <c r="AV131" s="132" t="s">
        <v>230</v>
      </c>
      <c r="AW131" s="17" t="s">
        <v>296</v>
      </c>
      <c r="BB131" s="148" t="s">
        <v>165</v>
      </c>
      <c r="BC131" s="126" t="s">
        <v>14</v>
      </c>
      <c r="BD131" s="126" t="s">
        <v>15</v>
      </c>
      <c r="BE131" s="126" t="s">
        <v>29</v>
      </c>
      <c r="BF131" s="126" t="s">
        <v>16</v>
      </c>
      <c r="BG131" s="126" t="s">
        <v>59</v>
      </c>
      <c r="BH131" s="126" t="s">
        <v>17</v>
      </c>
      <c r="BI131" s="15" t="s">
        <v>21</v>
      </c>
      <c r="BJ131" s="131" t="s">
        <v>227</v>
      </c>
      <c r="BK131" s="149" t="s">
        <v>223</v>
      </c>
      <c r="BL131" s="149" t="s">
        <v>224</v>
      </c>
      <c r="BM131" s="127" t="s">
        <v>222</v>
      </c>
      <c r="BN131" s="132" t="s">
        <v>230</v>
      </c>
      <c r="BO131" s="17" t="s">
        <v>296</v>
      </c>
      <c r="BS131" s="148" t="s">
        <v>165</v>
      </c>
      <c r="BT131" s="126" t="s">
        <v>14</v>
      </c>
      <c r="BU131" s="126" t="s">
        <v>15</v>
      </c>
      <c r="BV131" s="126" t="s">
        <v>29</v>
      </c>
      <c r="BW131" s="126" t="s">
        <v>16</v>
      </c>
      <c r="BX131" s="126" t="s">
        <v>59</v>
      </c>
      <c r="BY131" s="126" t="s">
        <v>17</v>
      </c>
      <c r="BZ131" s="15" t="s">
        <v>21</v>
      </c>
      <c r="CA131" s="131" t="s">
        <v>227</v>
      </c>
      <c r="CB131" s="149" t="s">
        <v>223</v>
      </c>
      <c r="CC131" s="149" t="s">
        <v>224</v>
      </c>
      <c r="CD131" s="127" t="s">
        <v>222</v>
      </c>
      <c r="CE131" s="132" t="s">
        <v>230</v>
      </c>
      <c r="CF131" s="17" t="s">
        <v>296</v>
      </c>
    </row>
    <row r="132" spans="35:84" x14ac:dyDescent="0.2">
      <c r="AJ132" t="s">
        <v>321</v>
      </c>
      <c r="AK132" s="15">
        <v>4</v>
      </c>
      <c r="AL132" s="15">
        <v>2</v>
      </c>
      <c r="AM132" s="137" t="s">
        <v>30</v>
      </c>
      <c r="AN132" s="15" t="s">
        <v>18</v>
      </c>
      <c r="AO132" s="15" t="s">
        <v>60</v>
      </c>
      <c r="AP132" s="15">
        <f t="shared" ref="AP132" si="72">AR132*AQ132</f>
        <v>-12</v>
      </c>
      <c r="AQ132" s="128">
        <v>0.8</v>
      </c>
      <c r="AR132" s="131">
        <f>(AS132+AT132)</f>
        <v>-15</v>
      </c>
      <c r="AS132" s="160" t="s">
        <v>322</v>
      </c>
      <c r="AT132" s="42">
        <v>0</v>
      </c>
      <c r="AU132" s="42">
        <v>48.7</v>
      </c>
      <c r="AV132" s="135" t="s">
        <v>30</v>
      </c>
      <c r="AW132" s="15" t="s">
        <v>297</v>
      </c>
      <c r="BB132" t="s">
        <v>321</v>
      </c>
      <c r="BC132" s="15">
        <v>4</v>
      </c>
      <c r="BD132" s="15">
        <v>2</v>
      </c>
      <c r="BE132" s="137" t="s">
        <v>30</v>
      </c>
      <c r="BF132" s="15" t="s">
        <v>18</v>
      </c>
      <c r="BG132" s="15" t="s">
        <v>60</v>
      </c>
      <c r="BH132" s="15">
        <f t="shared" ref="BH132" si="73">BJ132*BI132</f>
        <v>-12</v>
      </c>
      <c r="BI132" s="128">
        <v>0.8</v>
      </c>
      <c r="BJ132" s="131">
        <f>(BK132+BL132)</f>
        <v>-15</v>
      </c>
      <c r="BK132" s="160" t="s">
        <v>322</v>
      </c>
      <c r="BL132" s="42">
        <v>0</v>
      </c>
      <c r="BM132" s="42">
        <v>48.7</v>
      </c>
      <c r="BN132" s="135" t="s">
        <v>30</v>
      </c>
      <c r="BO132" s="15" t="s">
        <v>297</v>
      </c>
      <c r="BS132" t="s">
        <v>321</v>
      </c>
      <c r="BT132" s="15">
        <v>4</v>
      </c>
      <c r="BU132" s="15">
        <v>2</v>
      </c>
      <c r="BV132" s="137" t="s">
        <v>30</v>
      </c>
      <c r="BW132" s="15" t="s">
        <v>18</v>
      </c>
      <c r="BX132" s="15" t="s">
        <v>60</v>
      </c>
      <c r="BY132" s="15">
        <f t="shared" ref="BY132" si="74">CA132*BZ132</f>
        <v>-12</v>
      </c>
      <c r="BZ132" s="128">
        <v>0.8</v>
      </c>
      <c r="CA132" s="131">
        <f>(CB132+CC132)</f>
        <v>-15</v>
      </c>
      <c r="CB132" s="160" t="s">
        <v>322</v>
      </c>
      <c r="CC132" s="42">
        <v>0</v>
      </c>
      <c r="CD132" s="42">
        <v>48.7</v>
      </c>
      <c r="CE132" s="135" t="s">
        <v>30</v>
      </c>
      <c r="CF132" s="15" t="s">
        <v>297</v>
      </c>
    </row>
    <row r="133" spans="35:84" x14ac:dyDescent="0.2">
      <c r="AS133" t="s">
        <v>323</v>
      </c>
      <c r="BK133" t="s">
        <v>323</v>
      </c>
      <c r="CB133" t="s">
        <v>323</v>
      </c>
    </row>
    <row r="134" spans="35:84" x14ac:dyDescent="0.2">
      <c r="AJ134" s="148" t="s">
        <v>165</v>
      </c>
      <c r="AK134" s="126" t="s">
        <v>14</v>
      </c>
      <c r="AL134" s="126" t="s">
        <v>15</v>
      </c>
      <c r="AM134" s="126" t="s">
        <v>29</v>
      </c>
      <c r="AN134" s="126" t="s">
        <v>16</v>
      </c>
      <c r="AO134" s="126" t="s">
        <v>59</v>
      </c>
      <c r="AP134" s="126" t="s">
        <v>17</v>
      </c>
      <c r="AQ134" s="15" t="s">
        <v>21</v>
      </c>
      <c r="AR134" s="131" t="s">
        <v>227</v>
      </c>
      <c r="AS134" s="149" t="s">
        <v>223</v>
      </c>
      <c r="AT134" s="149" t="s">
        <v>224</v>
      </c>
      <c r="AU134" s="127" t="s">
        <v>222</v>
      </c>
      <c r="AV134" s="132" t="s">
        <v>230</v>
      </c>
      <c r="AW134" s="17" t="s">
        <v>296</v>
      </c>
      <c r="BB134" s="148" t="s">
        <v>165</v>
      </c>
      <c r="BC134" s="126" t="s">
        <v>14</v>
      </c>
      <c r="BD134" s="126" t="s">
        <v>15</v>
      </c>
      <c r="BE134" s="126" t="s">
        <v>29</v>
      </c>
      <c r="BF134" s="126" t="s">
        <v>16</v>
      </c>
      <c r="BG134" s="126" t="s">
        <v>59</v>
      </c>
      <c r="BH134" s="126" t="s">
        <v>17</v>
      </c>
      <c r="BI134" s="15" t="s">
        <v>21</v>
      </c>
      <c r="BJ134" s="131" t="s">
        <v>227</v>
      </c>
      <c r="BK134" s="149" t="s">
        <v>223</v>
      </c>
      <c r="BL134" s="149" t="s">
        <v>224</v>
      </c>
      <c r="BM134" s="127" t="s">
        <v>222</v>
      </c>
      <c r="BN134" s="132" t="s">
        <v>230</v>
      </c>
      <c r="BO134" s="17" t="s">
        <v>296</v>
      </c>
      <c r="BS134" s="148" t="s">
        <v>165</v>
      </c>
      <c r="BT134" s="126" t="s">
        <v>14</v>
      </c>
      <c r="BU134" s="126" t="s">
        <v>15</v>
      </c>
      <c r="BV134" s="126" t="s">
        <v>29</v>
      </c>
      <c r="BW134" s="126" t="s">
        <v>16</v>
      </c>
      <c r="BX134" s="126" t="s">
        <v>59</v>
      </c>
      <c r="BY134" s="126" t="s">
        <v>17</v>
      </c>
      <c r="BZ134" s="15" t="s">
        <v>21</v>
      </c>
      <c r="CA134" s="131" t="s">
        <v>227</v>
      </c>
      <c r="CB134" s="149" t="s">
        <v>223</v>
      </c>
      <c r="CC134" s="149" t="s">
        <v>224</v>
      </c>
      <c r="CD134" s="127" t="s">
        <v>222</v>
      </c>
      <c r="CE134" s="132" t="s">
        <v>230</v>
      </c>
      <c r="CF134" s="17" t="s">
        <v>296</v>
      </c>
    </row>
    <row r="135" spans="35:84" x14ac:dyDescent="0.2">
      <c r="AJ135" t="s">
        <v>325</v>
      </c>
      <c r="AK135" s="15">
        <v>4</v>
      </c>
      <c r="AL135" s="15">
        <v>3</v>
      </c>
      <c r="AM135" s="137" t="s">
        <v>30</v>
      </c>
      <c r="AN135" s="15" t="s">
        <v>18</v>
      </c>
      <c r="AO135" s="15" t="s">
        <v>60</v>
      </c>
      <c r="AP135" s="15">
        <f t="shared" ref="AP135" si="75">AR135*AQ135</f>
        <v>4.8000000000000007</v>
      </c>
      <c r="AQ135" s="128">
        <v>0.8</v>
      </c>
      <c r="AR135" s="131">
        <f>(AS135+AT135)</f>
        <v>6</v>
      </c>
      <c r="AS135" s="150">
        <v>0</v>
      </c>
      <c r="AT135" s="42">
        <v>6</v>
      </c>
      <c r="AU135" s="42">
        <v>48.7</v>
      </c>
      <c r="AV135" s="135" t="s">
        <v>30</v>
      </c>
      <c r="AW135" s="15" t="s">
        <v>326</v>
      </c>
      <c r="BB135" t="s">
        <v>325</v>
      </c>
      <c r="BC135" s="15">
        <v>4</v>
      </c>
      <c r="BD135" s="15">
        <v>3</v>
      </c>
      <c r="BE135" s="137" t="s">
        <v>30</v>
      </c>
      <c r="BF135" s="15" t="s">
        <v>18</v>
      </c>
      <c r="BG135" s="15" t="s">
        <v>60</v>
      </c>
      <c r="BH135" s="15">
        <f t="shared" ref="BH135" si="76">BJ135*BI135</f>
        <v>4.8000000000000007</v>
      </c>
      <c r="BI135" s="128">
        <v>0.8</v>
      </c>
      <c r="BJ135" s="131">
        <f>(BK135+BL135)</f>
        <v>6</v>
      </c>
      <c r="BK135" s="150">
        <v>0</v>
      </c>
      <c r="BL135" s="42">
        <v>6</v>
      </c>
      <c r="BM135" s="42">
        <v>48.7</v>
      </c>
      <c r="BN135" s="135" t="s">
        <v>30</v>
      </c>
      <c r="BO135" s="15" t="s">
        <v>326</v>
      </c>
      <c r="BS135" t="s">
        <v>325</v>
      </c>
      <c r="BT135" s="15">
        <v>4</v>
      </c>
      <c r="BU135" s="15">
        <v>3</v>
      </c>
      <c r="BV135" s="137" t="s">
        <v>30</v>
      </c>
      <c r="BW135" s="15" t="s">
        <v>18</v>
      </c>
      <c r="BX135" s="15" t="s">
        <v>60</v>
      </c>
      <c r="BY135" s="15">
        <f t="shared" ref="BY135" si="77">CA135*BZ135</f>
        <v>4.8000000000000007</v>
      </c>
      <c r="BZ135" s="128">
        <v>0.8</v>
      </c>
      <c r="CA135" s="131">
        <f>(CB135+CC135)</f>
        <v>6</v>
      </c>
      <c r="CB135" s="150">
        <v>0</v>
      </c>
      <c r="CC135" s="42">
        <v>6</v>
      </c>
      <c r="CD135" s="42">
        <v>48.7</v>
      </c>
      <c r="CE135" s="135" t="s">
        <v>30</v>
      </c>
      <c r="CF135" s="15" t="s">
        <v>326</v>
      </c>
    </row>
    <row r="137" spans="35:84" x14ac:dyDescent="0.2">
      <c r="AI137" s="187"/>
      <c r="AJ137" s="148" t="s">
        <v>165</v>
      </c>
      <c r="AK137" s="126" t="s">
        <v>14</v>
      </c>
      <c r="AL137" s="126" t="s">
        <v>15</v>
      </c>
      <c r="AM137" s="126" t="s">
        <v>29</v>
      </c>
      <c r="AN137" s="126" t="s">
        <v>16</v>
      </c>
      <c r="AO137" s="126" t="s">
        <v>59</v>
      </c>
      <c r="AP137" s="126" t="s">
        <v>17</v>
      </c>
      <c r="AQ137" s="15" t="s">
        <v>21</v>
      </c>
      <c r="AR137" s="131" t="s">
        <v>227</v>
      </c>
      <c r="AS137" s="149" t="s">
        <v>223</v>
      </c>
      <c r="AT137" s="149" t="s">
        <v>224</v>
      </c>
      <c r="AU137" s="127" t="s">
        <v>222</v>
      </c>
      <c r="AV137" s="132" t="s">
        <v>230</v>
      </c>
      <c r="AW137" s="17" t="s">
        <v>296</v>
      </c>
      <c r="BA137" s="187"/>
      <c r="BB137" s="148" t="s">
        <v>165</v>
      </c>
      <c r="BC137" s="126" t="s">
        <v>14</v>
      </c>
      <c r="BD137" s="126" t="s">
        <v>15</v>
      </c>
      <c r="BE137" s="126" t="s">
        <v>29</v>
      </c>
      <c r="BF137" s="126" t="s">
        <v>16</v>
      </c>
      <c r="BG137" s="126" t="s">
        <v>59</v>
      </c>
      <c r="BH137" s="126" t="s">
        <v>17</v>
      </c>
      <c r="BI137" s="15" t="s">
        <v>21</v>
      </c>
      <c r="BJ137" s="131" t="s">
        <v>227</v>
      </c>
      <c r="BK137" s="149" t="s">
        <v>223</v>
      </c>
      <c r="BL137" s="149" t="s">
        <v>224</v>
      </c>
      <c r="BM137" s="127" t="s">
        <v>222</v>
      </c>
      <c r="BN137" s="132" t="s">
        <v>230</v>
      </c>
      <c r="BO137" s="17" t="s">
        <v>296</v>
      </c>
      <c r="BR137" s="187"/>
      <c r="BS137" s="148" t="s">
        <v>165</v>
      </c>
      <c r="BT137" s="126" t="s">
        <v>14</v>
      </c>
      <c r="BU137" s="126" t="s">
        <v>15</v>
      </c>
      <c r="BV137" s="126" t="s">
        <v>29</v>
      </c>
      <c r="BW137" s="126" t="s">
        <v>16</v>
      </c>
      <c r="BX137" s="126" t="s">
        <v>59</v>
      </c>
      <c r="BY137" s="126" t="s">
        <v>17</v>
      </c>
      <c r="BZ137" s="15" t="s">
        <v>21</v>
      </c>
      <c r="CA137" s="131" t="s">
        <v>227</v>
      </c>
      <c r="CB137" s="149" t="s">
        <v>223</v>
      </c>
      <c r="CC137" s="149" t="s">
        <v>224</v>
      </c>
      <c r="CD137" s="127" t="s">
        <v>222</v>
      </c>
      <c r="CE137" s="132" t="s">
        <v>230</v>
      </c>
      <c r="CF137" s="17" t="s">
        <v>296</v>
      </c>
    </row>
    <row r="138" spans="35:84" x14ac:dyDescent="0.2">
      <c r="AI138" s="187"/>
      <c r="AJ138" t="s">
        <v>330</v>
      </c>
      <c r="AK138" s="15">
        <v>3</v>
      </c>
      <c r="AL138" s="15">
        <v>6</v>
      </c>
      <c r="AM138" s="137" t="s">
        <v>30</v>
      </c>
      <c r="AN138" s="15" t="s">
        <v>18</v>
      </c>
      <c r="AO138" s="15" t="s">
        <v>60</v>
      </c>
      <c r="AP138" s="15">
        <f t="shared" ref="AP138" si="78">AR138*AQ138</f>
        <v>4.8000000000000007</v>
      </c>
      <c r="AQ138" s="128">
        <v>0.8</v>
      </c>
      <c r="AR138" s="131">
        <f>(AS138+AT138)</f>
        <v>6</v>
      </c>
      <c r="AS138" s="150">
        <v>0</v>
      </c>
      <c r="AT138" s="42">
        <v>6</v>
      </c>
      <c r="AU138" s="42">
        <v>48.7</v>
      </c>
      <c r="AV138" s="135" t="s">
        <v>30</v>
      </c>
      <c r="AW138" s="15" t="s">
        <v>331</v>
      </c>
      <c r="BA138" s="187"/>
      <c r="BB138" t="s">
        <v>330</v>
      </c>
      <c r="BC138" s="15">
        <v>3</v>
      </c>
      <c r="BD138" s="15">
        <v>6</v>
      </c>
      <c r="BE138" s="137" t="s">
        <v>30</v>
      </c>
      <c r="BF138" s="15" t="s">
        <v>18</v>
      </c>
      <c r="BG138" s="15" t="s">
        <v>60</v>
      </c>
      <c r="BH138" s="15">
        <f t="shared" ref="BH138" si="79">BJ138*BI138</f>
        <v>4.8000000000000007</v>
      </c>
      <c r="BI138" s="128">
        <v>0.8</v>
      </c>
      <c r="BJ138" s="131">
        <f>(BK138+BL138)</f>
        <v>6</v>
      </c>
      <c r="BK138" s="150">
        <v>0</v>
      </c>
      <c r="BL138" s="42">
        <v>6</v>
      </c>
      <c r="BM138" s="42">
        <v>48.7</v>
      </c>
      <c r="BN138" s="135" t="s">
        <v>30</v>
      </c>
      <c r="BO138" s="15" t="s">
        <v>331</v>
      </c>
      <c r="BR138" s="187"/>
      <c r="BS138" t="s">
        <v>330</v>
      </c>
      <c r="BT138" s="15">
        <v>3</v>
      </c>
      <c r="BU138" s="15">
        <v>6</v>
      </c>
      <c r="BV138" s="137" t="s">
        <v>30</v>
      </c>
      <c r="BW138" s="15" t="s">
        <v>18</v>
      </c>
      <c r="BX138" s="15" t="s">
        <v>60</v>
      </c>
      <c r="BY138" s="15">
        <f t="shared" ref="BY138" si="80">CA138*BZ138</f>
        <v>4.8000000000000007</v>
      </c>
      <c r="BZ138" s="128">
        <v>0.8</v>
      </c>
      <c r="CA138" s="131">
        <f>(CB138+CC138)</f>
        <v>6</v>
      </c>
      <c r="CB138" s="150">
        <v>0</v>
      </c>
      <c r="CC138" s="42">
        <v>6</v>
      </c>
      <c r="CD138" s="42">
        <v>48.7</v>
      </c>
      <c r="CE138" s="135" t="s">
        <v>30</v>
      </c>
      <c r="CF138" s="15" t="s">
        <v>331</v>
      </c>
    </row>
    <row r="139" spans="35:84" x14ac:dyDescent="0.2">
      <c r="AI139" s="187"/>
      <c r="BA139" s="187"/>
      <c r="BR139" s="187"/>
    </row>
    <row r="140" spans="35:84" x14ac:dyDescent="0.2">
      <c r="AI140" s="187"/>
      <c r="AJ140" s="148" t="s">
        <v>165</v>
      </c>
      <c r="AK140" s="126" t="s">
        <v>14</v>
      </c>
      <c r="AL140" s="126" t="s">
        <v>15</v>
      </c>
      <c r="AM140" s="126" t="s">
        <v>29</v>
      </c>
      <c r="AN140" s="126" t="s">
        <v>16</v>
      </c>
      <c r="AO140" s="126" t="s">
        <v>59</v>
      </c>
      <c r="AP140" s="126" t="s">
        <v>17</v>
      </c>
      <c r="AQ140" s="15" t="s">
        <v>21</v>
      </c>
      <c r="AR140" s="131" t="s">
        <v>227</v>
      </c>
      <c r="AS140" s="149" t="s">
        <v>223</v>
      </c>
      <c r="AT140" s="149" t="s">
        <v>224</v>
      </c>
      <c r="AU140" s="127" t="s">
        <v>222</v>
      </c>
      <c r="AV140" s="132" t="s">
        <v>230</v>
      </c>
      <c r="AW140" s="17" t="s">
        <v>296</v>
      </c>
      <c r="BA140" s="187"/>
      <c r="BB140" s="148" t="s">
        <v>165</v>
      </c>
      <c r="BC140" s="126" t="s">
        <v>14</v>
      </c>
      <c r="BD140" s="126" t="s">
        <v>15</v>
      </c>
      <c r="BE140" s="126" t="s">
        <v>29</v>
      </c>
      <c r="BF140" s="126" t="s">
        <v>16</v>
      </c>
      <c r="BG140" s="126" t="s">
        <v>59</v>
      </c>
      <c r="BH140" s="126" t="s">
        <v>17</v>
      </c>
      <c r="BI140" s="15" t="s">
        <v>21</v>
      </c>
      <c r="BJ140" s="131" t="s">
        <v>227</v>
      </c>
      <c r="BK140" s="149" t="s">
        <v>223</v>
      </c>
      <c r="BL140" s="149" t="s">
        <v>224</v>
      </c>
      <c r="BM140" s="127" t="s">
        <v>222</v>
      </c>
      <c r="BN140" s="132" t="s">
        <v>230</v>
      </c>
      <c r="BO140" s="17" t="s">
        <v>296</v>
      </c>
      <c r="BR140" s="187"/>
      <c r="BS140" s="148" t="s">
        <v>165</v>
      </c>
      <c r="BT140" s="126" t="s">
        <v>14</v>
      </c>
      <c r="BU140" s="126" t="s">
        <v>15</v>
      </c>
      <c r="BV140" s="126" t="s">
        <v>29</v>
      </c>
      <c r="BW140" s="126" t="s">
        <v>16</v>
      </c>
      <c r="BX140" s="126" t="s">
        <v>59</v>
      </c>
      <c r="BY140" s="126" t="s">
        <v>17</v>
      </c>
      <c r="BZ140" s="15" t="s">
        <v>21</v>
      </c>
      <c r="CA140" s="131" t="s">
        <v>227</v>
      </c>
      <c r="CB140" s="149" t="s">
        <v>223</v>
      </c>
      <c r="CC140" s="149" t="s">
        <v>224</v>
      </c>
      <c r="CD140" s="127" t="s">
        <v>222</v>
      </c>
      <c r="CE140" s="132" t="s">
        <v>230</v>
      </c>
      <c r="CF140" s="17" t="s">
        <v>296</v>
      </c>
    </row>
    <row r="141" spans="35:84" x14ac:dyDescent="0.2">
      <c r="AI141" s="187"/>
      <c r="AJ141" t="s">
        <v>332</v>
      </c>
      <c r="AK141" s="15">
        <v>3</v>
      </c>
      <c r="AL141" s="15">
        <v>6</v>
      </c>
      <c r="AM141" s="137" t="s">
        <v>30</v>
      </c>
      <c r="AN141" s="15" t="s">
        <v>18</v>
      </c>
      <c r="AO141" s="15" t="s">
        <v>60</v>
      </c>
      <c r="AP141" s="15">
        <f t="shared" ref="AP141" si="81">AR141*AQ141</f>
        <v>6.4</v>
      </c>
      <c r="AQ141" s="128">
        <v>0.8</v>
      </c>
      <c r="AR141" s="131">
        <f>(AS141+AT141)</f>
        <v>8</v>
      </c>
      <c r="AS141" s="150">
        <v>0</v>
      </c>
      <c r="AT141" s="42">
        <v>8</v>
      </c>
      <c r="AU141" s="42">
        <v>48.7</v>
      </c>
      <c r="AV141" s="135" t="s">
        <v>30</v>
      </c>
      <c r="AW141" s="15" t="s">
        <v>331</v>
      </c>
      <c r="BA141" s="187"/>
      <c r="BB141" t="s">
        <v>332</v>
      </c>
      <c r="BC141" s="15">
        <v>3</v>
      </c>
      <c r="BD141" s="15">
        <v>6</v>
      </c>
      <c r="BE141" s="137" t="s">
        <v>30</v>
      </c>
      <c r="BF141" s="15" t="s">
        <v>18</v>
      </c>
      <c r="BG141" s="15" t="s">
        <v>60</v>
      </c>
      <c r="BH141" s="15">
        <f t="shared" ref="BH141" si="82">BJ141*BI141</f>
        <v>6.4</v>
      </c>
      <c r="BI141" s="128">
        <v>0.8</v>
      </c>
      <c r="BJ141" s="131">
        <f>(BK141+BL141)</f>
        <v>8</v>
      </c>
      <c r="BK141" s="150">
        <v>0</v>
      </c>
      <c r="BL141" s="42">
        <v>8</v>
      </c>
      <c r="BM141" s="42">
        <v>48.7</v>
      </c>
      <c r="BN141" s="135" t="s">
        <v>30</v>
      </c>
      <c r="BO141" s="15" t="s">
        <v>331</v>
      </c>
      <c r="BR141" s="187"/>
      <c r="BS141" t="s">
        <v>332</v>
      </c>
      <c r="BT141" s="15">
        <v>3</v>
      </c>
      <c r="BU141" s="15">
        <v>6</v>
      </c>
      <c r="BV141" s="137" t="s">
        <v>30</v>
      </c>
      <c r="BW141" s="15" t="s">
        <v>18</v>
      </c>
      <c r="BX141" s="15" t="s">
        <v>60</v>
      </c>
      <c r="BY141" s="15">
        <f t="shared" ref="BY141" si="83">CA141*BZ141</f>
        <v>6.4</v>
      </c>
      <c r="BZ141" s="128">
        <v>0.8</v>
      </c>
      <c r="CA141" s="131">
        <f>(CB141+CC141)</f>
        <v>8</v>
      </c>
      <c r="CB141" s="150">
        <v>0</v>
      </c>
      <c r="CC141" s="42">
        <v>8</v>
      </c>
      <c r="CD141" s="42">
        <v>48.7</v>
      </c>
      <c r="CE141" s="135" t="s">
        <v>30</v>
      </c>
      <c r="CF141" s="15" t="s">
        <v>331</v>
      </c>
    </row>
    <row r="145" spans="35:81" x14ac:dyDescent="0.2">
      <c r="AJ145" s="136" t="s">
        <v>232</v>
      </c>
      <c r="AK145" s="126" t="s">
        <v>14</v>
      </c>
      <c r="AL145" s="126" t="s">
        <v>15</v>
      </c>
      <c r="AM145" s="126" t="s">
        <v>29</v>
      </c>
      <c r="AN145" s="126" t="s">
        <v>16</v>
      </c>
      <c r="AO145" s="126" t="s">
        <v>59</v>
      </c>
      <c r="AP145" s="126" t="s">
        <v>17</v>
      </c>
      <c r="AQ145" s="15" t="s">
        <v>21</v>
      </c>
      <c r="AR145" s="127" t="s">
        <v>222</v>
      </c>
      <c r="AS145" s="132" t="s">
        <v>230</v>
      </c>
      <c r="AT145" s="42" t="s">
        <v>237</v>
      </c>
      <c r="BB145" s="136" t="s">
        <v>232</v>
      </c>
      <c r="BC145" s="126" t="s">
        <v>14</v>
      </c>
      <c r="BD145" s="126" t="s">
        <v>15</v>
      </c>
      <c r="BE145" s="126" t="s">
        <v>29</v>
      </c>
      <c r="BF145" s="126" t="s">
        <v>16</v>
      </c>
      <c r="BG145" s="126" t="s">
        <v>59</v>
      </c>
      <c r="BH145" s="126" t="s">
        <v>17</v>
      </c>
      <c r="BI145" s="15" t="s">
        <v>21</v>
      </c>
      <c r="BJ145" s="127" t="s">
        <v>222</v>
      </c>
      <c r="BK145" s="132" t="s">
        <v>230</v>
      </c>
      <c r="BL145" s="42" t="s">
        <v>237</v>
      </c>
      <c r="BS145" s="136" t="s">
        <v>232</v>
      </c>
      <c r="BT145" s="126" t="s">
        <v>14</v>
      </c>
      <c r="BU145" s="126" t="s">
        <v>15</v>
      </c>
      <c r="BV145" s="126" t="s">
        <v>29</v>
      </c>
      <c r="BW145" s="126" t="s">
        <v>16</v>
      </c>
      <c r="BX145" s="126" t="s">
        <v>59</v>
      </c>
      <c r="BY145" s="126" t="s">
        <v>17</v>
      </c>
      <c r="BZ145" s="15" t="s">
        <v>21</v>
      </c>
      <c r="CA145" s="127" t="s">
        <v>222</v>
      </c>
      <c r="CB145" s="132" t="s">
        <v>230</v>
      </c>
      <c r="CC145" s="42" t="s">
        <v>237</v>
      </c>
    </row>
    <row r="146" spans="35:81" x14ac:dyDescent="0.2">
      <c r="AJ146" s="42" t="s">
        <v>233</v>
      </c>
      <c r="AK146" s="15">
        <v>1</v>
      </c>
      <c r="AL146" s="15">
        <v>1</v>
      </c>
      <c r="AM146" s="137" t="s">
        <v>270</v>
      </c>
      <c r="AN146" s="15" t="s">
        <v>272</v>
      </c>
      <c r="AO146" s="15" t="s">
        <v>273</v>
      </c>
      <c r="AP146" s="15">
        <v>0</v>
      </c>
      <c r="AQ146" s="128">
        <v>0.95</v>
      </c>
      <c r="AR146" s="42">
        <v>48.7</v>
      </c>
      <c r="AS146" s="135" t="s">
        <v>271</v>
      </c>
      <c r="AT146" s="42" t="s">
        <v>238</v>
      </c>
      <c r="BB146" s="42" t="s">
        <v>233</v>
      </c>
      <c r="BC146" s="15">
        <v>1</v>
      </c>
      <c r="BD146" s="15">
        <v>1</v>
      </c>
      <c r="BE146" s="137" t="s">
        <v>270</v>
      </c>
      <c r="BF146" s="15" t="s">
        <v>272</v>
      </c>
      <c r="BG146" s="15" t="s">
        <v>273</v>
      </c>
      <c r="BH146" s="15">
        <v>0</v>
      </c>
      <c r="BI146" s="128">
        <v>0.95</v>
      </c>
      <c r="BJ146" s="42">
        <v>48.7</v>
      </c>
      <c r="BK146" s="135" t="s">
        <v>271</v>
      </c>
      <c r="BL146" s="42" t="s">
        <v>238</v>
      </c>
      <c r="BS146" s="42" t="s">
        <v>233</v>
      </c>
      <c r="BT146" s="15">
        <v>1</v>
      </c>
      <c r="BU146" s="15">
        <v>1</v>
      </c>
      <c r="BV146" s="137" t="s">
        <v>270</v>
      </c>
      <c r="BW146" s="15" t="s">
        <v>272</v>
      </c>
      <c r="BX146" s="15" t="s">
        <v>273</v>
      </c>
      <c r="BY146" s="15">
        <v>0</v>
      </c>
      <c r="BZ146" s="128">
        <v>0.95</v>
      </c>
      <c r="CA146" s="42">
        <v>48.7</v>
      </c>
      <c r="CB146" s="135" t="s">
        <v>271</v>
      </c>
      <c r="CC146" s="42" t="s">
        <v>238</v>
      </c>
    </row>
    <row r="148" spans="35:81" x14ac:dyDescent="0.2">
      <c r="AJ148" s="136" t="s">
        <v>232</v>
      </c>
      <c r="AK148" s="126" t="s">
        <v>14</v>
      </c>
      <c r="AL148" s="126" t="s">
        <v>15</v>
      </c>
      <c r="AM148" s="126" t="s">
        <v>29</v>
      </c>
      <c r="AN148" s="126" t="s">
        <v>16</v>
      </c>
      <c r="AO148" s="126" t="s">
        <v>59</v>
      </c>
      <c r="AP148" s="126" t="s">
        <v>17</v>
      </c>
      <c r="AQ148" s="15" t="s">
        <v>21</v>
      </c>
      <c r="AR148" s="127" t="s">
        <v>222</v>
      </c>
      <c r="AS148" s="132" t="s">
        <v>230</v>
      </c>
      <c r="AT148" s="42" t="s">
        <v>237</v>
      </c>
      <c r="BB148" s="136" t="s">
        <v>232</v>
      </c>
      <c r="BC148" s="126" t="s">
        <v>14</v>
      </c>
      <c r="BD148" s="126" t="s">
        <v>15</v>
      </c>
      <c r="BE148" s="126" t="s">
        <v>29</v>
      </c>
      <c r="BF148" s="126" t="s">
        <v>16</v>
      </c>
      <c r="BG148" s="126" t="s">
        <v>59</v>
      </c>
      <c r="BH148" s="126" t="s">
        <v>17</v>
      </c>
      <c r="BI148" s="15" t="s">
        <v>21</v>
      </c>
      <c r="BJ148" s="127" t="s">
        <v>222</v>
      </c>
      <c r="BK148" s="132" t="s">
        <v>230</v>
      </c>
      <c r="BL148" s="42" t="s">
        <v>237</v>
      </c>
      <c r="BS148" s="136" t="s">
        <v>232</v>
      </c>
      <c r="BT148" s="126" t="s">
        <v>14</v>
      </c>
      <c r="BU148" s="126" t="s">
        <v>15</v>
      </c>
      <c r="BV148" s="126" t="s">
        <v>29</v>
      </c>
      <c r="BW148" s="126" t="s">
        <v>16</v>
      </c>
      <c r="BX148" s="126" t="s">
        <v>59</v>
      </c>
      <c r="BY148" s="126" t="s">
        <v>17</v>
      </c>
      <c r="BZ148" s="15" t="s">
        <v>21</v>
      </c>
      <c r="CA148" s="127" t="s">
        <v>222</v>
      </c>
      <c r="CB148" s="132" t="s">
        <v>230</v>
      </c>
      <c r="CC148" s="42" t="s">
        <v>237</v>
      </c>
    </row>
    <row r="149" spans="35:81" x14ac:dyDescent="0.2">
      <c r="AJ149" s="42" t="s">
        <v>233</v>
      </c>
      <c r="AK149" s="15">
        <v>4</v>
      </c>
      <c r="AL149" s="15">
        <v>3</v>
      </c>
      <c r="AM149" s="137" t="s">
        <v>30</v>
      </c>
      <c r="AN149" s="15" t="s">
        <v>18</v>
      </c>
      <c r="AO149" s="15" t="s">
        <v>60</v>
      </c>
      <c r="AP149" s="15">
        <v>0</v>
      </c>
      <c r="AQ149" s="128">
        <v>0.95</v>
      </c>
      <c r="AR149" s="42">
        <v>48.7</v>
      </c>
      <c r="AS149" s="135" t="s">
        <v>231</v>
      </c>
      <c r="AT149" s="42" t="s">
        <v>238</v>
      </c>
      <c r="BB149" s="42" t="s">
        <v>233</v>
      </c>
      <c r="BC149" s="15">
        <v>4</v>
      </c>
      <c r="BD149" s="15">
        <v>3</v>
      </c>
      <c r="BE149" s="137" t="s">
        <v>30</v>
      </c>
      <c r="BF149" s="15" t="s">
        <v>18</v>
      </c>
      <c r="BG149" s="15" t="s">
        <v>60</v>
      </c>
      <c r="BH149" s="15">
        <v>0</v>
      </c>
      <c r="BI149" s="128">
        <v>0.95</v>
      </c>
      <c r="BJ149" s="42">
        <v>48.7</v>
      </c>
      <c r="BK149" s="135" t="s">
        <v>231</v>
      </c>
      <c r="BL149" s="42" t="s">
        <v>238</v>
      </c>
      <c r="BS149" s="42" t="s">
        <v>233</v>
      </c>
      <c r="BT149" s="15">
        <v>4</v>
      </c>
      <c r="BU149" s="15">
        <v>3</v>
      </c>
      <c r="BV149" s="137" t="s">
        <v>30</v>
      </c>
      <c r="BW149" s="15" t="s">
        <v>18</v>
      </c>
      <c r="BX149" s="15" t="s">
        <v>60</v>
      </c>
      <c r="BY149" s="15">
        <v>0</v>
      </c>
      <c r="BZ149" s="128">
        <v>0.95</v>
      </c>
      <c r="CA149" s="42">
        <v>48.7</v>
      </c>
      <c r="CB149" s="135" t="s">
        <v>231</v>
      </c>
      <c r="CC149" s="42" t="s">
        <v>238</v>
      </c>
    </row>
    <row r="150" spans="35:81" ht="16" thickBot="1" x14ac:dyDescent="0.25"/>
    <row r="151" spans="35:81" x14ac:dyDescent="0.2">
      <c r="AI151" s="188"/>
      <c r="AJ151" s="151" t="s">
        <v>232</v>
      </c>
      <c r="AK151" s="152" t="s">
        <v>14</v>
      </c>
      <c r="AL151" s="152" t="s">
        <v>15</v>
      </c>
      <c r="AM151" s="152" t="s">
        <v>29</v>
      </c>
      <c r="AN151" s="152" t="s">
        <v>16</v>
      </c>
      <c r="AO151" s="152" t="s">
        <v>59</v>
      </c>
      <c r="AP151" s="152" t="s">
        <v>17</v>
      </c>
      <c r="AQ151" s="116" t="s">
        <v>21</v>
      </c>
      <c r="AR151" s="153" t="s">
        <v>222</v>
      </c>
      <c r="AS151" s="154" t="s">
        <v>230</v>
      </c>
      <c r="AT151" s="51" t="s">
        <v>237</v>
      </c>
      <c r="BA151" s="188"/>
      <c r="BB151" s="151" t="s">
        <v>232</v>
      </c>
      <c r="BC151" s="152" t="s">
        <v>14</v>
      </c>
      <c r="BD151" s="152" t="s">
        <v>15</v>
      </c>
      <c r="BE151" s="152" t="s">
        <v>29</v>
      </c>
      <c r="BF151" s="152" t="s">
        <v>16</v>
      </c>
      <c r="BG151" s="152" t="s">
        <v>59</v>
      </c>
      <c r="BH151" s="152" t="s">
        <v>17</v>
      </c>
      <c r="BI151" s="116" t="s">
        <v>21</v>
      </c>
      <c r="BJ151" s="153" t="s">
        <v>222</v>
      </c>
      <c r="BK151" s="154" t="s">
        <v>230</v>
      </c>
      <c r="BL151" s="51" t="s">
        <v>237</v>
      </c>
      <c r="BR151" s="188"/>
      <c r="BS151" s="151" t="s">
        <v>232</v>
      </c>
      <c r="BT151" s="152" t="s">
        <v>14</v>
      </c>
      <c r="BU151" s="152" t="s">
        <v>15</v>
      </c>
      <c r="BV151" s="152" t="s">
        <v>29</v>
      </c>
      <c r="BW151" s="152" t="s">
        <v>16</v>
      </c>
      <c r="BX151" s="152" t="s">
        <v>59</v>
      </c>
      <c r="BY151" s="152" t="s">
        <v>17</v>
      </c>
      <c r="BZ151" s="116" t="s">
        <v>21</v>
      </c>
      <c r="CA151" s="153" t="s">
        <v>222</v>
      </c>
      <c r="CB151" s="154" t="s">
        <v>230</v>
      </c>
      <c r="CC151" s="51" t="s">
        <v>237</v>
      </c>
    </row>
    <row r="152" spans="35:81" x14ac:dyDescent="0.2">
      <c r="AI152" s="189"/>
      <c r="AJ152" s="39" t="s">
        <v>302</v>
      </c>
      <c r="AK152" s="15">
        <v>1</v>
      </c>
      <c r="AL152" s="15">
        <v>1</v>
      </c>
      <c r="AM152" s="137" t="s">
        <v>303</v>
      </c>
      <c r="AN152" s="15" t="s">
        <v>272</v>
      </c>
      <c r="AO152" s="15" t="s">
        <v>273</v>
      </c>
      <c r="AP152" s="15">
        <v>0</v>
      </c>
      <c r="AQ152" s="128">
        <v>0.95</v>
      </c>
      <c r="AR152" s="42">
        <v>48.7</v>
      </c>
      <c r="AS152" s="135" t="s">
        <v>304</v>
      </c>
      <c r="AT152" s="53" t="s">
        <v>305</v>
      </c>
      <c r="BA152" s="189"/>
      <c r="BB152" s="39" t="s">
        <v>302</v>
      </c>
      <c r="BC152" s="15">
        <v>1</v>
      </c>
      <c r="BD152" s="15">
        <v>1</v>
      </c>
      <c r="BE152" s="137" t="s">
        <v>303</v>
      </c>
      <c r="BF152" s="15" t="s">
        <v>272</v>
      </c>
      <c r="BG152" s="15" t="s">
        <v>273</v>
      </c>
      <c r="BH152" s="15">
        <v>0</v>
      </c>
      <c r="BI152" s="128">
        <v>0.95</v>
      </c>
      <c r="BJ152" s="42">
        <v>48.7</v>
      </c>
      <c r="BK152" s="135" t="s">
        <v>304</v>
      </c>
      <c r="BL152" s="53" t="s">
        <v>305</v>
      </c>
      <c r="BR152" s="189"/>
      <c r="BS152" s="39" t="s">
        <v>302</v>
      </c>
      <c r="BT152" s="15">
        <v>1</v>
      </c>
      <c r="BU152" s="15">
        <v>1</v>
      </c>
      <c r="BV152" s="137" t="s">
        <v>303</v>
      </c>
      <c r="BW152" s="15" t="s">
        <v>272</v>
      </c>
      <c r="BX152" s="15" t="s">
        <v>273</v>
      </c>
      <c r="BY152" s="15">
        <v>0</v>
      </c>
      <c r="BZ152" s="128">
        <v>0.95</v>
      </c>
      <c r="CA152" s="42">
        <v>48.7</v>
      </c>
      <c r="CB152" s="135" t="s">
        <v>304</v>
      </c>
      <c r="CC152" s="53" t="s">
        <v>305</v>
      </c>
    </row>
    <row r="153" spans="35:81" x14ac:dyDescent="0.2">
      <c r="AI153" s="189"/>
      <c r="AT153" s="155"/>
      <c r="BA153" s="189"/>
      <c r="BL153" s="155"/>
      <c r="BR153" s="189"/>
      <c r="CC153" s="155"/>
    </row>
    <row r="154" spans="35:81" x14ac:dyDescent="0.2">
      <c r="AI154" s="189"/>
      <c r="AJ154" s="136" t="s">
        <v>232</v>
      </c>
      <c r="AK154" s="126" t="s">
        <v>14</v>
      </c>
      <c r="AL154" s="126" t="s">
        <v>15</v>
      </c>
      <c r="AM154" s="126" t="s">
        <v>29</v>
      </c>
      <c r="AN154" s="126" t="s">
        <v>16</v>
      </c>
      <c r="AO154" s="126" t="s">
        <v>59</v>
      </c>
      <c r="AP154" s="126" t="s">
        <v>17</v>
      </c>
      <c r="AQ154" s="15" t="s">
        <v>21</v>
      </c>
      <c r="AR154" s="127" t="s">
        <v>222</v>
      </c>
      <c r="AS154" s="132" t="s">
        <v>230</v>
      </c>
      <c r="AT154" s="53" t="s">
        <v>237</v>
      </c>
      <c r="BA154" s="189"/>
      <c r="BB154" s="136" t="s">
        <v>232</v>
      </c>
      <c r="BC154" s="126" t="s">
        <v>14</v>
      </c>
      <c r="BD154" s="126" t="s">
        <v>15</v>
      </c>
      <c r="BE154" s="126" t="s">
        <v>29</v>
      </c>
      <c r="BF154" s="126" t="s">
        <v>16</v>
      </c>
      <c r="BG154" s="126" t="s">
        <v>59</v>
      </c>
      <c r="BH154" s="126" t="s">
        <v>17</v>
      </c>
      <c r="BI154" s="15" t="s">
        <v>21</v>
      </c>
      <c r="BJ154" s="127" t="s">
        <v>222</v>
      </c>
      <c r="BK154" s="132" t="s">
        <v>230</v>
      </c>
      <c r="BL154" s="53" t="s">
        <v>237</v>
      </c>
      <c r="BR154" s="189"/>
      <c r="BS154" s="136" t="s">
        <v>232</v>
      </c>
      <c r="BT154" s="126" t="s">
        <v>14</v>
      </c>
      <c r="BU154" s="126" t="s">
        <v>15</v>
      </c>
      <c r="BV154" s="126" t="s">
        <v>29</v>
      </c>
      <c r="BW154" s="126" t="s">
        <v>16</v>
      </c>
      <c r="BX154" s="126" t="s">
        <v>59</v>
      </c>
      <c r="BY154" s="126" t="s">
        <v>17</v>
      </c>
      <c r="BZ154" s="15" t="s">
        <v>21</v>
      </c>
      <c r="CA154" s="127" t="s">
        <v>222</v>
      </c>
      <c r="CB154" s="132" t="s">
        <v>230</v>
      </c>
      <c r="CC154" s="53" t="s">
        <v>237</v>
      </c>
    </row>
    <row r="155" spans="35:81" ht="16" thickBot="1" x14ac:dyDescent="0.25">
      <c r="AI155" s="190"/>
      <c r="AJ155" s="156" t="s">
        <v>306</v>
      </c>
      <c r="AK155" s="139">
        <v>1</v>
      </c>
      <c r="AL155" s="139">
        <v>1</v>
      </c>
      <c r="AM155" s="157" t="s">
        <v>303</v>
      </c>
      <c r="AN155" s="139" t="s">
        <v>272</v>
      </c>
      <c r="AO155" s="139" t="s">
        <v>65</v>
      </c>
      <c r="AP155" s="139">
        <v>0</v>
      </c>
      <c r="AQ155" s="158">
        <v>0.95</v>
      </c>
      <c r="AR155" s="55">
        <v>48.7</v>
      </c>
      <c r="AS155" s="159" t="s">
        <v>231</v>
      </c>
      <c r="AT155" s="43" t="s">
        <v>238</v>
      </c>
      <c r="BA155" s="190"/>
      <c r="BB155" s="156" t="s">
        <v>306</v>
      </c>
      <c r="BC155" s="139">
        <v>1</v>
      </c>
      <c r="BD155" s="139">
        <v>1</v>
      </c>
      <c r="BE155" s="157" t="s">
        <v>303</v>
      </c>
      <c r="BF155" s="139" t="s">
        <v>272</v>
      </c>
      <c r="BG155" s="139" t="s">
        <v>65</v>
      </c>
      <c r="BH155" s="139">
        <v>0</v>
      </c>
      <c r="BI155" s="158">
        <v>0.95</v>
      </c>
      <c r="BJ155" s="55">
        <v>48.7</v>
      </c>
      <c r="BK155" s="159" t="s">
        <v>231</v>
      </c>
      <c r="BL155" s="43" t="s">
        <v>238</v>
      </c>
      <c r="BR155" s="190"/>
      <c r="BS155" s="156" t="s">
        <v>306</v>
      </c>
      <c r="BT155" s="139">
        <v>1</v>
      </c>
      <c r="BU155" s="139">
        <v>1</v>
      </c>
      <c r="BV155" s="157" t="s">
        <v>303</v>
      </c>
      <c r="BW155" s="139" t="s">
        <v>272</v>
      </c>
      <c r="BX155" s="139" t="s">
        <v>65</v>
      </c>
      <c r="BY155" s="139">
        <v>0</v>
      </c>
      <c r="BZ155" s="158">
        <v>0.95</v>
      </c>
      <c r="CA155" s="55">
        <v>48.7</v>
      </c>
      <c r="CB155" s="159" t="s">
        <v>231</v>
      </c>
      <c r="CC155" s="43" t="s">
        <v>238</v>
      </c>
    </row>
    <row r="157" spans="35:81" x14ac:dyDescent="0.2">
      <c r="AJ157" s="136" t="s">
        <v>234</v>
      </c>
      <c r="AK157" s="126" t="s">
        <v>14</v>
      </c>
      <c r="AL157" s="126" t="s">
        <v>15</v>
      </c>
      <c r="AM157" s="126" t="s">
        <v>29</v>
      </c>
      <c r="AN157" s="126" t="s">
        <v>16</v>
      </c>
      <c r="AO157" s="126" t="s">
        <v>59</v>
      </c>
      <c r="AP157" s="126" t="s">
        <v>17</v>
      </c>
      <c r="AQ157" s="15" t="s">
        <v>21</v>
      </c>
      <c r="AR157" s="127" t="s">
        <v>222</v>
      </c>
      <c r="AS157" s="132" t="s">
        <v>230</v>
      </c>
      <c r="AT157" s="42" t="s">
        <v>237</v>
      </c>
      <c r="BB157" s="136" t="s">
        <v>234</v>
      </c>
      <c r="BC157" s="126" t="s">
        <v>14</v>
      </c>
      <c r="BD157" s="126" t="s">
        <v>15</v>
      </c>
      <c r="BE157" s="126" t="s">
        <v>29</v>
      </c>
      <c r="BF157" s="126" t="s">
        <v>16</v>
      </c>
      <c r="BG157" s="126" t="s">
        <v>59</v>
      </c>
      <c r="BH157" s="126" t="s">
        <v>17</v>
      </c>
      <c r="BI157" s="15" t="s">
        <v>21</v>
      </c>
      <c r="BJ157" s="127" t="s">
        <v>222</v>
      </c>
      <c r="BK157" s="132" t="s">
        <v>230</v>
      </c>
      <c r="BL157" s="42" t="s">
        <v>237</v>
      </c>
      <c r="BS157" s="136" t="s">
        <v>234</v>
      </c>
      <c r="BT157" s="126" t="s">
        <v>14</v>
      </c>
      <c r="BU157" s="126" t="s">
        <v>15</v>
      </c>
      <c r="BV157" s="126" t="s">
        <v>29</v>
      </c>
      <c r="BW157" s="126" t="s">
        <v>16</v>
      </c>
      <c r="BX157" s="126" t="s">
        <v>59</v>
      </c>
      <c r="BY157" s="126" t="s">
        <v>17</v>
      </c>
      <c r="BZ157" s="15" t="s">
        <v>21</v>
      </c>
      <c r="CA157" s="127" t="s">
        <v>222</v>
      </c>
      <c r="CB157" s="132" t="s">
        <v>230</v>
      </c>
      <c r="CC157" s="42" t="s">
        <v>237</v>
      </c>
    </row>
    <row r="158" spans="35:81" x14ac:dyDescent="0.2">
      <c r="AJ158" s="42" t="s">
        <v>310</v>
      </c>
      <c r="AK158" s="15">
        <v>4</v>
      </c>
      <c r="AL158" s="15">
        <v>1</v>
      </c>
      <c r="AM158" s="137" t="s">
        <v>30</v>
      </c>
      <c r="AN158" s="15" t="s">
        <v>272</v>
      </c>
      <c r="AO158" s="15" t="s">
        <v>303</v>
      </c>
      <c r="AP158" s="15">
        <v>0</v>
      </c>
      <c r="AQ158" s="128">
        <v>0.95</v>
      </c>
      <c r="AR158" s="42">
        <v>48.7</v>
      </c>
      <c r="AS158" s="135" t="s">
        <v>271</v>
      </c>
      <c r="AT158" s="42" t="s">
        <v>305</v>
      </c>
      <c r="BB158" s="42" t="s">
        <v>310</v>
      </c>
      <c r="BC158" s="15">
        <v>4</v>
      </c>
      <c r="BD158" s="15">
        <v>1</v>
      </c>
      <c r="BE158" s="137" t="s">
        <v>30</v>
      </c>
      <c r="BF158" s="15" t="s">
        <v>272</v>
      </c>
      <c r="BG158" s="15" t="s">
        <v>303</v>
      </c>
      <c r="BH158" s="15">
        <v>0</v>
      </c>
      <c r="BI158" s="128">
        <v>0.95</v>
      </c>
      <c r="BJ158" s="42">
        <v>48.7</v>
      </c>
      <c r="BK158" s="135" t="s">
        <v>271</v>
      </c>
      <c r="BL158" s="42" t="s">
        <v>305</v>
      </c>
      <c r="BS158" s="42" t="s">
        <v>310</v>
      </c>
      <c r="BT158" s="15">
        <v>4</v>
      </c>
      <c r="BU158" s="15">
        <v>1</v>
      </c>
      <c r="BV158" s="137" t="s">
        <v>30</v>
      </c>
      <c r="BW158" s="15" t="s">
        <v>272</v>
      </c>
      <c r="BX158" s="15" t="s">
        <v>303</v>
      </c>
      <c r="BY158" s="15">
        <v>0</v>
      </c>
      <c r="BZ158" s="128">
        <v>0.95</v>
      </c>
      <c r="CA158" s="42">
        <v>48.7</v>
      </c>
      <c r="CB158" s="135" t="s">
        <v>271</v>
      </c>
      <c r="CC158" s="42" t="s">
        <v>305</v>
      </c>
    </row>
    <row r="160" spans="35:81" x14ac:dyDescent="0.2">
      <c r="AJ160" s="136" t="s">
        <v>311</v>
      </c>
      <c r="AK160" s="126" t="s">
        <v>14</v>
      </c>
      <c r="AL160" s="126" t="s">
        <v>15</v>
      </c>
      <c r="AM160" s="126" t="s">
        <v>29</v>
      </c>
      <c r="AN160" s="126" t="s">
        <v>16</v>
      </c>
      <c r="AO160" s="126" t="s">
        <v>59</v>
      </c>
      <c r="AP160" s="126" t="s">
        <v>17</v>
      </c>
      <c r="AQ160" s="15" t="s">
        <v>21</v>
      </c>
      <c r="AR160" s="127" t="s">
        <v>222</v>
      </c>
      <c r="AS160" s="132" t="s">
        <v>230</v>
      </c>
      <c r="AT160" s="42" t="s">
        <v>237</v>
      </c>
      <c r="BB160" s="136" t="s">
        <v>311</v>
      </c>
      <c r="BC160" s="126" t="s">
        <v>14</v>
      </c>
      <c r="BD160" s="126" t="s">
        <v>15</v>
      </c>
      <c r="BE160" s="126" t="s">
        <v>29</v>
      </c>
      <c r="BF160" s="126" t="s">
        <v>16</v>
      </c>
      <c r="BG160" s="126" t="s">
        <v>59</v>
      </c>
      <c r="BH160" s="126" t="s">
        <v>17</v>
      </c>
      <c r="BI160" s="15" t="s">
        <v>21</v>
      </c>
      <c r="BJ160" s="127" t="s">
        <v>222</v>
      </c>
      <c r="BK160" s="132" t="s">
        <v>230</v>
      </c>
      <c r="BL160" s="42" t="s">
        <v>237</v>
      </c>
      <c r="BS160" s="136" t="s">
        <v>311</v>
      </c>
      <c r="BT160" s="126" t="s">
        <v>14</v>
      </c>
      <c r="BU160" s="126" t="s">
        <v>15</v>
      </c>
      <c r="BV160" s="126" t="s">
        <v>29</v>
      </c>
      <c r="BW160" s="126" t="s">
        <v>16</v>
      </c>
      <c r="BX160" s="126" t="s">
        <v>59</v>
      </c>
      <c r="BY160" s="126" t="s">
        <v>17</v>
      </c>
      <c r="BZ160" s="15" t="s">
        <v>21</v>
      </c>
      <c r="CA160" s="127" t="s">
        <v>222</v>
      </c>
      <c r="CB160" s="132" t="s">
        <v>230</v>
      </c>
      <c r="CC160" s="42" t="s">
        <v>237</v>
      </c>
    </row>
    <row r="161" spans="35:81" x14ac:dyDescent="0.2">
      <c r="AJ161" s="42" t="s">
        <v>312</v>
      </c>
      <c r="AK161" s="15">
        <v>1</v>
      </c>
      <c r="AL161" s="15">
        <v>1</v>
      </c>
      <c r="AM161" s="137" t="s">
        <v>270</v>
      </c>
      <c r="AN161" s="15" t="s">
        <v>272</v>
      </c>
      <c r="AO161" s="15" t="s">
        <v>273</v>
      </c>
      <c r="AP161" s="15">
        <v>0</v>
      </c>
      <c r="AQ161" s="128">
        <v>0.95</v>
      </c>
      <c r="AR161" s="42">
        <v>48.7</v>
      </c>
      <c r="AS161" s="135" t="s">
        <v>271</v>
      </c>
      <c r="AT161" s="42" t="s">
        <v>305</v>
      </c>
      <c r="BB161" s="42" t="s">
        <v>312</v>
      </c>
      <c r="BC161" s="15">
        <v>1</v>
      </c>
      <c r="BD161" s="15">
        <v>1</v>
      </c>
      <c r="BE161" s="137" t="s">
        <v>270</v>
      </c>
      <c r="BF161" s="15" t="s">
        <v>272</v>
      </c>
      <c r="BG161" s="15" t="s">
        <v>273</v>
      </c>
      <c r="BH161" s="15">
        <v>0</v>
      </c>
      <c r="BI161" s="128">
        <v>0.95</v>
      </c>
      <c r="BJ161" s="42">
        <v>48.7</v>
      </c>
      <c r="BK161" s="135" t="s">
        <v>271</v>
      </c>
      <c r="BL161" s="42" t="s">
        <v>305</v>
      </c>
      <c r="BS161" s="42" t="s">
        <v>312</v>
      </c>
      <c r="BT161" s="15">
        <v>1</v>
      </c>
      <c r="BU161" s="15">
        <v>1</v>
      </c>
      <c r="BV161" s="137" t="s">
        <v>270</v>
      </c>
      <c r="BW161" s="15" t="s">
        <v>272</v>
      </c>
      <c r="BX161" s="15" t="s">
        <v>273</v>
      </c>
      <c r="BY161" s="15">
        <v>0</v>
      </c>
      <c r="BZ161" s="128">
        <v>0.95</v>
      </c>
      <c r="CA161" s="42">
        <v>48.7</v>
      </c>
      <c r="CB161" s="135" t="s">
        <v>271</v>
      </c>
      <c r="CC161" s="42" t="s">
        <v>305</v>
      </c>
    </row>
    <row r="163" spans="35:81" x14ac:dyDescent="0.2">
      <c r="AJ163" s="136" t="s">
        <v>311</v>
      </c>
      <c r="AK163" s="126" t="s">
        <v>14</v>
      </c>
      <c r="AL163" s="126" t="s">
        <v>15</v>
      </c>
      <c r="AM163" s="126" t="s">
        <v>29</v>
      </c>
      <c r="AN163" s="126" t="s">
        <v>16</v>
      </c>
      <c r="AO163" s="126" t="s">
        <v>59</v>
      </c>
      <c r="AP163" s="126" t="s">
        <v>17</v>
      </c>
      <c r="AQ163" s="15" t="s">
        <v>21</v>
      </c>
      <c r="AR163" s="127" t="s">
        <v>222</v>
      </c>
      <c r="AS163" s="132" t="s">
        <v>230</v>
      </c>
      <c r="AT163" s="42" t="s">
        <v>237</v>
      </c>
      <c r="BB163" s="136" t="s">
        <v>311</v>
      </c>
      <c r="BC163" s="126" t="s">
        <v>14</v>
      </c>
      <c r="BD163" s="126" t="s">
        <v>15</v>
      </c>
      <c r="BE163" s="126" t="s">
        <v>29</v>
      </c>
      <c r="BF163" s="126" t="s">
        <v>16</v>
      </c>
      <c r="BG163" s="126" t="s">
        <v>59</v>
      </c>
      <c r="BH163" s="126" t="s">
        <v>17</v>
      </c>
      <c r="BI163" s="15" t="s">
        <v>21</v>
      </c>
      <c r="BJ163" s="127" t="s">
        <v>222</v>
      </c>
      <c r="BK163" s="132" t="s">
        <v>230</v>
      </c>
      <c r="BL163" s="42" t="s">
        <v>237</v>
      </c>
      <c r="BS163" s="136" t="s">
        <v>311</v>
      </c>
      <c r="BT163" s="126" t="s">
        <v>14</v>
      </c>
      <c r="BU163" s="126" t="s">
        <v>15</v>
      </c>
      <c r="BV163" s="126" t="s">
        <v>29</v>
      </c>
      <c r="BW163" s="126" t="s">
        <v>16</v>
      </c>
      <c r="BX163" s="126" t="s">
        <v>59</v>
      </c>
      <c r="BY163" s="126" t="s">
        <v>17</v>
      </c>
      <c r="BZ163" s="15" t="s">
        <v>21</v>
      </c>
      <c r="CA163" s="127" t="s">
        <v>222</v>
      </c>
      <c r="CB163" s="132" t="s">
        <v>230</v>
      </c>
      <c r="CC163" s="42" t="s">
        <v>237</v>
      </c>
    </row>
    <row r="164" spans="35:81" x14ac:dyDescent="0.2">
      <c r="AJ164" s="42" t="s">
        <v>313</v>
      </c>
      <c r="AK164" s="15">
        <v>1</v>
      </c>
      <c r="AL164" s="15">
        <v>1</v>
      </c>
      <c r="AM164" s="137" t="s">
        <v>270</v>
      </c>
      <c r="AN164" s="15" t="s">
        <v>272</v>
      </c>
      <c r="AO164" s="15" t="s">
        <v>65</v>
      </c>
      <c r="AP164" s="15">
        <v>0</v>
      </c>
      <c r="AQ164" s="128">
        <v>0.95</v>
      </c>
      <c r="AR164" s="42">
        <v>48.7</v>
      </c>
      <c r="AS164" s="135" t="s">
        <v>231</v>
      </c>
      <c r="AT164" s="42" t="s">
        <v>238</v>
      </c>
      <c r="BB164" s="42" t="s">
        <v>313</v>
      </c>
      <c r="BC164" s="15">
        <v>1</v>
      </c>
      <c r="BD164" s="15">
        <v>1</v>
      </c>
      <c r="BE164" s="137" t="s">
        <v>270</v>
      </c>
      <c r="BF164" s="15" t="s">
        <v>272</v>
      </c>
      <c r="BG164" s="15" t="s">
        <v>65</v>
      </c>
      <c r="BH164" s="15">
        <v>0</v>
      </c>
      <c r="BI164" s="128">
        <v>0.95</v>
      </c>
      <c r="BJ164" s="42">
        <v>48.7</v>
      </c>
      <c r="BK164" s="135" t="s">
        <v>231</v>
      </c>
      <c r="BL164" s="42" t="s">
        <v>238</v>
      </c>
      <c r="BS164" s="42" t="s">
        <v>313</v>
      </c>
      <c r="BT164" s="15">
        <v>1</v>
      </c>
      <c r="BU164" s="15">
        <v>1</v>
      </c>
      <c r="BV164" s="137" t="s">
        <v>270</v>
      </c>
      <c r="BW164" s="15" t="s">
        <v>272</v>
      </c>
      <c r="BX164" s="15" t="s">
        <v>65</v>
      </c>
      <c r="BY164" s="15">
        <v>0</v>
      </c>
      <c r="BZ164" s="128">
        <v>0.95</v>
      </c>
      <c r="CA164" s="42">
        <v>48.7</v>
      </c>
      <c r="CB164" s="135" t="s">
        <v>231</v>
      </c>
      <c r="CC164" s="42" t="s">
        <v>238</v>
      </c>
    </row>
    <row r="166" spans="35:81" x14ac:dyDescent="0.2">
      <c r="AJ166" s="136" t="s">
        <v>311</v>
      </c>
      <c r="AK166" s="126" t="s">
        <v>14</v>
      </c>
      <c r="AL166" s="126" t="s">
        <v>15</v>
      </c>
      <c r="AM166" s="126" t="s">
        <v>29</v>
      </c>
      <c r="AN166" s="126" t="s">
        <v>16</v>
      </c>
      <c r="AO166" s="126" t="s">
        <v>59</v>
      </c>
      <c r="AP166" s="126" t="s">
        <v>17</v>
      </c>
      <c r="AQ166" s="15" t="s">
        <v>21</v>
      </c>
      <c r="AR166" s="127" t="s">
        <v>222</v>
      </c>
      <c r="AS166" s="132" t="s">
        <v>230</v>
      </c>
      <c r="AT166" s="42" t="s">
        <v>237</v>
      </c>
      <c r="BB166" s="136" t="s">
        <v>311</v>
      </c>
      <c r="BC166" s="126" t="s">
        <v>14</v>
      </c>
      <c r="BD166" s="126" t="s">
        <v>15</v>
      </c>
      <c r="BE166" s="126" t="s">
        <v>29</v>
      </c>
      <c r="BF166" s="126" t="s">
        <v>16</v>
      </c>
      <c r="BG166" s="126" t="s">
        <v>59</v>
      </c>
      <c r="BH166" s="126" t="s">
        <v>17</v>
      </c>
      <c r="BI166" s="15" t="s">
        <v>21</v>
      </c>
      <c r="BJ166" s="127" t="s">
        <v>222</v>
      </c>
      <c r="BK166" s="132" t="s">
        <v>230</v>
      </c>
      <c r="BL166" s="42" t="s">
        <v>237</v>
      </c>
      <c r="BS166" s="136" t="s">
        <v>311</v>
      </c>
      <c r="BT166" s="126" t="s">
        <v>14</v>
      </c>
      <c r="BU166" s="126" t="s">
        <v>15</v>
      </c>
      <c r="BV166" s="126" t="s">
        <v>29</v>
      </c>
      <c r="BW166" s="126" t="s">
        <v>16</v>
      </c>
      <c r="BX166" s="126" t="s">
        <v>59</v>
      </c>
      <c r="BY166" s="126" t="s">
        <v>17</v>
      </c>
      <c r="BZ166" s="15" t="s">
        <v>21</v>
      </c>
      <c r="CA166" s="127" t="s">
        <v>222</v>
      </c>
      <c r="CB166" s="132" t="s">
        <v>230</v>
      </c>
      <c r="CC166" s="42" t="s">
        <v>237</v>
      </c>
    </row>
    <row r="167" spans="35:81" x14ac:dyDescent="0.2">
      <c r="AJ167" s="42" t="s">
        <v>341</v>
      </c>
      <c r="AK167" s="15">
        <v>3</v>
      </c>
      <c r="AL167" s="15">
        <v>3</v>
      </c>
      <c r="AM167" s="137" t="s">
        <v>18</v>
      </c>
      <c r="AN167" s="15" t="s">
        <v>60</v>
      </c>
      <c r="AO167" s="15" t="s">
        <v>65</v>
      </c>
      <c r="AP167" s="15">
        <v>0</v>
      </c>
      <c r="AQ167" s="128">
        <v>0.95</v>
      </c>
      <c r="AR167" s="42">
        <v>48.7</v>
      </c>
      <c r="AS167" s="135" t="s">
        <v>271</v>
      </c>
      <c r="AT167" s="42" t="s">
        <v>305</v>
      </c>
      <c r="BB167" s="42" t="s">
        <v>341</v>
      </c>
      <c r="BC167" s="15">
        <v>3</v>
      </c>
      <c r="BD167" s="15">
        <v>3</v>
      </c>
      <c r="BE167" s="137" t="s">
        <v>18</v>
      </c>
      <c r="BF167" s="15" t="s">
        <v>60</v>
      </c>
      <c r="BG167" s="15" t="s">
        <v>65</v>
      </c>
      <c r="BH167" s="15">
        <v>0</v>
      </c>
      <c r="BI167" s="128">
        <v>0.95</v>
      </c>
      <c r="BJ167" s="42">
        <v>48.7</v>
      </c>
      <c r="BK167" s="135" t="s">
        <v>271</v>
      </c>
      <c r="BL167" s="42" t="s">
        <v>305</v>
      </c>
      <c r="BS167" s="42" t="s">
        <v>341</v>
      </c>
      <c r="BT167" s="15">
        <v>3</v>
      </c>
      <c r="BU167" s="15">
        <v>3</v>
      </c>
      <c r="BV167" s="137" t="s">
        <v>18</v>
      </c>
      <c r="BW167" s="15" t="s">
        <v>60</v>
      </c>
      <c r="BX167" s="15" t="s">
        <v>65</v>
      </c>
      <c r="BY167" s="15">
        <v>0</v>
      </c>
      <c r="BZ167" s="128">
        <v>0.95</v>
      </c>
      <c r="CA167" s="42">
        <v>48.7</v>
      </c>
      <c r="CB167" s="135" t="s">
        <v>271</v>
      </c>
      <c r="CC167" s="42" t="s">
        <v>305</v>
      </c>
    </row>
    <row r="169" spans="35:81" ht="14.5" customHeight="1" x14ac:dyDescent="0.2"/>
    <row r="172" spans="35:81" ht="16" thickBot="1" x14ac:dyDescent="0.25"/>
    <row r="173" spans="35:81" x14ac:dyDescent="0.2">
      <c r="AI173" s="382" t="s">
        <v>241</v>
      </c>
      <c r="AJ173" s="151" t="s">
        <v>234</v>
      </c>
      <c r="AK173" s="152" t="s">
        <v>14</v>
      </c>
      <c r="AL173" s="152" t="s">
        <v>15</v>
      </c>
      <c r="AM173" s="152" t="s">
        <v>29</v>
      </c>
      <c r="AN173" s="152" t="s">
        <v>16</v>
      </c>
      <c r="AO173" s="152" t="s">
        <v>59</v>
      </c>
      <c r="AP173" s="152" t="s">
        <v>17</v>
      </c>
      <c r="AQ173" s="116" t="s">
        <v>21</v>
      </c>
      <c r="AR173" s="153" t="s">
        <v>222</v>
      </c>
      <c r="AS173" s="154" t="s">
        <v>230</v>
      </c>
      <c r="AT173" s="51" t="s">
        <v>235</v>
      </c>
      <c r="BA173" s="382" t="s">
        <v>241</v>
      </c>
      <c r="BB173" s="151" t="s">
        <v>234</v>
      </c>
      <c r="BC173" s="152" t="s">
        <v>14</v>
      </c>
      <c r="BD173" s="152" t="s">
        <v>15</v>
      </c>
      <c r="BE173" s="152" t="s">
        <v>29</v>
      </c>
      <c r="BF173" s="152" t="s">
        <v>16</v>
      </c>
      <c r="BG173" s="152" t="s">
        <v>59</v>
      </c>
      <c r="BH173" s="152" t="s">
        <v>17</v>
      </c>
      <c r="BI173" s="116" t="s">
        <v>21</v>
      </c>
      <c r="BJ173" s="153" t="s">
        <v>222</v>
      </c>
      <c r="BK173" s="154" t="s">
        <v>230</v>
      </c>
      <c r="BL173" s="51" t="s">
        <v>235</v>
      </c>
      <c r="BR173" s="382" t="s">
        <v>241</v>
      </c>
      <c r="BS173" s="151" t="s">
        <v>234</v>
      </c>
      <c r="BT173" s="152" t="s">
        <v>14</v>
      </c>
      <c r="BU173" s="152" t="s">
        <v>15</v>
      </c>
      <c r="BV173" s="152" t="s">
        <v>29</v>
      </c>
      <c r="BW173" s="152" t="s">
        <v>16</v>
      </c>
      <c r="BX173" s="152" t="s">
        <v>59</v>
      </c>
      <c r="BY173" s="152" t="s">
        <v>17</v>
      </c>
      <c r="BZ173" s="116" t="s">
        <v>21</v>
      </c>
      <c r="CA173" s="153" t="s">
        <v>222</v>
      </c>
      <c r="CB173" s="154" t="s">
        <v>230</v>
      </c>
      <c r="CC173" s="51" t="s">
        <v>235</v>
      </c>
    </row>
    <row r="174" spans="35:81" x14ac:dyDescent="0.2">
      <c r="AI174" s="383"/>
      <c r="AJ174" s="39" t="s">
        <v>240</v>
      </c>
      <c r="AK174" s="15">
        <v>3</v>
      </c>
      <c r="AL174" s="15">
        <v>1</v>
      </c>
      <c r="AM174" s="137" t="s">
        <v>30</v>
      </c>
      <c r="AN174" s="15" t="s">
        <v>221</v>
      </c>
      <c r="AO174" s="15" t="s">
        <v>60</v>
      </c>
      <c r="AP174" s="15">
        <v>0</v>
      </c>
      <c r="AQ174" s="128">
        <v>0.95</v>
      </c>
      <c r="AR174" s="42">
        <v>48.7</v>
      </c>
      <c r="AS174" s="135" t="s">
        <v>231</v>
      </c>
      <c r="AT174" s="53" t="s">
        <v>236</v>
      </c>
      <c r="BA174" s="383"/>
      <c r="BB174" s="39" t="s">
        <v>240</v>
      </c>
      <c r="BC174" s="15">
        <v>3</v>
      </c>
      <c r="BD174" s="15">
        <v>1</v>
      </c>
      <c r="BE174" s="137" t="s">
        <v>30</v>
      </c>
      <c r="BF174" s="15" t="s">
        <v>221</v>
      </c>
      <c r="BG174" s="15" t="s">
        <v>60</v>
      </c>
      <c r="BH174" s="15">
        <v>0</v>
      </c>
      <c r="BI174" s="128">
        <v>0.95</v>
      </c>
      <c r="BJ174" s="42">
        <v>48.7</v>
      </c>
      <c r="BK174" s="135" t="s">
        <v>231</v>
      </c>
      <c r="BL174" s="53" t="s">
        <v>236</v>
      </c>
      <c r="BR174" s="383"/>
      <c r="BS174" s="39" t="s">
        <v>240</v>
      </c>
      <c r="BT174" s="15">
        <v>3</v>
      </c>
      <c r="BU174" s="15">
        <v>1</v>
      </c>
      <c r="BV174" s="137" t="s">
        <v>30</v>
      </c>
      <c r="BW174" s="15" t="s">
        <v>221</v>
      </c>
      <c r="BX174" s="15" t="s">
        <v>60</v>
      </c>
      <c r="BY174" s="15">
        <v>0</v>
      </c>
      <c r="BZ174" s="128">
        <v>0.95</v>
      </c>
      <c r="CA174" s="42">
        <v>48.7</v>
      </c>
      <c r="CB174" s="135" t="s">
        <v>231</v>
      </c>
      <c r="CC174" s="53" t="s">
        <v>236</v>
      </c>
    </row>
    <row r="175" spans="35:81" x14ac:dyDescent="0.2">
      <c r="AI175" s="383"/>
      <c r="AT175" s="155"/>
      <c r="BA175" s="383"/>
      <c r="BL175" s="155"/>
      <c r="BR175" s="383"/>
      <c r="CC175" s="155"/>
    </row>
    <row r="176" spans="35:81" x14ac:dyDescent="0.2">
      <c r="AI176" s="383"/>
      <c r="AJ176" s="136" t="s">
        <v>234</v>
      </c>
      <c r="AK176" s="126" t="s">
        <v>14</v>
      </c>
      <c r="AL176" s="126" t="s">
        <v>15</v>
      </c>
      <c r="AM176" s="126" t="s">
        <v>29</v>
      </c>
      <c r="AN176" s="126" t="s">
        <v>16</v>
      </c>
      <c r="AO176" s="126" t="s">
        <v>59</v>
      </c>
      <c r="AP176" s="126" t="s">
        <v>17</v>
      </c>
      <c r="AQ176" s="15" t="s">
        <v>21</v>
      </c>
      <c r="AR176" s="127" t="s">
        <v>222</v>
      </c>
      <c r="AS176" s="132" t="s">
        <v>230</v>
      </c>
      <c r="AT176" s="53" t="s">
        <v>235</v>
      </c>
      <c r="BA176" s="383"/>
      <c r="BB176" s="136" t="s">
        <v>234</v>
      </c>
      <c r="BC176" s="126" t="s">
        <v>14</v>
      </c>
      <c r="BD176" s="126" t="s">
        <v>15</v>
      </c>
      <c r="BE176" s="126" t="s">
        <v>29</v>
      </c>
      <c r="BF176" s="126" t="s">
        <v>16</v>
      </c>
      <c r="BG176" s="126" t="s">
        <v>59</v>
      </c>
      <c r="BH176" s="126" t="s">
        <v>17</v>
      </c>
      <c r="BI176" s="15" t="s">
        <v>21</v>
      </c>
      <c r="BJ176" s="127" t="s">
        <v>222</v>
      </c>
      <c r="BK176" s="132" t="s">
        <v>230</v>
      </c>
      <c r="BL176" s="53" t="s">
        <v>235</v>
      </c>
      <c r="BR176" s="383"/>
      <c r="BS176" s="136" t="s">
        <v>234</v>
      </c>
      <c r="BT176" s="126" t="s">
        <v>14</v>
      </c>
      <c r="BU176" s="126" t="s">
        <v>15</v>
      </c>
      <c r="BV176" s="126" t="s">
        <v>29</v>
      </c>
      <c r="BW176" s="126" t="s">
        <v>16</v>
      </c>
      <c r="BX176" s="126" t="s">
        <v>59</v>
      </c>
      <c r="BY176" s="126" t="s">
        <v>17</v>
      </c>
      <c r="BZ176" s="15" t="s">
        <v>21</v>
      </c>
      <c r="CA176" s="127" t="s">
        <v>222</v>
      </c>
      <c r="CB176" s="132" t="s">
        <v>230</v>
      </c>
      <c r="CC176" s="53" t="s">
        <v>235</v>
      </c>
    </row>
    <row r="177" spans="35:81" ht="16" thickBot="1" x14ac:dyDescent="0.25">
      <c r="AI177" s="384"/>
      <c r="AJ177" s="156" t="s">
        <v>239</v>
      </c>
      <c r="AK177" s="139">
        <v>8</v>
      </c>
      <c r="AL177" s="139">
        <v>1</v>
      </c>
      <c r="AM177" s="157" t="s">
        <v>30</v>
      </c>
      <c r="AN177" s="139" t="s">
        <v>207</v>
      </c>
      <c r="AO177" s="139" t="s">
        <v>60</v>
      </c>
      <c r="AP177" s="139">
        <v>0</v>
      </c>
      <c r="AQ177" s="158">
        <v>0.95</v>
      </c>
      <c r="AR177" s="55">
        <v>48.7</v>
      </c>
      <c r="AS177" s="159" t="s">
        <v>231</v>
      </c>
      <c r="AT177" s="43" t="s">
        <v>242</v>
      </c>
      <c r="BA177" s="384"/>
      <c r="BB177" s="156" t="s">
        <v>239</v>
      </c>
      <c r="BC177" s="139">
        <v>8</v>
      </c>
      <c r="BD177" s="139">
        <v>1</v>
      </c>
      <c r="BE177" s="157" t="s">
        <v>30</v>
      </c>
      <c r="BF177" s="139" t="s">
        <v>207</v>
      </c>
      <c r="BG177" s="139" t="s">
        <v>60</v>
      </c>
      <c r="BH177" s="139">
        <v>0</v>
      </c>
      <c r="BI177" s="158">
        <v>0.95</v>
      </c>
      <c r="BJ177" s="55">
        <v>48.7</v>
      </c>
      <c r="BK177" s="159" t="s">
        <v>231</v>
      </c>
      <c r="BL177" s="43" t="s">
        <v>242</v>
      </c>
      <c r="BR177" s="384"/>
      <c r="BS177" s="156" t="s">
        <v>239</v>
      </c>
      <c r="BT177" s="139">
        <v>8</v>
      </c>
      <c r="BU177" s="139">
        <v>1</v>
      </c>
      <c r="BV177" s="157" t="s">
        <v>30</v>
      </c>
      <c r="BW177" s="139" t="s">
        <v>207</v>
      </c>
      <c r="BX177" s="139" t="s">
        <v>60</v>
      </c>
      <c r="BY177" s="139">
        <v>0</v>
      </c>
      <c r="BZ177" s="158">
        <v>0.95</v>
      </c>
      <c r="CA177" s="55">
        <v>48.7</v>
      </c>
      <c r="CB177" s="159" t="s">
        <v>231</v>
      </c>
      <c r="CC177" s="43" t="s">
        <v>242</v>
      </c>
    </row>
    <row r="178" spans="35:81" x14ac:dyDescent="0.2">
      <c r="AJ178" s="161" t="s">
        <v>251</v>
      </c>
      <c r="AL178" s="71" t="s">
        <v>243</v>
      </c>
      <c r="AM178" s="71" t="s">
        <v>244</v>
      </c>
      <c r="AN178" s="71" t="s">
        <v>245</v>
      </c>
      <c r="AO178" s="71" t="s">
        <v>246</v>
      </c>
      <c r="AP178" s="162" t="s">
        <v>247</v>
      </c>
      <c r="AQ178" s="71" t="s">
        <v>248</v>
      </c>
      <c r="AR178" s="71" t="s">
        <v>249</v>
      </c>
      <c r="AS178" s="163" t="s">
        <v>250</v>
      </c>
      <c r="BB178" s="161" t="s">
        <v>251</v>
      </c>
      <c r="BD178" s="71" t="s">
        <v>243</v>
      </c>
      <c r="BE178" s="71" t="s">
        <v>244</v>
      </c>
      <c r="BF178" s="71" t="s">
        <v>245</v>
      </c>
      <c r="BG178" s="71" t="s">
        <v>246</v>
      </c>
      <c r="BH178" s="162" t="s">
        <v>247</v>
      </c>
      <c r="BI178" s="71" t="s">
        <v>248</v>
      </c>
      <c r="BJ178" s="71" t="s">
        <v>249</v>
      </c>
      <c r="BK178" s="163" t="s">
        <v>250</v>
      </c>
      <c r="BS178" s="161" t="s">
        <v>251</v>
      </c>
      <c r="BU178" s="71" t="s">
        <v>243</v>
      </c>
      <c r="BV178" s="71" t="s">
        <v>244</v>
      </c>
      <c r="BW178" s="71" t="s">
        <v>245</v>
      </c>
      <c r="BX178" s="71" t="s">
        <v>246</v>
      </c>
      <c r="BY178" s="162" t="s">
        <v>247</v>
      </c>
      <c r="BZ178" s="71" t="s">
        <v>248</v>
      </c>
      <c r="CA178" s="71" t="s">
        <v>249</v>
      </c>
      <c r="CB178" s="163" t="s">
        <v>250</v>
      </c>
    </row>
    <row r="179" spans="35:81" ht="16" thickBot="1" x14ac:dyDescent="0.25">
      <c r="AJ179" s="138" t="s">
        <v>252</v>
      </c>
      <c r="AK179" s="110"/>
      <c r="AL179" s="139" t="s">
        <v>253</v>
      </c>
      <c r="AM179" s="139" t="s">
        <v>254</v>
      </c>
      <c r="AN179" s="139" t="s">
        <v>255</v>
      </c>
      <c r="AO179" s="139" t="s">
        <v>256</v>
      </c>
      <c r="AP179" s="141" t="s">
        <v>257</v>
      </c>
      <c r="AQ179" s="139" t="s">
        <v>258</v>
      </c>
      <c r="AR179" s="139" t="s">
        <v>259</v>
      </c>
      <c r="AS179" s="140" t="s">
        <v>260</v>
      </c>
      <c r="BB179" s="138" t="s">
        <v>252</v>
      </c>
      <c r="BC179" s="110"/>
      <c r="BD179" s="139" t="s">
        <v>253</v>
      </c>
      <c r="BE179" s="139" t="s">
        <v>254</v>
      </c>
      <c r="BF179" s="139" t="s">
        <v>255</v>
      </c>
      <c r="BG179" s="139" t="s">
        <v>256</v>
      </c>
      <c r="BH179" s="141" t="s">
        <v>257</v>
      </c>
      <c r="BI179" s="139" t="s">
        <v>258</v>
      </c>
      <c r="BJ179" s="139" t="s">
        <v>259</v>
      </c>
      <c r="BK179" s="140" t="s">
        <v>260</v>
      </c>
      <c r="BS179" s="138" t="s">
        <v>252</v>
      </c>
      <c r="BT179" s="110"/>
      <c r="BU179" s="139" t="s">
        <v>253</v>
      </c>
      <c r="BV179" s="139" t="s">
        <v>254</v>
      </c>
      <c r="BW179" s="139" t="s">
        <v>255</v>
      </c>
      <c r="BX179" s="139" t="s">
        <v>256</v>
      </c>
      <c r="BY179" s="141" t="s">
        <v>257</v>
      </c>
      <c r="BZ179" s="139" t="s">
        <v>258</v>
      </c>
      <c r="CA179" s="139" t="s">
        <v>259</v>
      </c>
      <c r="CB179" s="140" t="s">
        <v>260</v>
      </c>
    </row>
    <row r="180" spans="35:81" ht="16" thickBot="1" x14ac:dyDescent="0.25">
      <c r="AL180" s="142" t="s">
        <v>262</v>
      </c>
      <c r="AM180" s="142" t="s">
        <v>264</v>
      </c>
      <c r="AN180" s="142" t="s">
        <v>263</v>
      </c>
      <c r="AO180" s="142" t="s">
        <v>262</v>
      </c>
      <c r="AP180" s="2" t="s">
        <v>265</v>
      </c>
      <c r="AQ180" s="142" t="s">
        <v>262</v>
      </c>
      <c r="AR180" s="2">
        <v>-2.5</v>
      </c>
      <c r="AS180" s="142" t="s">
        <v>266</v>
      </c>
      <c r="BD180" s="142" t="s">
        <v>262</v>
      </c>
      <c r="BE180" s="142" t="s">
        <v>264</v>
      </c>
      <c r="BF180" s="142" t="s">
        <v>263</v>
      </c>
      <c r="BG180" s="142" t="s">
        <v>262</v>
      </c>
      <c r="BH180" s="2" t="s">
        <v>265</v>
      </c>
      <c r="BI180" s="142" t="s">
        <v>262</v>
      </c>
      <c r="BJ180" s="2">
        <v>-2.5</v>
      </c>
      <c r="BK180" s="142" t="s">
        <v>266</v>
      </c>
      <c r="BU180" s="142" t="s">
        <v>262</v>
      </c>
      <c r="BV180" s="142" t="s">
        <v>264</v>
      </c>
      <c r="BW180" s="142" t="s">
        <v>263</v>
      </c>
      <c r="BX180" s="142" t="s">
        <v>262</v>
      </c>
      <c r="BY180" s="2" t="s">
        <v>265</v>
      </c>
      <c r="BZ180" s="142" t="s">
        <v>262</v>
      </c>
      <c r="CA180" s="2">
        <v>-2.5</v>
      </c>
      <c r="CB180" s="142" t="s">
        <v>266</v>
      </c>
    </row>
    <row r="181" spans="35:81" ht="16" thickBot="1" x14ac:dyDescent="0.25">
      <c r="AJ181" s="143" t="s">
        <v>261</v>
      </c>
      <c r="AL181" s="15" t="s">
        <v>268</v>
      </c>
      <c r="AM181" s="15" t="s">
        <v>267</v>
      </c>
      <c r="AN181" s="15" t="s">
        <v>253</v>
      </c>
      <c r="AO181" s="15" t="s">
        <v>254</v>
      </c>
      <c r="AP181" s="15" t="s">
        <v>259</v>
      </c>
      <c r="AQ181" s="15" t="s">
        <v>254</v>
      </c>
      <c r="AR181" s="15" t="s">
        <v>253</v>
      </c>
      <c r="AS181" s="15" t="s">
        <v>269</v>
      </c>
      <c r="BB181" s="143" t="s">
        <v>261</v>
      </c>
      <c r="BD181" s="15" t="s">
        <v>268</v>
      </c>
      <c r="BE181" s="15" t="s">
        <v>267</v>
      </c>
      <c r="BF181" s="15" t="s">
        <v>253</v>
      </c>
      <c r="BG181" s="15" t="s">
        <v>254</v>
      </c>
      <c r="BH181" s="15" t="s">
        <v>259</v>
      </c>
      <c r="BI181" s="15" t="s">
        <v>254</v>
      </c>
      <c r="BJ181" s="15" t="s">
        <v>253</v>
      </c>
      <c r="BK181" s="15" t="s">
        <v>269</v>
      </c>
      <c r="BS181" s="143" t="s">
        <v>261</v>
      </c>
      <c r="BU181" s="15" t="s">
        <v>268</v>
      </c>
      <c r="BV181" s="15" t="s">
        <v>267</v>
      </c>
      <c r="BW181" s="15" t="s">
        <v>253</v>
      </c>
      <c r="BX181" s="15" t="s">
        <v>254</v>
      </c>
      <c r="BY181" s="15" t="s">
        <v>259</v>
      </c>
      <c r="BZ181" s="15" t="s">
        <v>254</v>
      </c>
      <c r="CA181" s="15" t="s">
        <v>253</v>
      </c>
      <c r="CB181" s="15" t="s">
        <v>269</v>
      </c>
    </row>
    <row r="183" spans="35:81" ht="16" thickBot="1" x14ac:dyDescent="0.25"/>
    <row r="184" spans="35:81" x14ac:dyDescent="0.2">
      <c r="AJ184" s="164" t="s">
        <v>333</v>
      </c>
      <c r="AK184" s="152" t="s">
        <v>14</v>
      </c>
      <c r="AL184" s="152" t="s">
        <v>15</v>
      </c>
      <c r="AM184" s="152" t="s">
        <v>29</v>
      </c>
      <c r="AN184" s="152" t="s">
        <v>16</v>
      </c>
      <c r="AO184" s="152" t="s">
        <v>59</v>
      </c>
      <c r="AP184" s="152" t="s">
        <v>17</v>
      </c>
      <c r="AQ184" s="116" t="s">
        <v>21</v>
      </c>
      <c r="AR184" s="153" t="s">
        <v>222</v>
      </c>
      <c r="AS184" s="154" t="s">
        <v>230</v>
      </c>
      <c r="AT184" s="51" t="s">
        <v>237</v>
      </c>
      <c r="BB184" s="164" t="s">
        <v>333</v>
      </c>
      <c r="BC184" s="152" t="s">
        <v>14</v>
      </c>
      <c r="BD184" s="152" t="s">
        <v>15</v>
      </c>
      <c r="BE184" s="152" t="s">
        <v>29</v>
      </c>
      <c r="BF184" s="152" t="s">
        <v>16</v>
      </c>
      <c r="BG184" s="152" t="s">
        <v>59</v>
      </c>
      <c r="BH184" s="152" t="s">
        <v>17</v>
      </c>
      <c r="BI184" s="116" t="s">
        <v>21</v>
      </c>
      <c r="BJ184" s="153" t="s">
        <v>222</v>
      </c>
      <c r="BK184" s="154" t="s">
        <v>230</v>
      </c>
      <c r="BL184" s="51" t="s">
        <v>237</v>
      </c>
      <c r="BS184" s="164" t="s">
        <v>333</v>
      </c>
      <c r="BT184" s="152" t="s">
        <v>14</v>
      </c>
      <c r="BU184" s="152" t="s">
        <v>15</v>
      </c>
      <c r="BV184" s="152" t="s">
        <v>29</v>
      </c>
      <c r="BW184" s="152" t="s">
        <v>16</v>
      </c>
      <c r="BX184" s="152" t="s">
        <v>59</v>
      </c>
      <c r="BY184" s="152" t="s">
        <v>17</v>
      </c>
      <c r="BZ184" s="116" t="s">
        <v>21</v>
      </c>
      <c r="CA184" s="153" t="s">
        <v>222</v>
      </c>
      <c r="CB184" s="154" t="s">
        <v>230</v>
      </c>
      <c r="CC184" s="51" t="s">
        <v>237</v>
      </c>
    </row>
    <row r="185" spans="35:81" x14ac:dyDescent="0.2">
      <c r="AJ185" s="165" t="s">
        <v>334</v>
      </c>
      <c r="AK185" s="15">
        <v>1</v>
      </c>
      <c r="AL185" s="15">
        <v>3</v>
      </c>
      <c r="AM185" s="137" t="s">
        <v>30</v>
      </c>
      <c r="AN185" s="15" t="s">
        <v>335</v>
      </c>
      <c r="AO185" s="137" t="s">
        <v>30</v>
      </c>
      <c r="AP185" s="15">
        <v>0</v>
      </c>
      <c r="AQ185" s="128">
        <v>0.95</v>
      </c>
      <c r="AR185" s="42">
        <v>48.7</v>
      </c>
      <c r="AS185" s="135" t="s">
        <v>338</v>
      </c>
      <c r="AT185" s="53" t="s">
        <v>238</v>
      </c>
      <c r="BB185" s="165" t="s">
        <v>334</v>
      </c>
      <c r="BC185" s="15">
        <v>1</v>
      </c>
      <c r="BD185" s="15">
        <v>3</v>
      </c>
      <c r="BE185" s="137" t="s">
        <v>30</v>
      </c>
      <c r="BF185" s="15" t="s">
        <v>335</v>
      </c>
      <c r="BG185" s="137" t="s">
        <v>30</v>
      </c>
      <c r="BH185" s="15">
        <v>0</v>
      </c>
      <c r="BI185" s="128">
        <v>0.95</v>
      </c>
      <c r="BJ185" s="42">
        <v>48.7</v>
      </c>
      <c r="BK185" s="135" t="s">
        <v>338</v>
      </c>
      <c r="BL185" s="53" t="s">
        <v>238</v>
      </c>
      <c r="BS185" s="165" t="s">
        <v>334</v>
      </c>
      <c r="BT185" s="15">
        <v>1</v>
      </c>
      <c r="BU185" s="15">
        <v>3</v>
      </c>
      <c r="BV185" s="137" t="s">
        <v>30</v>
      </c>
      <c r="BW185" s="15" t="s">
        <v>335</v>
      </c>
      <c r="BX185" s="137" t="s">
        <v>30</v>
      </c>
      <c r="BY185" s="15">
        <v>0</v>
      </c>
      <c r="BZ185" s="128">
        <v>0.95</v>
      </c>
      <c r="CA185" s="42">
        <v>48.7</v>
      </c>
      <c r="CB185" s="135" t="s">
        <v>338</v>
      </c>
      <c r="CC185" s="53" t="s">
        <v>238</v>
      </c>
    </row>
    <row r="186" spans="35:81" ht="16" thickBot="1" x14ac:dyDescent="0.25">
      <c r="AJ186" s="166" t="s">
        <v>336</v>
      </c>
      <c r="AK186" s="139">
        <v>1</v>
      </c>
      <c r="AL186" s="139">
        <v>1</v>
      </c>
      <c r="AM186" s="157" t="s">
        <v>273</v>
      </c>
      <c r="AN186" s="139" t="s">
        <v>207</v>
      </c>
      <c r="AO186" s="157" t="s">
        <v>30</v>
      </c>
      <c r="AP186" s="139">
        <v>0</v>
      </c>
      <c r="AQ186" s="158">
        <v>0.95</v>
      </c>
      <c r="AR186" s="55">
        <v>48.7</v>
      </c>
      <c r="AS186" s="159" t="s">
        <v>337</v>
      </c>
      <c r="AT186" s="43" t="s">
        <v>238</v>
      </c>
      <c r="BB186" s="166" t="s">
        <v>336</v>
      </c>
      <c r="BC186" s="139">
        <v>1</v>
      </c>
      <c r="BD186" s="139">
        <v>1</v>
      </c>
      <c r="BE186" s="157" t="s">
        <v>273</v>
      </c>
      <c r="BF186" s="139" t="s">
        <v>207</v>
      </c>
      <c r="BG186" s="157" t="s">
        <v>30</v>
      </c>
      <c r="BH186" s="139">
        <v>0</v>
      </c>
      <c r="BI186" s="158">
        <v>0.95</v>
      </c>
      <c r="BJ186" s="55">
        <v>48.7</v>
      </c>
      <c r="BK186" s="159" t="s">
        <v>337</v>
      </c>
      <c r="BL186" s="43" t="s">
        <v>238</v>
      </c>
      <c r="BS186" s="166" t="s">
        <v>336</v>
      </c>
      <c r="BT186" s="139">
        <v>1</v>
      </c>
      <c r="BU186" s="139">
        <v>1</v>
      </c>
      <c r="BV186" s="157" t="s">
        <v>273</v>
      </c>
      <c r="BW186" s="139" t="s">
        <v>207</v>
      </c>
      <c r="BX186" s="157" t="s">
        <v>30</v>
      </c>
      <c r="BY186" s="139">
        <v>0</v>
      </c>
      <c r="BZ186" s="158">
        <v>0.95</v>
      </c>
      <c r="CA186" s="55">
        <v>48.7</v>
      </c>
      <c r="CB186" s="159" t="s">
        <v>337</v>
      </c>
      <c r="CC186" s="43" t="s">
        <v>238</v>
      </c>
    </row>
    <row r="188" spans="35:81" x14ac:dyDescent="0.2">
      <c r="AJ188" s="136" t="s">
        <v>339</v>
      </c>
      <c r="AK188" s="126" t="s">
        <v>14</v>
      </c>
      <c r="AL188" s="126" t="s">
        <v>15</v>
      </c>
      <c r="AM188" s="126" t="s">
        <v>29</v>
      </c>
      <c r="AN188" s="126" t="s">
        <v>16</v>
      </c>
      <c r="AO188" s="126" t="s">
        <v>59</v>
      </c>
      <c r="AP188" s="126" t="s">
        <v>17</v>
      </c>
      <c r="AQ188" s="15" t="s">
        <v>21</v>
      </c>
      <c r="AR188" s="127" t="s">
        <v>222</v>
      </c>
      <c r="AS188" s="132" t="s">
        <v>230</v>
      </c>
      <c r="AT188" s="42" t="s">
        <v>237</v>
      </c>
      <c r="BB188" s="136" t="s">
        <v>339</v>
      </c>
      <c r="BC188" s="126" t="s">
        <v>14</v>
      </c>
      <c r="BD188" s="126" t="s">
        <v>15</v>
      </c>
      <c r="BE188" s="126" t="s">
        <v>29</v>
      </c>
      <c r="BF188" s="126" t="s">
        <v>16</v>
      </c>
      <c r="BG188" s="126" t="s">
        <v>59</v>
      </c>
      <c r="BH188" s="126" t="s">
        <v>17</v>
      </c>
      <c r="BI188" s="15" t="s">
        <v>21</v>
      </c>
      <c r="BJ188" s="127" t="s">
        <v>222</v>
      </c>
      <c r="BK188" s="132" t="s">
        <v>230</v>
      </c>
      <c r="BL188" s="42" t="s">
        <v>237</v>
      </c>
      <c r="BS188" s="136" t="s">
        <v>339</v>
      </c>
      <c r="BT188" s="126" t="s">
        <v>14</v>
      </c>
      <c r="BU188" s="126" t="s">
        <v>15</v>
      </c>
      <c r="BV188" s="126" t="s">
        <v>29</v>
      </c>
      <c r="BW188" s="126" t="s">
        <v>16</v>
      </c>
      <c r="BX188" s="126" t="s">
        <v>59</v>
      </c>
      <c r="BY188" s="126" t="s">
        <v>17</v>
      </c>
      <c r="BZ188" s="15" t="s">
        <v>21</v>
      </c>
      <c r="CA188" s="127" t="s">
        <v>222</v>
      </c>
      <c r="CB188" s="132" t="s">
        <v>230</v>
      </c>
      <c r="CC188" s="42" t="s">
        <v>237</v>
      </c>
    </row>
    <row r="189" spans="35:81" x14ac:dyDescent="0.2">
      <c r="AJ189" s="42" t="s">
        <v>340</v>
      </c>
      <c r="AK189" s="15">
        <v>3</v>
      </c>
      <c r="AL189" s="15">
        <v>4</v>
      </c>
      <c r="AM189" s="137" t="s">
        <v>30</v>
      </c>
      <c r="AN189" s="15" t="s">
        <v>295</v>
      </c>
      <c r="AO189" s="137" t="s">
        <v>207</v>
      </c>
      <c r="AP189" s="15">
        <v>0</v>
      </c>
      <c r="AQ189" s="128">
        <v>0.5</v>
      </c>
      <c r="AR189" s="42">
        <v>48.7</v>
      </c>
      <c r="AS189" s="135" t="s">
        <v>337</v>
      </c>
      <c r="AT189" s="42" t="s">
        <v>238</v>
      </c>
      <c r="BB189" s="42" t="s">
        <v>340</v>
      </c>
      <c r="BC189" s="15">
        <v>3</v>
      </c>
      <c r="BD189" s="15">
        <v>4</v>
      </c>
      <c r="BE189" s="137" t="s">
        <v>30</v>
      </c>
      <c r="BF189" s="15" t="s">
        <v>295</v>
      </c>
      <c r="BG189" s="137" t="s">
        <v>207</v>
      </c>
      <c r="BH189" s="15">
        <v>0</v>
      </c>
      <c r="BI189" s="128">
        <v>0.5</v>
      </c>
      <c r="BJ189" s="42">
        <v>48.7</v>
      </c>
      <c r="BK189" s="135" t="s">
        <v>337</v>
      </c>
      <c r="BL189" s="42" t="s">
        <v>238</v>
      </c>
      <c r="BS189" s="42" t="s">
        <v>340</v>
      </c>
      <c r="BT189" s="15">
        <v>3</v>
      </c>
      <c r="BU189" s="15">
        <v>4</v>
      </c>
      <c r="BV189" s="137" t="s">
        <v>30</v>
      </c>
      <c r="BW189" s="15" t="s">
        <v>295</v>
      </c>
      <c r="BX189" s="137" t="s">
        <v>207</v>
      </c>
      <c r="BY189" s="15">
        <v>0</v>
      </c>
      <c r="BZ189" s="128">
        <v>0.5</v>
      </c>
      <c r="CA189" s="42">
        <v>48.7</v>
      </c>
      <c r="CB189" s="135" t="s">
        <v>337</v>
      </c>
      <c r="CC189" s="42" t="s">
        <v>238</v>
      </c>
    </row>
    <row r="191" spans="35:81" x14ac:dyDescent="0.2">
      <c r="AJ191" s="136" t="s">
        <v>234</v>
      </c>
      <c r="AK191" s="126" t="s">
        <v>14</v>
      </c>
      <c r="AL191" s="126" t="s">
        <v>15</v>
      </c>
      <c r="AM191" s="126" t="s">
        <v>29</v>
      </c>
      <c r="AN191" s="126" t="s">
        <v>16</v>
      </c>
      <c r="AO191" s="126" t="s">
        <v>59</v>
      </c>
      <c r="AP191" s="126" t="s">
        <v>17</v>
      </c>
      <c r="AQ191" s="15" t="s">
        <v>21</v>
      </c>
      <c r="AR191" s="127" t="s">
        <v>222</v>
      </c>
      <c r="AS191" s="132" t="s">
        <v>230</v>
      </c>
      <c r="AT191" s="42" t="s">
        <v>237</v>
      </c>
      <c r="BB191" s="136" t="s">
        <v>234</v>
      </c>
      <c r="BC191" s="126" t="s">
        <v>14</v>
      </c>
      <c r="BD191" s="126" t="s">
        <v>15</v>
      </c>
      <c r="BE191" s="126" t="s">
        <v>29</v>
      </c>
      <c r="BF191" s="126" t="s">
        <v>16</v>
      </c>
      <c r="BG191" s="126" t="s">
        <v>59</v>
      </c>
      <c r="BH191" s="126" t="s">
        <v>17</v>
      </c>
      <c r="BI191" s="15" t="s">
        <v>21</v>
      </c>
      <c r="BJ191" s="127" t="s">
        <v>222</v>
      </c>
      <c r="BK191" s="132" t="s">
        <v>230</v>
      </c>
      <c r="BL191" s="42" t="s">
        <v>237</v>
      </c>
      <c r="BS191" s="136" t="s">
        <v>234</v>
      </c>
      <c r="BT191" s="126" t="s">
        <v>14</v>
      </c>
      <c r="BU191" s="126" t="s">
        <v>15</v>
      </c>
      <c r="BV191" s="126" t="s">
        <v>29</v>
      </c>
      <c r="BW191" s="126" t="s">
        <v>16</v>
      </c>
      <c r="BX191" s="126" t="s">
        <v>59</v>
      </c>
      <c r="BY191" s="126" t="s">
        <v>17</v>
      </c>
      <c r="BZ191" s="15" t="s">
        <v>21</v>
      </c>
      <c r="CA191" s="127" t="s">
        <v>222</v>
      </c>
      <c r="CB191" s="132" t="s">
        <v>230</v>
      </c>
      <c r="CC191" s="42" t="s">
        <v>237</v>
      </c>
    </row>
    <row r="192" spans="35:81" x14ac:dyDescent="0.2">
      <c r="AJ192" s="42" t="s">
        <v>342</v>
      </c>
      <c r="AK192" s="15">
        <v>5</v>
      </c>
      <c r="AL192" s="15">
        <v>2</v>
      </c>
      <c r="AM192" s="137" t="s">
        <v>30</v>
      </c>
      <c r="AN192" s="15" t="s">
        <v>295</v>
      </c>
      <c r="AO192" s="137" t="s">
        <v>207</v>
      </c>
      <c r="AP192" s="15">
        <v>0</v>
      </c>
      <c r="AQ192" s="128">
        <v>0.5</v>
      </c>
      <c r="AR192" s="42">
        <v>48.7</v>
      </c>
      <c r="AS192" s="135" t="s">
        <v>231</v>
      </c>
      <c r="AT192" s="42" t="s">
        <v>305</v>
      </c>
      <c r="BB192" s="42" t="s">
        <v>342</v>
      </c>
      <c r="BC192" s="15">
        <v>5</v>
      </c>
      <c r="BD192" s="15">
        <v>2</v>
      </c>
      <c r="BE192" s="137" t="s">
        <v>30</v>
      </c>
      <c r="BF192" s="15" t="s">
        <v>295</v>
      </c>
      <c r="BG192" s="137" t="s">
        <v>207</v>
      </c>
      <c r="BH192" s="15">
        <v>0</v>
      </c>
      <c r="BI192" s="128">
        <v>0.5</v>
      </c>
      <c r="BJ192" s="42">
        <v>48.7</v>
      </c>
      <c r="BK192" s="135" t="s">
        <v>231</v>
      </c>
      <c r="BL192" s="42" t="s">
        <v>305</v>
      </c>
      <c r="BS192" s="42" t="s">
        <v>342</v>
      </c>
      <c r="BT192" s="15">
        <v>5</v>
      </c>
      <c r="BU192" s="15">
        <v>2</v>
      </c>
      <c r="BV192" s="137" t="s">
        <v>30</v>
      </c>
      <c r="BW192" s="15" t="s">
        <v>295</v>
      </c>
      <c r="BX192" s="137" t="s">
        <v>207</v>
      </c>
      <c r="BY192" s="15">
        <v>0</v>
      </c>
      <c r="BZ192" s="128">
        <v>0.5</v>
      </c>
      <c r="CA192" s="42">
        <v>48.7</v>
      </c>
      <c r="CB192" s="135" t="s">
        <v>231</v>
      </c>
      <c r="CC192" s="42" t="s">
        <v>305</v>
      </c>
    </row>
    <row r="220" ht="14.5" customHeight="1" x14ac:dyDescent="0.2"/>
  </sheetData>
  <mergeCells count="8">
    <mergeCell ref="AI173:AI177"/>
    <mergeCell ref="BA173:BA177"/>
    <mergeCell ref="BR173:BR177"/>
    <mergeCell ref="CB2:CC2"/>
    <mergeCell ref="CI18:CJ18"/>
    <mergeCell ref="CI20:CJ20"/>
    <mergeCell ref="CH18:CH19"/>
    <mergeCell ref="CH20:CH21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43E3D-1E81-094E-A81B-4666223386AA}">
  <dimension ref="A1:N21"/>
  <sheetViews>
    <sheetView tabSelected="1" workbookViewId="0">
      <selection activeCell="B2" sqref="B2"/>
    </sheetView>
  </sheetViews>
  <sheetFormatPr baseColWidth="10" defaultRowHeight="15" x14ac:dyDescent="0.2"/>
  <sheetData>
    <row r="1" spans="1:14" ht="16" thickBot="1" x14ac:dyDescent="0.25"/>
    <row r="2" spans="1:14" ht="16" thickBot="1" x14ac:dyDescent="0.25">
      <c r="B2" s="144" t="s">
        <v>274</v>
      </c>
      <c r="C2" s="145"/>
      <c r="D2" s="145"/>
      <c r="E2" s="145"/>
      <c r="F2" s="145"/>
      <c r="G2" s="145"/>
      <c r="H2" s="146"/>
      <c r="I2" s="146"/>
      <c r="J2" s="147">
        <v>45413</v>
      </c>
      <c r="K2" s="358">
        <v>46023</v>
      </c>
    </row>
    <row r="3" spans="1:14" x14ac:dyDescent="0.2">
      <c r="A3">
        <v>1</v>
      </c>
      <c r="B3" t="s">
        <v>275</v>
      </c>
      <c r="C3" s="2"/>
      <c r="D3" s="2"/>
      <c r="E3" s="2"/>
      <c r="F3" s="2"/>
      <c r="G3" s="2"/>
      <c r="J3" s="3" t="s">
        <v>276</v>
      </c>
      <c r="K3" s="3">
        <v>49.3</v>
      </c>
    </row>
    <row r="4" spans="1:14" x14ac:dyDescent="0.2">
      <c r="A4">
        <v>2</v>
      </c>
      <c r="B4" t="s">
        <v>277</v>
      </c>
      <c r="C4" s="2"/>
      <c r="D4" s="2"/>
      <c r="E4" s="2"/>
      <c r="F4" s="2"/>
      <c r="G4" s="2"/>
      <c r="J4" s="3" t="s">
        <v>278</v>
      </c>
      <c r="K4" s="3" t="s">
        <v>491</v>
      </c>
    </row>
    <row r="5" spans="1:14" x14ac:dyDescent="0.2">
      <c r="A5">
        <v>3</v>
      </c>
      <c r="B5" t="s">
        <v>279</v>
      </c>
      <c r="C5" s="2"/>
      <c r="D5" s="2"/>
      <c r="E5" s="2"/>
      <c r="F5" s="2"/>
      <c r="G5" s="2"/>
      <c r="J5" s="2" t="s">
        <v>280</v>
      </c>
      <c r="K5" s="2" t="s">
        <v>34</v>
      </c>
    </row>
    <row r="6" spans="1:14" x14ac:dyDescent="0.2">
      <c r="A6">
        <v>4</v>
      </c>
      <c r="B6" t="s">
        <v>281</v>
      </c>
      <c r="C6" s="2"/>
      <c r="D6" s="3" t="s">
        <v>286</v>
      </c>
      <c r="E6" s="2"/>
      <c r="F6" s="2"/>
      <c r="G6" s="2"/>
      <c r="H6" t="s">
        <v>288</v>
      </c>
      <c r="J6" s="2" t="s">
        <v>282</v>
      </c>
      <c r="K6" s="2" t="s">
        <v>34</v>
      </c>
    </row>
    <row r="7" spans="1:14" x14ac:dyDescent="0.2">
      <c r="A7">
        <v>5</v>
      </c>
      <c r="B7" t="s">
        <v>283</v>
      </c>
      <c r="C7" s="2"/>
      <c r="D7" s="3" t="s">
        <v>287</v>
      </c>
      <c r="E7" s="2"/>
      <c r="F7" s="2"/>
      <c r="G7" s="142" t="s">
        <v>284</v>
      </c>
      <c r="H7" t="s">
        <v>288</v>
      </c>
      <c r="J7" s="2" t="s">
        <v>285</v>
      </c>
      <c r="K7" s="2" t="s">
        <v>34</v>
      </c>
    </row>
    <row r="9" spans="1:14" ht="16" thickBot="1" x14ac:dyDescent="0.25"/>
    <row r="10" spans="1:14" ht="16" thickBot="1" x14ac:dyDescent="0.25">
      <c r="A10" s="17" t="s">
        <v>390</v>
      </c>
      <c r="B10" s="244" t="s">
        <v>274</v>
      </c>
      <c r="C10" s="145"/>
      <c r="D10" s="145"/>
      <c r="E10" s="145"/>
      <c r="F10" s="145"/>
      <c r="G10" s="145"/>
      <c r="H10" s="146"/>
      <c r="I10" s="146"/>
      <c r="J10" s="358">
        <v>46023</v>
      </c>
    </row>
    <row r="11" spans="1:14" x14ac:dyDescent="0.2">
      <c r="A11" s="9">
        <v>1</v>
      </c>
      <c r="B11" t="s">
        <v>275</v>
      </c>
      <c r="C11" s="2"/>
      <c r="D11" s="2"/>
      <c r="E11" s="2"/>
      <c r="F11" s="2"/>
      <c r="G11" s="2"/>
      <c r="J11" s="239">
        <v>49.3</v>
      </c>
    </row>
    <row r="12" spans="1:14" x14ac:dyDescent="0.2">
      <c r="A12" s="9">
        <v>1</v>
      </c>
      <c r="B12" t="s">
        <v>277</v>
      </c>
      <c r="C12" s="2"/>
      <c r="D12" s="2" t="s">
        <v>425</v>
      </c>
      <c r="F12" s="2"/>
      <c r="G12" s="2"/>
      <c r="J12" s="239">
        <v>154</v>
      </c>
    </row>
    <row r="13" spans="1:14" x14ac:dyDescent="0.2">
      <c r="A13" s="9">
        <v>1</v>
      </c>
      <c r="B13" t="s">
        <v>277</v>
      </c>
      <c r="C13" s="2"/>
      <c r="D13" s="2" t="s">
        <v>391</v>
      </c>
      <c r="E13" s="2" t="s">
        <v>392</v>
      </c>
      <c r="G13" s="2"/>
      <c r="J13" s="240" t="s">
        <v>388</v>
      </c>
      <c r="K13" s="241" t="s">
        <v>21</v>
      </c>
      <c r="L13" s="242" t="s">
        <v>227</v>
      </c>
      <c r="M13" s="243" t="s">
        <v>223</v>
      </c>
    </row>
    <row r="14" spans="1:14" x14ac:dyDescent="0.2">
      <c r="A14" s="9">
        <v>1</v>
      </c>
      <c r="B14" t="s">
        <v>279</v>
      </c>
      <c r="C14" s="2"/>
      <c r="D14" s="2"/>
      <c r="E14" s="2"/>
      <c r="F14" s="2"/>
      <c r="G14" s="2"/>
      <c r="H14" t="s">
        <v>288</v>
      </c>
      <c r="J14" s="252" t="s">
        <v>386</v>
      </c>
      <c r="K14" s="253">
        <v>0.95</v>
      </c>
      <c r="L14">
        <v>41.5</v>
      </c>
      <c r="M14" s="33">
        <v>7</v>
      </c>
    </row>
    <row r="15" spans="1:14" x14ac:dyDescent="0.2">
      <c r="A15" s="9">
        <v>1</v>
      </c>
      <c r="B15" t="s">
        <v>389</v>
      </c>
      <c r="C15" s="2"/>
      <c r="D15" s="3" t="s">
        <v>286</v>
      </c>
      <c r="E15" s="2"/>
      <c r="F15" s="2"/>
      <c r="G15" s="142" t="s">
        <v>284</v>
      </c>
      <c r="H15" t="s">
        <v>288</v>
      </c>
      <c r="J15" s="254" t="s">
        <v>408</v>
      </c>
      <c r="K15" s="38">
        <f>19*10</f>
        <v>190</v>
      </c>
      <c r="L15" s="255" t="s">
        <v>409</v>
      </c>
      <c r="M15" s="256">
        <f>K15/60</f>
        <v>3.1666666666666665</v>
      </c>
      <c r="N15" s="39" t="s">
        <v>410</v>
      </c>
    </row>
    <row r="16" spans="1:14" x14ac:dyDescent="0.2">
      <c r="A16" s="9">
        <v>1</v>
      </c>
      <c r="B16" t="s">
        <v>283</v>
      </c>
      <c r="C16" s="2"/>
      <c r="D16" s="3" t="s">
        <v>287</v>
      </c>
      <c r="E16" s="2"/>
      <c r="F16" s="2"/>
    </row>
    <row r="18" spans="1:3" x14ac:dyDescent="0.2">
      <c r="A18" s="389" t="s">
        <v>397</v>
      </c>
      <c r="B18" s="387" t="s">
        <v>492</v>
      </c>
      <c r="C18" s="388"/>
    </row>
    <row r="19" spans="1:3" x14ac:dyDescent="0.2">
      <c r="A19" s="390"/>
      <c r="B19" s="42" t="s">
        <v>398</v>
      </c>
      <c r="C19" s="42"/>
    </row>
    <row r="20" spans="1:3" x14ac:dyDescent="0.2">
      <c r="A20" s="391" t="s">
        <v>399</v>
      </c>
      <c r="B20" s="387" t="s">
        <v>493</v>
      </c>
      <c r="C20" s="388"/>
    </row>
    <row r="21" spans="1:3" x14ac:dyDescent="0.2">
      <c r="A21" s="392"/>
      <c r="B21" s="42" t="s">
        <v>398</v>
      </c>
      <c r="C21" s="42"/>
    </row>
  </sheetData>
  <mergeCells count="4">
    <mergeCell ref="A18:A19"/>
    <mergeCell ref="B18:C18"/>
    <mergeCell ref="A20:A21"/>
    <mergeCell ref="B20:C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C86B8-3510-4FE1-8DA8-15269CA0B0E2}">
  <dimension ref="A2:AK122"/>
  <sheetViews>
    <sheetView topLeftCell="A28" zoomScale="69" workbookViewId="0">
      <selection activeCell="L49" sqref="L49"/>
    </sheetView>
  </sheetViews>
  <sheetFormatPr baseColWidth="10" defaultColWidth="8.83203125" defaultRowHeight="15" x14ac:dyDescent="0.2"/>
  <cols>
    <col min="1" max="1" width="15.1640625" bestFit="1" customWidth="1"/>
    <col min="3" max="3" width="10" bestFit="1" customWidth="1"/>
    <col min="4" max="4" width="11.33203125" bestFit="1" customWidth="1"/>
    <col min="5" max="5" width="8.33203125" bestFit="1" customWidth="1"/>
    <col min="7" max="7" width="9.6640625" bestFit="1" customWidth="1"/>
    <col min="12" max="12" width="12.6640625" bestFit="1" customWidth="1"/>
    <col min="13" max="13" width="17.5" bestFit="1" customWidth="1"/>
    <col min="18" max="18" width="9.6640625" customWidth="1"/>
    <col min="23" max="23" width="12.1640625" bestFit="1" customWidth="1"/>
    <col min="28" max="28" width="12.1640625" bestFit="1" customWidth="1"/>
    <col min="33" max="33" width="12.1640625" bestFit="1" customWidth="1"/>
  </cols>
  <sheetData>
    <row r="2" spans="1:8" x14ac:dyDescent="0.2">
      <c r="A2" s="18" t="s">
        <v>75</v>
      </c>
      <c r="B2" t="s">
        <v>76</v>
      </c>
    </row>
    <row r="3" spans="1:8" x14ac:dyDescent="0.2">
      <c r="A3" s="18" t="s">
        <v>77</v>
      </c>
      <c r="B3" t="s">
        <v>203</v>
      </c>
    </row>
    <row r="5" spans="1:8" x14ac:dyDescent="0.2">
      <c r="A5" s="40">
        <v>46023</v>
      </c>
      <c r="B5" s="40" t="s">
        <v>203</v>
      </c>
      <c r="C5" s="40">
        <v>46023</v>
      </c>
      <c r="D5" s="40">
        <v>46054</v>
      </c>
      <c r="E5" s="40">
        <v>46082</v>
      </c>
      <c r="F5" s="40">
        <v>46113</v>
      </c>
      <c r="G5" s="40">
        <v>46143</v>
      </c>
    </row>
    <row r="6" spans="1:8" x14ac:dyDescent="0.2">
      <c r="A6" s="20" t="s">
        <v>478</v>
      </c>
      <c r="B6" s="21" t="s">
        <v>80</v>
      </c>
      <c r="C6" s="21" t="s">
        <v>80</v>
      </c>
      <c r="D6" s="21" t="s">
        <v>80</v>
      </c>
      <c r="E6" s="22" t="s">
        <v>81</v>
      </c>
      <c r="F6" s="23" t="s">
        <v>82</v>
      </c>
      <c r="G6" s="24" t="s">
        <v>83</v>
      </c>
    </row>
    <row r="7" spans="1:8" x14ac:dyDescent="0.2">
      <c r="A7" s="25" t="s">
        <v>85</v>
      </c>
      <c r="B7" s="25" t="s">
        <v>254</v>
      </c>
      <c r="C7" s="25" t="s">
        <v>259</v>
      </c>
      <c r="D7" s="25" t="s">
        <v>480</v>
      </c>
      <c r="E7" s="25" t="s">
        <v>258</v>
      </c>
      <c r="F7" s="25" t="s">
        <v>86</v>
      </c>
      <c r="G7" s="25"/>
    </row>
    <row r="9" spans="1:8" x14ac:dyDescent="0.2">
      <c r="A9" s="18" t="s">
        <v>89</v>
      </c>
    </row>
    <row r="11" spans="1:8" x14ac:dyDescent="0.2">
      <c r="A11" s="26" t="s">
        <v>92</v>
      </c>
      <c r="B11" s="26" t="s">
        <v>87</v>
      </c>
      <c r="C11" s="26" t="s">
        <v>80</v>
      </c>
      <c r="D11" s="26" t="s">
        <v>81</v>
      </c>
      <c r="E11" s="26" t="s">
        <v>93</v>
      </c>
      <c r="F11" s="26" t="s">
        <v>83</v>
      </c>
      <c r="G11" s="26" t="s">
        <v>94</v>
      </c>
    </row>
    <row r="12" spans="1:8" x14ac:dyDescent="0.2">
      <c r="A12" t="s">
        <v>96</v>
      </c>
      <c r="B12" s="27" t="s">
        <v>97</v>
      </c>
      <c r="C12" s="27" t="s">
        <v>98</v>
      </c>
      <c r="D12" s="27" t="s">
        <v>97</v>
      </c>
      <c r="E12" s="27" t="s">
        <v>99</v>
      </c>
      <c r="F12" s="27" t="s">
        <v>100</v>
      </c>
      <c r="G12" s="27" t="s">
        <v>97</v>
      </c>
    </row>
    <row r="13" spans="1:8" x14ac:dyDescent="0.2">
      <c r="B13" s="28" t="s">
        <v>103</v>
      </c>
      <c r="C13" s="28" t="s">
        <v>103</v>
      </c>
      <c r="D13" s="28" t="s">
        <v>103</v>
      </c>
      <c r="E13" s="28" t="s">
        <v>103</v>
      </c>
      <c r="F13" s="28" t="s">
        <v>103</v>
      </c>
      <c r="G13" s="28" t="s">
        <v>103</v>
      </c>
    </row>
    <row r="15" spans="1:8" x14ac:dyDescent="0.2">
      <c r="A15" s="29" t="s">
        <v>106</v>
      </c>
      <c r="B15" s="30" t="s">
        <v>107</v>
      </c>
      <c r="C15" s="30" t="s">
        <v>108</v>
      </c>
      <c r="D15" s="30" t="s">
        <v>109</v>
      </c>
      <c r="E15" s="30"/>
      <c r="F15" s="30" t="s">
        <v>110</v>
      </c>
      <c r="G15" s="30" t="s">
        <v>111</v>
      </c>
      <c r="H15" s="31" t="s">
        <v>112</v>
      </c>
    </row>
    <row r="16" spans="1:8" x14ac:dyDescent="0.2">
      <c r="A16" s="32"/>
      <c r="C16" t="s">
        <v>107</v>
      </c>
      <c r="D16" t="s">
        <v>107</v>
      </c>
      <c r="F16" t="s">
        <v>113</v>
      </c>
      <c r="G16" t="s">
        <v>110</v>
      </c>
      <c r="H16" s="33"/>
    </row>
    <row r="17" spans="1:31" x14ac:dyDescent="0.2">
      <c r="A17" s="34"/>
      <c r="B17" s="35" t="s">
        <v>114</v>
      </c>
      <c r="C17" s="35" t="s">
        <v>115</v>
      </c>
      <c r="D17" s="35" t="s">
        <v>116</v>
      </c>
      <c r="E17" s="35" t="s">
        <v>117</v>
      </c>
      <c r="F17" s="35" t="s">
        <v>118</v>
      </c>
      <c r="G17" s="35" t="s">
        <v>119</v>
      </c>
      <c r="H17" s="36"/>
    </row>
    <row r="18" spans="1:31" x14ac:dyDescent="0.2">
      <c r="A18" s="37" t="s">
        <v>120</v>
      </c>
      <c r="B18" s="38" t="s">
        <v>121</v>
      </c>
      <c r="C18" s="38" t="s">
        <v>122</v>
      </c>
      <c r="D18" s="38" t="s">
        <v>121</v>
      </c>
      <c r="E18" s="38" t="s">
        <v>123</v>
      </c>
      <c r="F18" s="38" t="s">
        <v>123</v>
      </c>
      <c r="G18" s="39" t="s">
        <v>123</v>
      </c>
    </row>
    <row r="19" spans="1:31" x14ac:dyDescent="0.2">
      <c r="A19" s="37" t="s">
        <v>124</v>
      </c>
      <c r="B19" s="38" t="s">
        <v>123</v>
      </c>
      <c r="C19" s="38" t="s">
        <v>125</v>
      </c>
      <c r="D19" s="38" t="s">
        <v>122</v>
      </c>
      <c r="E19" s="38" t="s">
        <v>122</v>
      </c>
      <c r="F19" s="38" t="s">
        <v>122</v>
      </c>
      <c r="G19" s="39" t="s">
        <v>126</v>
      </c>
    </row>
    <row r="20" spans="1:31" x14ac:dyDescent="0.2">
      <c r="A20" s="37" t="s">
        <v>127</v>
      </c>
      <c r="B20" s="38" t="s">
        <v>121</v>
      </c>
      <c r="C20" s="38" t="s">
        <v>122</v>
      </c>
      <c r="D20" s="38" t="s">
        <v>121</v>
      </c>
      <c r="E20" s="38" t="s">
        <v>123</v>
      </c>
      <c r="F20" s="38" t="s">
        <v>128</v>
      </c>
      <c r="G20" s="39" t="s">
        <v>123</v>
      </c>
    </row>
    <row r="24" spans="1:31" ht="16" thickBot="1" x14ac:dyDescent="0.25"/>
    <row r="25" spans="1:31" ht="16" thickBot="1" x14ac:dyDescent="0.25">
      <c r="B25" s="401"/>
      <c r="C25" s="402"/>
      <c r="D25" s="402"/>
      <c r="E25" s="402"/>
      <c r="F25" s="402"/>
      <c r="G25" s="402"/>
      <c r="H25" s="402"/>
      <c r="I25" s="402"/>
      <c r="J25" s="402"/>
      <c r="K25" s="402"/>
      <c r="L25" s="402"/>
      <c r="M25" s="402"/>
      <c r="N25" s="402"/>
      <c r="O25" s="402"/>
      <c r="P25" s="402"/>
      <c r="Q25" s="402"/>
      <c r="R25" s="402"/>
      <c r="S25" s="402"/>
      <c r="T25" s="402"/>
      <c r="U25" s="402"/>
      <c r="V25" s="402"/>
      <c r="W25" s="402"/>
      <c r="X25" s="402"/>
      <c r="Y25" s="402"/>
      <c r="Z25" s="402"/>
      <c r="AA25" s="402"/>
      <c r="AB25" s="402"/>
      <c r="AC25" s="402"/>
      <c r="AD25" s="402"/>
      <c r="AE25" s="403"/>
    </row>
    <row r="28" spans="1:31" ht="16" thickBot="1" x14ac:dyDescent="0.25">
      <c r="L28" s="18" t="s">
        <v>129</v>
      </c>
      <c r="M28" s="285" t="s">
        <v>203</v>
      </c>
    </row>
    <row r="29" spans="1:31" ht="16" thickBot="1" x14ac:dyDescent="0.25">
      <c r="L29" t="s">
        <v>130</v>
      </c>
      <c r="M29" s="95" t="s">
        <v>80</v>
      </c>
      <c r="N29" s="96" t="s">
        <v>153</v>
      </c>
      <c r="O29" s="97">
        <v>46143</v>
      </c>
      <c r="Q29" s="41" t="s">
        <v>217</v>
      </c>
    </row>
    <row r="30" spans="1:31" ht="16" thickBot="1" x14ac:dyDescent="0.25">
      <c r="L30" t="s">
        <v>96</v>
      </c>
      <c r="M30" t="s">
        <v>218</v>
      </c>
      <c r="N30" t="s">
        <v>219</v>
      </c>
      <c r="O30" s="97" t="s">
        <v>466</v>
      </c>
    </row>
    <row r="31" spans="1:31" ht="16" thickBot="1" x14ac:dyDescent="0.25">
      <c r="L31" t="s">
        <v>131</v>
      </c>
      <c r="M31" t="s">
        <v>135</v>
      </c>
    </row>
    <row r="32" spans="1:31" x14ac:dyDescent="0.2">
      <c r="L32" t="s">
        <v>132</v>
      </c>
      <c r="M32" t="s">
        <v>121</v>
      </c>
      <c r="N32" s="363" t="s">
        <v>496</v>
      </c>
      <c r="O32" s="51" t="s">
        <v>254</v>
      </c>
    </row>
    <row r="33" spans="2:37" ht="16" thickBot="1" x14ac:dyDescent="0.25">
      <c r="L33" t="s">
        <v>133</v>
      </c>
      <c r="M33" t="s">
        <v>123</v>
      </c>
      <c r="N33" s="362" t="s">
        <v>497</v>
      </c>
      <c r="O33" s="43"/>
    </row>
    <row r="34" spans="2:37" ht="16" thickBot="1" x14ac:dyDescent="0.25">
      <c r="L34" t="s">
        <v>134</v>
      </c>
      <c r="M34" t="s">
        <v>121</v>
      </c>
    </row>
    <row r="35" spans="2:37" ht="16" thickBot="1" x14ac:dyDescent="0.25">
      <c r="N35" s="398" t="s">
        <v>136</v>
      </c>
      <c r="O35" s="399"/>
      <c r="P35" s="399"/>
      <c r="Q35" s="400"/>
      <c r="S35" s="398" t="s">
        <v>136</v>
      </c>
      <c r="T35" s="399"/>
      <c r="U35" s="399"/>
      <c r="V35" s="400"/>
      <c r="X35" s="398" t="s">
        <v>136</v>
      </c>
      <c r="Y35" s="399"/>
      <c r="Z35" s="399"/>
      <c r="AA35" s="400"/>
      <c r="AC35" s="398" t="s">
        <v>136</v>
      </c>
      <c r="AD35" s="399"/>
      <c r="AE35" s="399"/>
      <c r="AF35" s="400"/>
      <c r="AH35" s="398" t="s">
        <v>136</v>
      </c>
      <c r="AI35" s="399"/>
      <c r="AJ35" s="399"/>
      <c r="AK35" s="400"/>
    </row>
    <row r="36" spans="2:37" ht="16" thickBot="1" x14ac:dyDescent="0.25">
      <c r="N36" s="398">
        <v>1</v>
      </c>
      <c r="O36" s="399"/>
      <c r="P36" s="399"/>
      <c r="Q36" s="319" t="s">
        <v>148</v>
      </c>
      <c r="S36" s="398">
        <f>N36+1</f>
        <v>2</v>
      </c>
      <c r="T36" s="399"/>
      <c r="U36" s="399"/>
      <c r="V36" s="319" t="s">
        <v>148</v>
      </c>
      <c r="X36" s="398">
        <f>S36+1</f>
        <v>3</v>
      </c>
      <c r="Y36" s="399"/>
      <c r="Z36" s="399"/>
      <c r="AA36" s="319" t="s">
        <v>148</v>
      </c>
      <c r="AC36" s="398">
        <f>X36+1</f>
        <v>4</v>
      </c>
      <c r="AD36" s="399"/>
      <c r="AE36" s="399"/>
      <c r="AF36" s="319" t="s">
        <v>148</v>
      </c>
      <c r="AH36" s="398">
        <f>AC36+1</f>
        <v>5</v>
      </c>
      <c r="AI36" s="399"/>
      <c r="AJ36" s="399"/>
      <c r="AK36" s="319" t="s">
        <v>148</v>
      </c>
    </row>
    <row r="37" spans="2:37" x14ac:dyDescent="0.2">
      <c r="B37" s="364" t="s">
        <v>375</v>
      </c>
      <c r="C37" s="365" t="s">
        <v>373</v>
      </c>
      <c r="D37" s="366"/>
      <c r="E37" s="367"/>
      <c r="G37" s="337" t="s">
        <v>365</v>
      </c>
      <c r="H37" s="338" t="s">
        <v>373</v>
      </c>
      <c r="I37" s="339"/>
      <c r="J37" s="340"/>
      <c r="M37" s="49" t="s">
        <v>137</v>
      </c>
      <c r="N37" s="50">
        <v>1</v>
      </c>
      <c r="O37" s="50"/>
      <c r="P37" s="207"/>
      <c r="Q37" s="314">
        <f>SUM(N37:P37)+0</f>
        <v>1</v>
      </c>
      <c r="R37" s="49" t="s">
        <v>137</v>
      </c>
      <c r="S37" s="50">
        <v>1</v>
      </c>
      <c r="T37" s="50">
        <v>1</v>
      </c>
      <c r="U37" s="207"/>
      <c r="V37" s="314">
        <f>SUM(S37:U37)+0</f>
        <v>2</v>
      </c>
      <c r="W37" s="49" t="s">
        <v>137</v>
      </c>
      <c r="X37" s="50">
        <v>1</v>
      </c>
      <c r="Y37" s="50">
        <v>1</v>
      </c>
      <c r="Z37" s="207">
        <v>1</v>
      </c>
      <c r="AA37" s="314">
        <f>SUM(X37:Z37)+0</f>
        <v>3</v>
      </c>
      <c r="AB37" s="49" t="s">
        <v>137</v>
      </c>
      <c r="AC37" s="50">
        <v>1</v>
      </c>
      <c r="AD37" s="50"/>
      <c r="AE37" s="207">
        <v>0</v>
      </c>
      <c r="AF37" s="314">
        <f>SUM(AC37:AE37)+0</f>
        <v>1</v>
      </c>
      <c r="AG37" s="49" t="s">
        <v>137</v>
      </c>
      <c r="AH37" s="50"/>
      <c r="AI37" s="50"/>
      <c r="AJ37" s="207">
        <v>0</v>
      </c>
      <c r="AK37" s="314">
        <f>SUM(AH37:AJ37)+0</f>
        <v>0</v>
      </c>
    </row>
    <row r="38" spans="2:37" x14ac:dyDescent="0.2">
      <c r="B38" s="368" t="s">
        <v>366</v>
      </c>
      <c r="C38" s="124" t="s">
        <v>268</v>
      </c>
      <c r="D38" s="124" t="s">
        <v>269</v>
      </c>
      <c r="E38" s="369"/>
      <c r="G38" s="341" t="s">
        <v>366</v>
      </c>
      <c r="H38" s="102" t="s">
        <v>269</v>
      </c>
      <c r="I38" s="102" t="s">
        <v>253</v>
      </c>
      <c r="J38" s="342"/>
      <c r="M38" s="52" t="s">
        <v>96</v>
      </c>
      <c r="N38" s="46">
        <v>8.3333333333333329E-2</v>
      </c>
      <c r="O38" s="47"/>
      <c r="P38" s="317"/>
      <c r="Q38" s="320">
        <f>SUM(N38:P38)</f>
        <v>8.3333333333333329E-2</v>
      </c>
      <c r="R38" s="52" t="s">
        <v>96</v>
      </c>
      <c r="S38" s="250">
        <v>8.3333333333333329E-2</v>
      </c>
      <c r="T38" s="47">
        <v>7.2916666666666671E-2</v>
      </c>
      <c r="U38" s="317"/>
      <c r="V38" s="320">
        <f>SUM(S38:U38)</f>
        <v>0.15625</v>
      </c>
      <c r="W38" s="52" t="s">
        <v>96</v>
      </c>
      <c r="X38" s="46">
        <v>7.2916666666666671E-2</v>
      </c>
      <c r="Y38" s="47">
        <v>0.10416666666666667</v>
      </c>
      <c r="Z38" s="317">
        <v>4.1666666666666664E-2</v>
      </c>
      <c r="AA38" s="320">
        <f>SUM(X38:Z38)</f>
        <v>0.21875</v>
      </c>
      <c r="AB38" s="52" t="s">
        <v>96</v>
      </c>
      <c r="AC38" s="46">
        <v>8.3333333333333329E-2</v>
      </c>
      <c r="AD38" s="47"/>
      <c r="AE38" s="317"/>
      <c r="AF38" s="320">
        <f>SUM(AC38:AE38)</f>
        <v>8.3333333333333329E-2</v>
      </c>
      <c r="AG38" s="52" t="s">
        <v>96</v>
      </c>
      <c r="AH38" s="46"/>
      <c r="AI38" s="47"/>
      <c r="AJ38" s="317"/>
      <c r="AK38" s="320">
        <f>SUM(AH38:AJ38)</f>
        <v>0</v>
      </c>
    </row>
    <row r="39" spans="2:37" x14ac:dyDescent="0.2">
      <c r="B39" s="368" t="s">
        <v>367</v>
      </c>
      <c r="C39" s="124" t="s">
        <v>260</v>
      </c>
      <c r="D39" s="124" t="s">
        <v>377</v>
      </c>
      <c r="E39" s="369" t="s">
        <v>269</v>
      </c>
      <c r="G39" s="341" t="s">
        <v>367</v>
      </c>
      <c r="H39" s="102" t="s">
        <v>372</v>
      </c>
      <c r="I39" s="102" t="s">
        <v>254</v>
      </c>
      <c r="J39" s="342" t="s">
        <v>253</v>
      </c>
      <c r="M39" s="52" t="s">
        <v>138</v>
      </c>
      <c r="N39" s="48">
        <v>208</v>
      </c>
      <c r="O39" s="48"/>
      <c r="P39" s="318"/>
      <c r="Q39" s="315">
        <f t="shared" ref="Q39:Q41" si="0">SUM(N39:P39)</f>
        <v>208</v>
      </c>
      <c r="R39" s="52" t="s">
        <v>138</v>
      </c>
      <c r="S39" s="48">
        <v>72</v>
      </c>
      <c r="T39" s="48">
        <f>14*4</f>
        <v>56</v>
      </c>
      <c r="U39" s="318"/>
      <c r="V39" s="315">
        <f t="shared" ref="V39:V41" si="1">SUM(S39:U39)</f>
        <v>128</v>
      </c>
      <c r="W39" s="52" t="s">
        <v>138</v>
      </c>
      <c r="X39" s="48">
        <f>X40*X42</f>
        <v>221</v>
      </c>
      <c r="Y39" s="48">
        <f>20*13</f>
        <v>260</v>
      </c>
      <c r="Z39" s="318">
        <v>80</v>
      </c>
      <c r="AA39" s="315">
        <f t="shared" ref="AA39:AA41" si="2">SUM(X39:Z39)</f>
        <v>561</v>
      </c>
      <c r="AB39" s="52" t="s">
        <v>138</v>
      </c>
      <c r="AC39" s="48">
        <v>260</v>
      </c>
      <c r="AD39" s="48"/>
      <c r="AE39" s="318"/>
      <c r="AF39" s="315">
        <f t="shared" ref="AF39:AF41" si="3">SUM(AC39:AE39)</f>
        <v>260</v>
      </c>
      <c r="AG39" s="52" t="s">
        <v>138</v>
      </c>
      <c r="AH39" s="48"/>
      <c r="AI39" s="48"/>
      <c r="AJ39" s="318"/>
      <c r="AK39" s="315">
        <f t="shared" ref="AK39:AK41" si="4">SUM(AH39:AJ39)</f>
        <v>0</v>
      </c>
    </row>
    <row r="40" spans="2:37" x14ac:dyDescent="0.2">
      <c r="B40" s="368" t="s">
        <v>368</v>
      </c>
      <c r="C40" s="124" t="s">
        <v>260</v>
      </c>
      <c r="D40" s="124" t="s">
        <v>377</v>
      </c>
      <c r="E40" s="369" t="s">
        <v>269</v>
      </c>
      <c r="G40" s="341" t="s">
        <v>368</v>
      </c>
      <c r="H40" s="102" t="s">
        <v>372</v>
      </c>
      <c r="I40" s="102" t="s">
        <v>254</v>
      </c>
      <c r="J40" s="342" t="s">
        <v>269</v>
      </c>
      <c r="M40" s="52" t="s">
        <v>139</v>
      </c>
      <c r="N40" s="42">
        <v>14</v>
      </c>
      <c r="O40" s="42"/>
      <c r="P40" s="37"/>
      <c r="Q40" s="315">
        <f t="shared" si="0"/>
        <v>14</v>
      </c>
      <c r="R40" s="52" t="s">
        <v>139</v>
      </c>
      <c r="S40" s="42">
        <v>16</v>
      </c>
      <c r="T40" s="42">
        <v>14</v>
      </c>
      <c r="U40" s="37"/>
      <c r="V40" s="315">
        <f t="shared" si="1"/>
        <v>30</v>
      </c>
      <c r="W40" s="52" t="s">
        <v>139</v>
      </c>
      <c r="X40" s="42">
        <v>17</v>
      </c>
      <c r="Y40" s="42">
        <v>20</v>
      </c>
      <c r="Z40" s="37">
        <v>20</v>
      </c>
      <c r="AA40" s="315">
        <f t="shared" si="2"/>
        <v>57</v>
      </c>
      <c r="AB40" s="52" t="s">
        <v>139</v>
      </c>
      <c r="AC40" s="42">
        <v>20</v>
      </c>
      <c r="AD40" s="42"/>
      <c r="AE40" s="37"/>
      <c r="AF40" s="315">
        <f t="shared" si="3"/>
        <v>20</v>
      </c>
      <c r="AG40" s="52" t="s">
        <v>139</v>
      </c>
      <c r="AH40" s="42"/>
      <c r="AI40" s="42"/>
      <c r="AJ40" s="37"/>
      <c r="AK40" s="315">
        <f t="shared" si="4"/>
        <v>0</v>
      </c>
    </row>
    <row r="41" spans="2:37" x14ac:dyDescent="0.2">
      <c r="B41" s="368" t="s">
        <v>369</v>
      </c>
      <c r="C41" s="124" t="s">
        <v>260</v>
      </c>
      <c r="D41" s="124" t="s">
        <v>377</v>
      </c>
      <c r="E41" s="369" t="s">
        <v>268</v>
      </c>
      <c r="G41" s="341" t="s">
        <v>369</v>
      </c>
      <c r="H41" s="102" t="s">
        <v>254</v>
      </c>
      <c r="I41" s="102" t="s">
        <v>254</v>
      </c>
      <c r="J41" s="342" t="s">
        <v>253</v>
      </c>
      <c r="M41" s="52" t="s">
        <v>459</v>
      </c>
      <c r="N41" s="42">
        <v>420</v>
      </c>
      <c r="O41" s="42"/>
      <c r="P41" s="37"/>
      <c r="Q41" s="315">
        <f t="shared" si="0"/>
        <v>420</v>
      </c>
      <c r="R41" s="52" t="s">
        <v>459</v>
      </c>
      <c r="S41" s="42">
        <v>96</v>
      </c>
      <c r="T41" s="42">
        <v>252</v>
      </c>
      <c r="U41" s="37"/>
      <c r="V41" s="315">
        <f t="shared" si="1"/>
        <v>348</v>
      </c>
      <c r="W41" s="52" t="s">
        <v>459</v>
      </c>
      <c r="X41" s="42">
        <f>17*15</f>
        <v>255</v>
      </c>
      <c r="Y41" s="42">
        <f>20*15</f>
        <v>300</v>
      </c>
      <c r="Z41" s="37">
        <v>260</v>
      </c>
      <c r="AA41" s="315">
        <f t="shared" si="2"/>
        <v>815</v>
      </c>
      <c r="AB41" s="52" t="s">
        <v>459</v>
      </c>
      <c r="AC41" s="42">
        <v>300</v>
      </c>
      <c r="AD41" s="42"/>
      <c r="AE41" s="37"/>
      <c r="AF41" s="315">
        <f t="shared" si="3"/>
        <v>300</v>
      </c>
      <c r="AG41" s="52" t="s">
        <v>459</v>
      </c>
      <c r="AH41" s="42"/>
      <c r="AI41" s="42"/>
      <c r="AJ41" s="37"/>
      <c r="AK41" s="315">
        <f t="shared" si="4"/>
        <v>0</v>
      </c>
    </row>
    <row r="42" spans="2:37" ht="16" thickBot="1" x14ac:dyDescent="0.25">
      <c r="B42" s="368" t="s">
        <v>370</v>
      </c>
      <c r="C42" s="124" t="s">
        <v>372</v>
      </c>
      <c r="D42" s="124" t="s">
        <v>372</v>
      </c>
      <c r="E42" s="369"/>
      <c r="G42" s="341" t="s">
        <v>370</v>
      </c>
      <c r="H42" s="102" t="s">
        <v>372</v>
      </c>
      <c r="I42" s="102" t="s">
        <v>253</v>
      </c>
      <c r="J42" s="342"/>
      <c r="M42" s="54" t="s">
        <v>140</v>
      </c>
      <c r="N42" s="55">
        <v>20</v>
      </c>
      <c r="O42" s="55"/>
      <c r="P42" s="208"/>
      <c r="Q42" s="316">
        <f>SUM(N42:P42)</f>
        <v>20</v>
      </c>
      <c r="R42" s="54" t="s">
        <v>140</v>
      </c>
      <c r="S42" s="55">
        <v>4</v>
      </c>
      <c r="T42" s="55">
        <v>4</v>
      </c>
      <c r="U42" s="208"/>
      <c r="V42" s="316">
        <f>SUM(S42:U42)</f>
        <v>8</v>
      </c>
      <c r="W42" s="54" t="s">
        <v>140</v>
      </c>
      <c r="X42" s="55">
        <v>13</v>
      </c>
      <c r="Y42" s="55">
        <v>13</v>
      </c>
      <c r="Z42" s="208">
        <v>4</v>
      </c>
      <c r="AA42" s="316">
        <f>SUM(X42:Z42)</f>
        <v>30</v>
      </c>
      <c r="AB42" s="54" t="s">
        <v>140</v>
      </c>
      <c r="AC42" s="55">
        <v>13</v>
      </c>
      <c r="AD42" s="55"/>
      <c r="AE42" s="208"/>
      <c r="AF42" s="316">
        <f>SUM(AC42:AE42)</f>
        <v>13</v>
      </c>
      <c r="AG42" s="54" t="s">
        <v>140</v>
      </c>
      <c r="AH42" s="55"/>
      <c r="AI42" s="55"/>
      <c r="AJ42" s="208"/>
      <c r="AK42" s="316">
        <f>SUM(AH42:AJ42)</f>
        <v>0</v>
      </c>
    </row>
    <row r="43" spans="2:37" ht="16" thickBot="1" x14ac:dyDescent="0.25">
      <c r="B43" s="370" t="s">
        <v>371</v>
      </c>
      <c r="C43" s="371" t="s">
        <v>268</v>
      </c>
      <c r="D43" s="371" t="s">
        <v>268</v>
      </c>
      <c r="E43" s="372"/>
      <c r="G43" s="343" t="s">
        <v>371</v>
      </c>
      <c r="H43" s="344" t="s">
        <v>372</v>
      </c>
      <c r="I43" s="344" t="s">
        <v>269</v>
      </c>
      <c r="J43" s="345"/>
      <c r="M43" s="41" t="s">
        <v>141</v>
      </c>
      <c r="R43" s="41" t="s">
        <v>141</v>
      </c>
      <c r="W43" s="41" t="s">
        <v>141</v>
      </c>
      <c r="AB43" s="41" t="s">
        <v>141</v>
      </c>
      <c r="AG43" s="41" t="s">
        <v>141</v>
      </c>
    </row>
    <row r="44" spans="2:37" x14ac:dyDescent="0.2">
      <c r="M44" s="49" t="s">
        <v>142</v>
      </c>
      <c r="N44" s="50">
        <v>2</v>
      </c>
      <c r="O44" s="50"/>
      <c r="P44" s="207"/>
      <c r="Q44" s="314">
        <f>SUM(N44:P44)</f>
        <v>2</v>
      </c>
      <c r="R44" s="178" t="s">
        <v>142</v>
      </c>
      <c r="S44" s="50">
        <v>2</v>
      </c>
      <c r="T44" s="50">
        <v>4</v>
      </c>
      <c r="U44" s="207"/>
      <c r="V44" s="314">
        <f t="shared" ref="V44:V51" si="5">SUM(S44:U44)</f>
        <v>6</v>
      </c>
      <c r="W44" s="49" t="s">
        <v>142</v>
      </c>
      <c r="X44" s="50">
        <v>2</v>
      </c>
      <c r="Y44" s="50">
        <v>3</v>
      </c>
      <c r="Z44" s="207">
        <v>6</v>
      </c>
      <c r="AA44" s="314">
        <f t="shared" ref="AA44:AA51" si="6">SUM(X44:Z44)</f>
        <v>11</v>
      </c>
      <c r="AB44" s="49" t="s">
        <v>142</v>
      </c>
      <c r="AC44" s="50">
        <v>2</v>
      </c>
      <c r="AD44" s="50"/>
      <c r="AE44" s="207"/>
      <c r="AF44" s="314">
        <f t="shared" ref="AF44:AF51" si="7">SUM(AC44:AE44)</f>
        <v>2</v>
      </c>
      <c r="AG44" s="49" t="s">
        <v>142</v>
      </c>
      <c r="AH44" s="50"/>
      <c r="AI44" s="50"/>
      <c r="AJ44" s="207"/>
      <c r="AK44" s="314">
        <f t="shared" ref="AK44:AK51" si="8">SUM(AH44:AJ44)</f>
        <v>0</v>
      </c>
    </row>
    <row r="45" spans="2:37" x14ac:dyDescent="0.2">
      <c r="B45" s="346" t="s">
        <v>376</v>
      </c>
      <c r="C45" s="347" t="s">
        <v>373</v>
      </c>
      <c r="D45" s="348"/>
      <c r="E45" s="349"/>
      <c r="G45" s="337" t="s">
        <v>374</v>
      </c>
      <c r="H45" s="338" t="s">
        <v>373</v>
      </c>
      <c r="I45" s="339"/>
      <c r="J45" s="340"/>
      <c r="M45" s="52" t="s">
        <v>149</v>
      </c>
      <c r="N45" s="42">
        <v>4</v>
      </c>
      <c r="O45" s="42"/>
      <c r="P45" s="37"/>
      <c r="Q45" s="315">
        <f t="shared" ref="Q45:Q51" si="9">SUM(N45:P45)</f>
        <v>4</v>
      </c>
      <c r="R45" s="179" t="s">
        <v>149</v>
      </c>
      <c r="S45" s="42">
        <v>2</v>
      </c>
      <c r="T45" s="42">
        <v>5</v>
      </c>
      <c r="U45" s="37"/>
      <c r="V45" s="315">
        <f t="shared" si="5"/>
        <v>7</v>
      </c>
      <c r="W45" s="52" t="s">
        <v>149</v>
      </c>
      <c r="X45" s="42">
        <v>3</v>
      </c>
      <c r="Y45" s="42">
        <v>3</v>
      </c>
      <c r="Z45" s="37">
        <v>6</v>
      </c>
      <c r="AA45" s="315">
        <f t="shared" si="6"/>
        <v>12</v>
      </c>
      <c r="AB45" s="52" t="s">
        <v>149</v>
      </c>
      <c r="AC45" s="42">
        <v>4</v>
      </c>
      <c r="AD45" s="42"/>
      <c r="AE45" s="37"/>
      <c r="AF45" s="315">
        <f t="shared" si="7"/>
        <v>4</v>
      </c>
      <c r="AG45" s="52" t="s">
        <v>149</v>
      </c>
      <c r="AH45" s="42"/>
      <c r="AI45" s="42"/>
      <c r="AJ45" s="37"/>
      <c r="AK45" s="315">
        <f t="shared" si="8"/>
        <v>0</v>
      </c>
    </row>
    <row r="46" spans="2:37" x14ac:dyDescent="0.2">
      <c r="B46" s="350" t="s">
        <v>366</v>
      </c>
      <c r="C46" s="351" t="s">
        <v>268</v>
      </c>
      <c r="D46" s="351" t="s">
        <v>268</v>
      </c>
      <c r="E46" s="352"/>
      <c r="G46" s="341" t="s">
        <v>366</v>
      </c>
      <c r="H46" s="102" t="s">
        <v>269</v>
      </c>
      <c r="I46" s="102" t="s">
        <v>253</v>
      </c>
      <c r="J46" s="342"/>
      <c r="M46" s="52" t="s">
        <v>150</v>
      </c>
      <c r="N46" s="42">
        <v>3</v>
      </c>
      <c r="O46" s="42"/>
      <c r="P46" s="37"/>
      <c r="Q46" s="315">
        <f t="shared" si="9"/>
        <v>3</v>
      </c>
      <c r="R46" s="179" t="s">
        <v>150</v>
      </c>
      <c r="S46" s="42">
        <v>2</v>
      </c>
      <c r="T46" s="42">
        <v>4</v>
      </c>
      <c r="U46" s="37"/>
      <c r="V46" s="315">
        <f t="shared" si="5"/>
        <v>6</v>
      </c>
      <c r="W46" s="52" t="s">
        <v>150</v>
      </c>
      <c r="X46" s="42">
        <v>6</v>
      </c>
      <c r="Y46" s="42">
        <v>2</v>
      </c>
      <c r="Z46" s="37">
        <v>6</v>
      </c>
      <c r="AA46" s="315">
        <f t="shared" si="6"/>
        <v>14</v>
      </c>
      <c r="AB46" s="52" t="s">
        <v>150</v>
      </c>
      <c r="AC46" s="42">
        <v>5</v>
      </c>
      <c r="AD46" s="42"/>
      <c r="AE46" s="37"/>
      <c r="AF46" s="315">
        <f t="shared" si="7"/>
        <v>5</v>
      </c>
      <c r="AG46" s="52" t="s">
        <v>150</v>
      </c>
      <c r="AH46" s="42"/>
      <c r="AI46" s="42"/>
      <c r="AJ46" s="37"/>
      <c r="AK46" s="315">
        <f t="shared" si="8"/>
        <v>0</v>
      </c>
    </row>
    <row r="47" spans="2:37" x14ac:dyDescent="0.2">
      <c r="B47" s="350" t="s">
        <v>367</v>
      </c>
      <c r="C47" s="351" t="s">
        <v>260</v>
      </c>
      <c r="D47" s="351" t="s">
        <v>378</v>
      </c>
      <c r="E47" s="352" t="s">
        <v>372</v>
      </c>
      <c r="G47" s="341" t="s">
        <v>367</v>
      </c>
      <c r="H47" s="102" t="s">
        <v>269</v>
      </c>
      <c r="I47" s="102" t="s">
        <v>267</v>
      </c>
      <c r="J47" s="342" t="s">
        <v>372</v>
      </c>
      <c r="M47" s="52" t="s">
        <v>143</v>
      </c>
      <c r="N47" s="42">
        <v>5</v>
      </c>
      <c r="O47" s="42"/>
      <c r="P47" s="37"/>
      <c r="Q47" s="315">
        <f t="shared" si="9"/>
        <v>5</v>
      </c>
      <c r="R47" s="179" t="s">
        <v>143</v>
      </c>
      <c r="S47" s="42">
        <v>2</v>
      </c>
      <c r="T47" s="42">
        <v>1</v>
      </c>
      <c r="U47" s="37"/>
      <c r="V47" s="315">
        <f t="shared" si="5"/>
        <v>3</v>
      </c>
      <c r="W47" s="52" t="s">
        <v>143</v>
      </c>
      <c r="X47" s="42">
        <v>6</v>
      </c>
      <c r="Y47" s="42">
        <v>11</v>
      </c>
      <c r="Z47" s="37">
        <v>2</v>
      </c>
      <c r="AA47" s="315">
        <f t="shared" si="6"/>
        <v>19</v>
      </c>
      <c r="AB47" s="52" t="s">
        <v>143</v>
      </c>
      <c r="AC47" s="42">
        <v>5</v>
      </c>
      <c r="AD47" s="42"/>
      <c r="AE47" s="37"/>
      <c r="AF47" s="315">
        <f t="shared" si="7"/>
        <v>5</v>
      </c>
      <c r="AG47" s="52" t="s">
        <v>143</v>
      </c>
      <c r="AH47" s="42"/>
      <c r="AI47" s="42"/>
      <c r="AJ47" s="37"/>
      <c r="AK47" s="315">
        <f t="shared" si="8"/>
        <v>0</v>
      </c>
    </row>
    <row r="48" spans="2:37" x14ac:dyDescent="0.2">
      <c r="B48" s="350" t="s">
        <v>368</v>
      </c>
      <c r="C48" s="351" t="s">
        <v>269</v>
      </c>
      <c r="D48" s="351" t="s">
        <v>268</v>
      </c>
      <c r="E48" s="352" t="s">
        <v>372</v>
      </c>
      <c r="G48" s="341" t="s">
        <v>368</v>
      </c>
      <c r="H48" s="102" t="s">
        <v>253</v>
      </c>
      <c r="I48" s="102" t="s">
        <v>269</v>
      </c>
      <c r="J48" s="342" t="s">
        <v>372</v>
      </c>
      <c r="M48" s="52" t="s">
        <v>144</v>
      </c>
      <c r="N48" s="42"/>
      <c r="O48" s="42"/>
      <c r="P48" s="37"/>
      <c r="Q48" s="315">
        <f t="shared" si="9"/>
        <v>0</v>
      </c>
      <c r="R48" s="179" t="s">
        <v>144</v>
      </c>
      <c r="S48" s="42"/>
      <c r="T48" s="42"/>
      <c r="U48" s="37"/>
      <c r="V48" s="315">
        <f t="shared" si="5"/>
        <v>0</v>
      </c>
      <c r="W48" s="52" t="s">
        <v>144</v>
      </c>
      <c r="X48" s="42"/>
      <c r="Y48">
        <v>1</v>
      </c>
      <c r="Z48" s="37"/>
      <c r="AA48" s="315">
        <f>SUM(X48:Z48)</f>
        <v>1</v>
      </c>
      <c r="AB48" s="52" t="s">
        <v>144</v>
      </c>
      <c r="AC48" s="42">
        <v>4</v>
      </c>
      <c r="AD48" s="42"/>
      <c r="AE48" s="37"/>
      <c r="AF48" s="315">
        <f t="shared" si="7"/>
        <v>4</v>
      </c>
      <c r="AG48" s="52" t="s">
        <v>144</v>
      </c>
      <c r="AH48" s="42"/>
      <c r="AI48" s="42"/>
      <c r="AJ48" s="37"/>
      <c r="AK48" s="315">
        <f t="shared" si="8"/>
        <v>0</v>
      </c>
    </row>
    <row r="49" spans="2:37" x14ac:dyDescent="0.2">
      <c r="B49" s="350" t="s">
        <v>369</v>
      </c>
      <c r="C49" s="351" t="s">
        <v>372</v>
      </c>
      <c r="D49" s="351" t="s">
        <v>269</v>
      </c>
      <c r="E49" s="352" t="s">
        <v>269</v>
      </c>
      <c r="G49" s="341" t="s">
        <v>369</v>
      </c>
      <c r="H49" s="102" t="s">
        <v>372</v>
      </c>
      <c r="I49" s="102" t="s">
        <v>253</v>
      </c>
      <c r="J49" s="342" t="s">
        <v>253</v>
      </c>
      <c r="M49" s="52" t="s">
        <v>145</v>
      </c>
      <c r="N49" s="42"/>
      <c r="O49" s="42"/>
      <c r="P49" s="37"/>
      <c r="Q49" s="315">
        <f t="shared" si="9"/>
        <v>0</v>
      </c>
      <c r="R49" s="179" t="s">
        <v>145</v>
      </c>
      <c r="S49" s="42"/>
      <c r="T49" s="42"/>
      <c r="U49" s="37"/>
      <c r="V49" s="315">
        <f t="shared" si="5"/>
        <v>0</v>
      </c>
      <c r="W49" s="52" t="s">
        <v>145</v>
      </c>
      <c r="X49" s="42"/>
      <c r="Y49" s="42"/>
      <c r="Z49" s="37"/>
      <c r="AA49" s="315">
        <f t="shared" si="6"/>
        <v>0</v>
      </c>
      <c r="AB49" s="52" t="s">
        <v>145</v>
      </c>
      <c r="AC49" s="42"/>
      <c r="AD49" s="42"/>
      <c r="AE49" s="37"/>
      <c r="AF49" s="315">
        <f t="shared" si="7"/>
        <v>0</v>
      </c>
      <c r="AG49" s="52" t="s">
        <v>145</v>
      </c>
      <c r="AH49" s="42"/>
      <c r="AI49" s="42"/>
      <c r="AJ49" s="37"/>
      <c r="AK49" s="315">
        <f t="shared" si="8"/>
        <v>0</v>
      </c>
    </row>
    <row r="50" spans="2:37" x14ac:dyDescent="0.2">
      <c r="B50" s="350" t="s">
        <v>370</v>
      </c>
      <c r="C50" s="351" t="s">
        <v>372</v>
      </c>
      <c r="D50" s="351" t="s">
        <v>268</v>
      </c>
      <c r="E50" s="352"/>
      <c r="G50" s="341" t="s">
        <v>370</v>
      </c>
      <c r="H50" s="102" t="s">
        <v>372</v>
      </c>
      <c r="I50" s="102" t="s">
        <v>269</v>
      </c>
      <c r="J50" s="342"/>
      <c r="M50" s="52" t="s">
        <v>146</v>
      </c>
      <c r="N50" s="42"/>
      <c r="O50" s="42"/>
      <c r="P50" s="37"/>
      <c r="Q50" s="315">
        <f t="shared" si="9"/>
        <v>0</v>
      </c>
      <c r="R50" s="179" t="s">
        <v>146</v>
      </c>
      <c r="S50" s="42"/>
      <c r="T50" s="42"/>
      <c r="U50" s="37"/>
      <c r="V50" s="315">
        <f t="shared" si="5"/>
        <v>0</v>
      </c>
      <c r="W50" s="52" t="s">
        <v>146</v>
      </c>
      <c r="X50" s="42"/>
      <c r="Y50" s="42"/>
      <c r="Z50" s="309"/>
      <c r="AA50" s="315">
        <f t="shared" si="6"/>
        <v>0</v>
      </c>
      <c r="AB50" s="52" t="s">
        <v>146</v>
      </c>
      <c r="AC50" s="42"/>
      <c r="AD50" s="42"/>
      <c r="AE50" s="37"/>
      <c r="AF50" s="315">
        <f t="shared" si="7"/>
        <v>0</v>
      </c>
      <c r="AG50" s="52" t="s">
        <v>146</v>
      </c>
      <c r="AH50" s="42"/>
      <c r="AI50" s="42"/>
      <c r="AJ50" s="37"/>
      <c r="AK50" s="315">
        <f t="shared" si="8"/>
        <v>0</v>
      </c>
    </row>
    <row r="51" spans="2:37" ht="16" thickBot="1" x14ac:dyDescent="0.25">
      <c r="B51" s="353" t="s">
        <v>371</v>
      </c>
      <c r="C51" s="354" t="s">
        <v>269</v>
      </c>
      <c r="D51" s="354" t="s">
        <v>378</v>
      </c>
      <c r="E51" s="355"/>
      <c r="G51" s="343" t="s">
        <v>371</v>
      </c>
      <c r="H51" s="344" t="s">
        <v>253</v>
      </c>
      <c r="I51" s="344" t="s">
        <v>267</v>
      </c>
      <c r="J51" s="345"/>
      <c r="M51" s="54" t="s">
        <v>147</v>
      </c>
      <c r="N51" s="55"/>
      <c r="O51" s="55"/>
      <c r="P51" s="208"/>
      <c r="Q51" s="316">
        <f t="shared" si="9"/>
        <v>0</v>
      </c>
      <c r="R51" s="180" t="s">
        <v>147</v>
      </c>
      <c r="S51" s="55"/>
      <c r="T51" s="55"/>
      <c r="U51" s="208"/>
      <c r="V51" s="316">
        <f t="shared" si="5"/>
        <v>0</v>
      </c>
      <c r="W51" s="54" t="s">
        <v>147</v>
      </c>
      <c r="X51" s="55"/>
      <c r="Y51" s="55"/>
      <c r="Z51" s="208"/>
      <c r="AA51" s="316">
        <f t="shared" si="6"/>
        <v>0</v>
      </c>
      <c r="AB51" s="54" t="s">
        <v>147</v>
      </c>
      <c r="AC51" s="55"/>
      <c r="AD51" s="55"/>
      <c r="AE51" s="208"/>
      <c r="AF51" s="316">
        <f t="shared" si="7"/>
        <v>0</v>
      </c>
      <c r="AG51" s="54" t="s">
        <v>147</v>
      </c>
      <c r="AH51" s="55"/>
      <c r="AI51" s="55"/>
      <c r="AJ51" s="208"/>
      <c r="AK51" s="316">
        <f t="shared" si="8"/>
        <v>0</v>
      </c>
    </row>
    <row r="52" spans="2:37" ht="16" thickBot="1" x14ac:dyDescent="0.25">
      <c r="M52" s="182" t="s">
        <v>202</v>
      </c>
      <c r="N52" s="109"/>
      <c r="O52" s="183"/>
      <c r="P52" s="99"/>
      <c r="Q52" s="100"/>
      <c r="R52" s="98" t="s">
        <v>202</v>
      </c>
      <c r="S52" s="101"/>
      <c r="T52" s="99"/>
      <c r="U52" s="99"/>
      <c r="V52" s="100"/>
      <c r="W52" s="98" t="s">
        <v>202</v>
      </c>
      <c r="X52" s="101"/>
      <c r="Y52" s="99"/>
      <c r="Z52" s="99"/>
      <c r="AA52" s="100"/>
      <c r="AB52" s="98" t="s">
        <v>202</v>
      </c>
      <c r="AC52" s="101"/>
      <c r="AD52" s="99"/>
      <c r="AE52" s="99"/>
      <c r="AF52" s="100"/>
      <c r="AG52" s="98" t="s">
        <v>202</v>
      </c>
      <c r="AH52" s="101"/>
      <c r="AI52" s="99"/>
      <c r="AJ52" s="99"/>
      <c r="AK52" s="100"/>
    </row>
    <row r="53" spans="2:37" ht="16" thickBot="1" x14ac:dyDescent="0.25">
      <c r="M53" s="92" t="s">
        <v>151</v>
      </c>
      <c r="N53">
        <f>SUM(N44:N51)</f>
        <v>14</v>
      </c>
      <c r="O53" s="33">
        <f>SUM(O44:O51)</f>
        <v>0</v>
      </c>
      <c r="P53" s="33">
        <f>SUM(P44:P51)</f>
        <v>0</v>
      </c>
      <c r="R53" s="56" t="s">
        <v>151</v>
      </c>
      <c r="S53">
        <f>SUM(S44:S51)</f>
        <v>8</v>
      </c>
      <c r="T53" s="33">
        <f>SUM(T44:T51)</f>
        <v>14</v>
      </c>
      <c r="U53" s="33">
        <f>SUM(U44:U51)</f>
        <v>0</v>
      </c>
      <c r="W53" s="56" t="s">
        <v>151</v>
      </c>
      <c r="X53">
        <f>SUM(X44:X51)</f>
        <v>17</v>
      </c>
      <c r="Y53" s="33">
        <f>SUM(Y44:Y51)</f>
        <v>20</v>
      </c>
      <c r="Z53" s="33">
        <f>SUM(Z44:Z51)</f>
        <v>20</v>
      </c>
      <c r="AB53" s="92" t="s">
        <v>151</v>
      </c>
      <c r="AC53">
        <f>SUM(AC44:AC51)</f>
        <v>20</v>
      </c>
      <c r="AD53" s="33">
        <f>SUM(AD44:AD51)</f>
        <v>0</v>
      </c>
      <c r="AE53" s="33">
        <f>SUM(AE44:AE51)</f>
        <v>0</v>
      </c>
      <c r="AG53" s="92" t="s">
        <v>151</v>
      </c>
      <c r="AH53">
        <f>SUM(AH44:AH51)</f>
        <v>0</v>
      </c>
      <c r="AI53" s="33">
        <f>SUM(AI44:AI51)</f>
        <v>0</v>
      </c>
      <c r="AJ53" s="33">
        <f>SUM(AJ44:AJ51)</f>
        <v>0</v>
      </c>
    </row>
    <row r="54" spans="2:37" ht="16" thickBot="1" x14ac:dyDescent="0.25">
      <c r="B54" s="351" t="s">
        <v>499</v>
      </c>
      <c r="M54" s="94" t="s">
        <v>201</v>
      </c>
      <c r="N54" s="114">
        <v>0</v>
      </c>
      <c r="O54" s="114">
        <v>6.25E-2</v>
      </c>
      <c r="P54" s="226">
        <v>0</v>
      </c>
      <c r="Q54" s="321">
        <f>N54+O54</f>
        <v>6.25E-2</v>
      </c>
      <c r="R54" s="94" t="s">
        <v>201</v>
      </c>
      <c r="S54" s="114">
        <v>0</v>
      </c>
      <c r="T54" s="114">
        <v>0</v>
      </c>
      <c r="U54" s="322">
        <v>0</v>
      </c>
      <c r="V54" s="321">
        <f>S54+T54</f>
        <v>0</v>
      </c>
      <c r="W54" s="94" t="s">
        <v>201</v>
      </c>
      <c r="X54" s="114">
        <v>4.1666666666666664E-2</v>
      </c>
      <c r="Y54" s="114">
        <v>8.9583333333333334E-2</v>
      </c>
      <c r="Z54" s="322">
        <v>0</v>
      </c>
      <c r="AA54" s="321">
        <f>X54+Y54</f>
        <v>0.13125000000000001</v>
      </c>
      <c r="AB54" s="94" t="s">
        <v>201</v>
      </c>
      <c r="AC54" s="114">
        <v>5.2083333333333336E-2</v>
      </c>
      <c r="AD54" s="93"/>
      <c r="AE54" s="119"/>
      <c r="AF54" s="321">
        <f>AC54+AD54</f>
        <v>5.2083333333333336E-2</v>
      </c>
      <c r="AG54" s="94" t="s">
        <v>201</v>
      </c>
      <c r="AH54" s="93">
        <v>0</v>
      </c>
      <c r="AI54" s="93"/>
      <c r="AJ54" s="119"/>
      <c r="AK54" s="321">
        <f>AH54+AI54</f>
        <v>0</v>
      </c>
    </row>
    <row r="55" spans="2:37" ht="16" thickBot="1" x14ac:dyDescent="0.25">
      <c r="B55" s="373" t="s">
        <v>498</v>
      </c>
      <c r="C55" s="374" t="s">
        <v>373</v>
      </c>
      <c r="D55" s="375"/>
      <c r="E55" s="376"/>
      <c r="G55" s="373" t="s">
        <v>500</v>
      </c>
      <c r="H55" s="374" t="s">
        <v>373</v>
      </c>
      <c r="I55" s="375"/>
      <c r="J55" s="376"/>
      <c r="M55" s="115" t="s">
        <v>217</v>
      </c>
      <c r="N55" s="404"/>
      <c r="O55" s="405"/>
      <c r="P55" s="406"/>
      <c r="R55" s="115" t="s">
        <v>217</v>
      </c>
      <c r="S55" s="404" t="s">
        <v>494</v>
      </c>
      <c r="T55" s="405"/>
      <c r="U55" s="406"/>
      <c r="W55" s="115" t="s">
        <v>217</v>
      </c>
      <c r="X55" s="404"/>
      <c r="Y55" s="405"/>
      <c r="Z55" s="406"/>
      <c r="AB55" s="115" t="s">
        <v>217</v>
      </c>
      <c r="AC55" s="404"/>
      <c r="AD55" s="405"/>
      <c r="AE55" s="406"/>
      <c r="AG55" s="115" t="s">
        <v>217</v>
      </c>
      <c r="AH55" s="404"/>
      <c r="AI55" s="405"/>
      <c r="AJ55" s="406"/>
    </row>
    <row r="56" spans="2:37" ht="16" thickBot="1" x14ac:dyDescent="0.25">
      <c r="B56" s="377" t="s">
        <v>366</v>
      </c>
      <c r="C56" s="197" t="s">
        <v>268</v>
      </c>
      <c r="D56" s="197" t="s">
        <v>269</v>
      </c>
      <c r="E56" s="378"/>
      <c r="G56" s="377" t="s">
        <v>366</v>
      </c>
      <c r="H56" s="197" t="s">
        <v>268</v>
      </c>
      <c r="I56" s="197" t="s">
        <v>268</v>
      </c>
      <c r="J56" s="378"/>
    </row>
    <row r="57" spans="2:37" ht="16" thickBot="1" x14ac:dyDescent="0.25">
      <c r="B57" s="377" t="s">
        <v>367</v>
      </c>
      <c r="C57" s="197" t="s">
        <v>255</v>
      </c>
      <c r="D57" s="197" t="s">
        <v>260</v>
      </c>
      <c r="E57" s="378" t="s">
        <v>372</v>
      </c>
      <c r="G57" s="377" t="s">
        <v>367</v>
      </c>
      <c r="H57" s="197" t="s">
        <v>255</v>
      </c>
      <c r="I57" s="197" t="s">
        <v>268</v>
      </c>
      <c r="J57" s="378" t="s">
        <v>260</v>
      </c>
      <c r="L57" s="88" t="s">
        <v>204</v>
      </c>
      <c r="M57" s="295">
        <v>45931</v>
      </c>
      <c r="N57" s="119" t="s">
        <v>198</v>
      </c>
      <c r="O57" s="120" t="s">
        <v>200</v>
      </c>
    </row>
    <row r="58" spans="2:37" x14ac:dyDescent="0.2">
      <c r="B58" s="377" t="s">
        <v>368</v>
      </c>
      <c r="C58" s="197" t="s">
        <v>255</v>
      </c>
      <c r="D58" s="197" t="s">
        <v>260</v>
      </c>
      <c r="E58" s="378" t="s">
        <v>372</v>
      </c>
      <c r="G58" s="377" t="s">
        <v>368</v>
      </c>
      <c r="H58" s="197" t="s">
        <v>253</v>
      </c>
      <c r="I58" s="197" t="s">
        <v>267</v>
      </c>
      <c r="J58" s="378" t="s">
        <v>260</v>
      </c>
      <c r="M58" s="89" t="s">
        <v>147</v>
      </c>
      <c r="N58" s="34">
        <f>Q51+V51+AA51+AF51+AK51</f>
        <v>0</v>
      </c>
      <c r="O58" s="118">
        <f>N58*13</f>
        <v>0</v>
      </c>
    </row>
    <row r="59" spans="2:37" x14ac:dyDescent="0.2">
      <c r="B59" s="377" t="s">
        <v>369</v>
      </c>
      <c r="C59" s="197" t="s">
        <v>255</v>
      </c>
      <c r="D59" s="197" t="s">
        <v>260</v>
      </c>
      <c r="E59" s="378" t="s">
        <v>372</v>
      </c>
      <c r="G59" s="377" t="s">
        <v>369</v>
      </c>
      <c r="H59" s="197" t="s">
        <v>260</v>
      </c>
      <c r="I59" s="197" t="s">
        <v>253</v>
      </c>
      <c r="J59" s="378" t="s">
        <v>253</v>
      </c>
      <c r="M59" s="45" t="s">
        <v>146</v>
      </c>
      <c r="N59" s="37">
        <f>Q50+V50+AA50+AF50+AK50</f>
        <v>0</v>
      </c>
      <c r="O59" s="90">
        <f t="shared" ref="O59:O61" si="10">N59*13</f>
        <v>0</v>
      </c>
    </row>
    <row r="60" spans="2:37" x14ac:dyDescent="0.2">
      <c r="B60" s="377" t="s">
        <v>370</v>
      </c>
      <c r="C60" s="197" t="s">
        <v>260</v>
      </c>
      <c r="D60" s="197" t="s">
        <v>260</v>
      </c>
      <c r="E60" s="378"/>
      <c r="G60" s="377" t="s">
        <v>370</v>
      </c>
      <c r="H60" s="197" t="s">
        <v>260</v>
      </c>
      <c r="I60" s="197" t="s">
        <v>267</v>
      </c>
      <c r="J60" s="378"/>
      <c r="M60" s="45" t="s">
        <v>145</v>
      </c>
      <c r="N60" s="37">
        <f>Q49+V49+AA49+AF49+AK49</f>
        <v>0</v>
      </c>
      <c r="O60" s="90">
        <f t="shared" si="10"/>
        <v>0</v>
      </c>
    </row>
    <row r="61" spans="2:37" x14ac:dyDescent="0.2">
      <c r="B61" s="379" t="s">
        <v>371</v>
      </c>
      <c r="C61" s="380" t="s">
        <v>268</v>
      </c>
      <c r="D61" s="380" t="s">
        <v>268</v>
      </c>
      <c r="E61" s="381"/>
      <c r="G61" s="379" t="s">
        <v>371</v>
      </c>
      <c r="H61" s="380" t="s">
        <v>253</v>
      </c>
      <c r="I61" s="380" t="s">
        <v>378</v>
      </c>
      <c r="J61" s="381"/>
      <c r="M61" s="45" t="s">
        <v>144</v>
      </c>
      <c r="N61" s="37">
        <f>Q48+V48+AA48+AF48+AK48</f>
        <v>5</v>
      </c>
      <c r="O61" s="90">
        <f t="shared" si="10"/>
        <v>65</v>
      </c>
    </row>
    <row r="62" spans="2:37" x14ac:dyDescent="0.2">
      <c r="M62" s="45" t="s">
        <v>143</v>
      </c>
      <c r="N62" s="37">
        <f>Q47+V47+AA47+AF47+AK47</f>
        <v>32</v>
      </c>
      <c r="O62" s="90">
        <f>N62*13</f>
        <v>416</v>
      </c>
    </row>
    <row r="63" spans="2:37" x14ac:dyDescent="0.2">
      <c r="M63" s="45" t="s">
        <v>150</v>
      </c>
      <c r="N63" s="37">
        <f>Q46+V46+AA46+AF46+AK46</f>
        <v>28</v>
      </c>
      <c r="O63" s="90">
        <f t="shared" ref="O63:O65" si="11">N63*13</f>
        <v>364</v>
      </c>
    </row>
    <row r="64" spans="2:37" x14ac:dyDescent="0.2">
      <c r="M64" s="45" t="s">
        <v>149</v>
      </c>
      <c r="N64" s="37">
        <f>Q45+V45+AA45+AF45+AK45</f>
        <v>27</v>
      </c>
      <c r="O64" s="90">
        <f t="shared" si="11"/>
        <v>351</v>
      </c>
    </row>
    <row r="65" spans="2:31" ht="16" thickBot="1" x14ac:dyDescent="0.25">
      <c r="M65" s="45" t="s">
        <v>142</v>
      </c>
      <c r="N65" s="37">
        <f>Q44+V44+AA44+AF44+AK44</f>
        <v>21</v>
      </c>
      <c r="O65" s="91">
        <f t="shared" si="11"/>
        <v>273</v>
      </c>
    </row>
    <row r="68" spans="2:31" ht="16" thickBot="1" x14ac:dyDescent="0.25"/>
    <row r="69" spans="2:31" ht="16" thickBot="1" x14ac:dyDescent="0.25">
      <c r="L69" s="299" t="s">
        <v>477</v>
      </c>
      <c r="M69" s="300" t="s">
        <v>129</v>
      </c>
      <c r="N69" s="301" t="s">
        <v>199</v>
      </c>
      <c r="O69" s="301" t="s">
        <v>476</v>
      </c>
      <c r="P69" s="296" t="s">
        <v>421</v>
      </c>
    </row>
    <row r="70" spans="2:31" x14ac:dyDescent="0.2">
      <c r="L70" s="394" t="s">
        <v>473</v>
      </c>
      <c r="M70" s="395"/>
      <c r="N70" s="122">
        <f>Q39+V39+AA39+AF39+AK39</f>
        <v>1157</v>
      </c>
      <c r="O70" s="122">
        <f>N41+O41+P41+S41+T41+U41+X41+Y41+Z41+AC41+AD41+AE41+AH41+AI41+AJ41</f>
        <v>1883</v>
      </c>
      <c r="P70" s="297">
        <f>Q38+V38+AA38+AF38+AK38</f>
        <v>0.54166666666666663</v>
      </c>
    </row>
    <row r="71" spans="2:31" x14ac:dyDescent="0.2">
      <c r="L71" s="396" t="s">
        <v>474</v>
      </c>
      <c r="M71" s="397"/>
      <c r="N71" s="302"/>
      <c r="O71" s="302"/>
      <c r="P71" s="298">
        <f>Q39+V39+AA39+AF39+AK39</f>
        <v>1157</v>
      </c>
    </row>
    <row r="72" spans="2:31" x14ac:dyDescent="0.2">
      <c r="L72" s="396" t="s">
        <v>475</v>
      </c>
      <c r="M72" s="397"/>
      <c r="N72" s="302"/>
      <c r="O72" s="302"/>
      <c r="P72" s="298">
        <f>Q40+V40+AA40+AF40+AK40</f>
        <v>121</v>
      </c>
    </row>
    <row r="74" spans="2:31" ht="16" thickBot="1" x14ac:dyDescent="0.25"/>
    <row r="75" spans="2:31" ht="16" thickBot="1" x14ac:dyDescent="0.25">
      <c r="B75" s="401"/>
      <c r="C75" s="402"/>
      <c r="D75" s="402"/>
      <c r="E75" s="402"/>
      <c r="F75" s="402"/>
      <c r="G75" s="402"/>
      <c r="H75" s="402"/>
      <c r="I75" s="402"/>
      <c r="J75" s="402"/>
      <c r="K75" s="402"/>
      <c r="L75" s="402"/>
      <c r="M75" s="402"/>
      <c r="N75" s="402"/>
      <c r="O75" s="402"/>
      <c r="P75" s="402"/>
      <c r="Q75" s="402"/>
      <c r="R75" s="402"/>
      <c r="S75" s="402"/>
      <c r="T75" s="402"/>
      <c r="U75" s="402"/>
      <c r="V75" s="402"/>
      <c r="W75" s="402"/>
      <c r="X75" s="402"/>
      <c r="Y75" s="402"/>
      <c r="Z75" s="402"/>
      <c r="AA75" s="402"/>
      <c r="AB75" s="402"/>
      <c r="AC75" s="402"/>
      <c r="AD75" s="402"/>
      <c r="AE75" s="403"/>
    </row>
    <row r="78" spans="2:31" ht="16" thickBot="1" x14ac:dyDescent="0.25">
      <c r="L78" s="18" t="s">
        <v>129</v>
      </c>
      <c r="M78" s="285" t="s">
        <v>220</v>
      </c>
    </row>
    <row r="79" spans="2:31" ht="16" thickBot="1" x14ac:dyDescent="0.25">
      <c r="L79" t="s">
        <v>130</v>
      </c>
      <c r="M79" s="95" t="s">
        <v>80</v>
      </c>
      <c r="N79" s="96" t="s">
        <v>153</v>
      </c>
      <c r="O79" s="97" t="s">
        <v>479</v>
      </c>
      <c r="Q79" s="41" t="s">
        <v>217</v>
      </c>
    </row>
    <row r="80" spans="2:31" ht="16" thickBot="1" x14ac:dyDescent="0.25">
      <c r="L80" t="s">
        <v>96</v>
      </c>
      <c r="M80" t="s">
        <v>218</v>
      </c>
      <c r="N80" t="s">
        <v>219</v>
      </c>
      <c r="O80" s="97" t="s">
        <v>466</v>
      </c>
    </row>
    <row r="81" spans="2:37" x14ac:dyDescent="0.2">
      <c r="L81" t="s">
        <v>131</v>
      </c>
      <c r="M81" t="s">
        <v>135</v>
      </c>
    </row>
    <row r="82" spans="2:37" x14ac:dyDescent="0.2">
      <c r="L82" t="s">
        <v>132</v>
      </c>
      <c r="M82" t="s">
        <v>121</v>
      </c>
    </row>
    <row r="83" spans="2:37" x14ac:dyDescent="0.2">
      <c r="L83" t="s">
        <v>133</v>
      </c>
      <c r="M83" t="s">
        <v>123</v>
      </c>
    </row>
    <row r="84" spans="2:37" ht="16" thickBot="1" x14ac:dyDescent="0.25">
      <c r="L84" t="s">
        <v>134</v>
      </c>
      <c r="M84" t="s">
        <v>121</v>
      </c>
    </row>
    <row r="85" spans="2:37" ht="16" thickBot="1" x14ac:dyDescent="0.25">
      <c r="N85" s="398" t="s">
        <v>136</v>
      </c>
      <c r="O85" s="399"/>
      <c r="P85" s="399"/>
      <c r="Q85" s="400"/>
      <c r="S85" s="398" t="s">
        <v>136</v>
      </c>
      <c r="T85" s="399"/>
      <c r="U85" s="399"/>
      <c r="V85" s="400"/>
      <c r="X85" s="398" t="s">
        <v>136</v>
      </c>
      <c r="Y85" s="399"/>
      <c r="Z85" s="399"/>
      <c r="AA85" s="400"/>
      <c r="AC85" s="398" t="s">
        <v>136</v>
      </c>
      <c r="AD85" s="399"/>
      <c r="AE85" s="399"/>
      <c r="AF85" s="400"/>
      <c r="AH85" s="398" t="s">
        <v>136</v>
      </c>
      <c r="AI85" s="399"/>
      <c r="AJ85" s="399"/>
      <c r="AK85" s="400"/>
    </row>
    <row r="86" spans="2:37" ht="16" thickBot="1" x14ac:dyDescent="0.25">
      <c r="N86" s="398">
        <v>5</v>
      </c>
      <c r="O86" s="399"/>
      <c r="P86" s="399"/>
      <c r="Q86" s="319" t="s">
        <v>148</v>
      </c>
      <c r="S86" s="398">
        <f>N86+1</f>
        <v>6</v>
      </c>
      <c r="T86" s="399"/>
      <c r="U86" s="399"/>
      <c r="V86" s="319" t="s">
        <v>148</v>
      </c>
      <c r="X86" s="398">
        <f>S86+1</f>
        <v>7</v>
      </c>
      <c r="Y86" s="399"/>
      <c r="Z86" s="399"/>
      <c r="AA86" s="319" t="s">
        <v>148</v>
      </c>
      <c r="AC86" s="398">
        <f>X86+1</f>
        <v>8</v>
      </c>
      <c r="AD86" s="399"/>
      <c r="AE86" s="399"/>
      <c r="AF86" s="319" t="s">
        <v>148</v>
      </c>
      <c r="AH86" s="398">
        <f>AC86+1</f>
        <v>9</v>
      </c>
      <c r="AI86" s="399"/>
      <c r="AJ86" s="399"/>
      <c r="AK86" s="319" t="s">
        <v>148</v>
      </c>
    </row>
    <row r="87" spans="2:37" x14ac:dyDescent="0.2">
      <c r="B87" s="227" t="s">
        <v>375</v>
      </c>
      <c r="C87" s="228" t="s">
        <v>373</v>
      </c>
      <c r="D87" s="30"/>
      <c r="E87" s="31"/>
      <c r="G87" s="227" t="s">
        <v>365</v>
      </c>
      <c r="H87" s="228" t="s">
        <v>373</v>
      </c>
      <c r="I87" s="30"/>
      <c r="J87" s="31"/>
      <c r="M87" s="49" t="s">
        <v>137</v>
      </c>
      <c r="N87" s="50"/>
      <c r="O87" s="50"/>
      <c r="P87" s="207"/>
      <c r="Q87" s="314">
        <f>SUM(N87:P87)+0</f>
        <v>0</v>
      </c>
      <c r="R87" s="49" t="s">
        <v>137</v>
      </c>
      <c r="S87" s="50"/>
      <c r="T87" s="50"/>
      <c r="U87" s="207"/>
      <c r="V87" s="314">
        <f>SUM(S87:U87)+0</f>
        <v>0</v>
      </c>
      <c r="W87" s="49" t="s">
        <v>137</v>
      </c>
      <c r="X87" s="50"/>
      <c r="Y87" s="50"/>
      <c r="Z87" s="207"/>
      <c r="AA87" s="314">
        <f>SUM(X87:Z87)+0</f>
        <v>0</v>
      </c>
      <c r="AB87" s="49" t="s">
        <v>137</v>
      </c>
      <c r="AC87" s="50"/>
      <c r="AD87" s="50"/>
      <c r="AE87" s="207">
        <v>0</v>
      </c>
      <c r="AF87" s="314">
        <f>SUM(AC87:AE87)+0</f>
        <v>0</v>
      </c>
      <c r="AG87" s="49" t="s">
        <v>137</v>
      </c>
      <c r="AH87" s="50"/>
      <c r="AI87" s="50"/>
      <c r="AJ87" s="207">
        <v>0</v>
      </c>
      <c r="AK87" s="314">
        <f>SUM(AH87:AJ87)+0</f>
        <v>0</v>
      </c>
    </row>
    <row r="88" spans="2:37" x14ac:dyDescent="0.2">
      <c r="B88" s="32" t="s">
        <v>366</v>
      </c>
      <c r="C88" s="229" t="s">
        <v>268</v>
      </c>
      <c r="D88" s="229" t="s">
        <v>269</v>
      </c>
      <c r="E88" s="230"/>
      <c r="G88" s="32" t="s">
        <v>366</v>
      </c>
      <c r="H88" t="s">
        <v>269</v>
      </c>
      <c r="I88" t="s">
        <v>253</v>
      </c>
      <c r="J88" s="33"/>
      <c r="M88" s="52" t="s">
        <v>96</v>
      </c>
      <c r="N88" s="46"/>
      <c r="O88" s="47"/>
      <c r="P88" s="317"/>
      <c r="Q88" s="320">
        <f>SUM(N88:P88)</f>
        <v>0</v>
      </c>
      <c r="R88" s="52" t="s">
        <v>96</v>
      </c>
      <c r="S88" s="250"/>
      <c r="T88" s="47"/>
      <c r="U88" s="317"/>
      <c r="V88" s="320">
        <f>SUM(S88:U88)</f>
        <v>0</v>
      </c>
      <c r="W88" s="52" t="s">
        <v>96</v>
      </c>
      <c r="X88" s="46"/>
      <c r="Y88" s="47"/>
      <c r="Z88" s="317"/>
      <c r="AA88" s="320">
        <f>SUM(X88:Z88)</f>
        <v>0</v>
      </c>
      <c r="AB88" s="52" t="s">
        <v>96</v>
      </c>
      <c r="AC88" s="46"/>
      <c r="AD88" s="47"/>
      <c r="AE88" s="317"/>
      <c r="AF88" s="320">
        <f>SUM(AC88:AE88)</f>
        <v>0</v>
      </c>
      <c r="AG88" s="52" t="s">
        <v>96</v>
      </c>
      <c r="AH88" s="46"/>
      <c r="AI88" s="47"/>
      <c r="AJ88" s="317"/>
      <c r="AK88" s="320">
        <f>SUM(AH88:AJ88)</f>
        <v>0</v>
      </c>
    </row>
    <row r="89" spans="2:37" x14ac:dyDescent="0.2">
      <c r="B89" s="32" t="s">
        <v>367</v>
      </c>
      <c r="C89" t="s">
        <v>260</v>
      </c>
      <c r="D89" t="s">
        <v>377</v>
      </c>
      <c r="E89" s="33" t="s">
        <v>269</v>
      </c>
      <c r="G89" s="32" t="s">
        <v>367</v>
      </c>
      <c r="H89" t="s">
        <v>372</v>
      </c>
      <c r="I89" t="s">
        <v>254</v>
      </c>
      <c r="J89" s="33" t="s">
        <v>253</v>
      </c>
      <c r="M89" s="52" t="s">
        <v>138</v>
      </c>
      <c r="N89" s="48"/>
      <c r="O89" s="48"/>
      <c r="P89" s="318"/>
      <c r="Q89" s="315">
        <f t="shared" ref="Q89:Q91" si="12">SUM(N89:P89)</f>
        <v>0</v>
      </c>
      <c r="R89" s="52" t="s">
        <v>138</v>
      </c>
      <c r="S89" s="48"/>
      <c r="T89" s="48"/>
      <c r="U89" s="318"/>
      <c r="V89" s="315">
        <f t="shared" ref="V89:V91" si="13">SUM(S89:U89)</f>
        <v>0</v>
      </c>
      <c r="W89" s="52" t="s">
        <v>138</v>
      </c>
      <c r="X89" s="48"/>
      <c r="Y89" s="48"/>
      <c r="Z89" s="318"/>
      <c r="AA89" s="315">
        <f t="shared" ref="AA89:AA91" si="14">SUM(X89:Z89)</f>
        <v>0</v>
      </c>
      <c r="AB89" s="52" t="s">
        <v>138</v>
      </c>
      <c r="AC89" s="48"/>
      <c r="AD89" s="48"/>
      <c r="AE89" s="318"/>
      <c r="AF89" s="315">
        <f t="shared" ref="AF89:AF91" si="15">SUM(AC89:AE89)</f>
        <v>0</v>
      </c>
      <c r="AG89" s="52" t="s">
        <v>138</v>
      </c>
      <c r="AH89" s="48"/>
      <c r="AI89" s="48"/>
      <c r="AJ89" s="318"/>
      <c r="AK89" s="315">
        <f t="shared" ref="AK89:AK91" si="16">SUM(AH89:AJ89)</f>
        <v>0</v>
      </c>
    </row>
    <row r="90" spans="2:37" x14ac:dyDescent="0.2">
      <c r="B90" s="32" t="s">
        <v>368</v>
      </c>
      <c r="C90" t="s">
        <v>260</v>
      </c>
      <c r="D90" t="s">
        <v>377</v>
      </c>
      <c r="E90" s="33" t="s">
        <v>269</v>
      </c>
      <c r="G90" s="32" t="s">
        <v>368</v>
      </c>
      <c r="H90" t="s">
        <v>372</v>
      </c>
      <c r="I90" t="s">
        <v>254</v>
      </c>
      <c r="J90" s="33" t="s">
        <v>269</v>
      </c>
      <c r="M90" s="52" t="s">
        <v>139</v>
      </c>
      <c r="N90" s="42"/>
      <c r="O90" s="42"/>
      <c r="P90" s="37"/>
      <c r="Q90" s="315">
        <f t="shared" si="12"/>
        <v>0</v>
      </c>
      <c r="R90" s="52" t="s">
        <v>139</v>
      </c>
      <c r="S90" s="42"/>
      <c r="T90" s="42"/>
      <c r="U90" s="37"/>
      <c r="V90" s="315">
        <f t="shared" si="13"/>
        <v>0</v>
      </c>
      <c r="W90" s="52" t="s">
        <v>139</v>
      </c>
      <c r="X90" s="42"/>
      <c r="Y90" s="42"/>
      <c r="Z90" s="37"/>
      <c r="AA90" s="315">
        <f t="shared" si="14"/>
        <v>0</v>
      </c>
      <c r="AB90" s="52" t="s">
        <v>139</v>
      </c>
      <c r="AC90" s="42"/>
      <c r="AD90" s="42"/>
      <c r="AE90" s="37"/>
      <c r="AF90" s="315">
        <f t="shared" si="15"/>
        <v>0</v>
      </c>
      <c r="AG90" s="52" t="s">
        <v>139</v>
      </c>
      <c r="AH90" s="42"/>
      <c r="AI90" s="42"/>
      <c r="AJ90" s="37"/>
      <c r="AK90" s="315">
        <f t="shared" si="16"/>
        <v>0</v>
      </c>
    </row>
    <row r="91" spans="2:37" x14ac:dyDescent="0.2">
      <c r="B91" s="32" t="s">
        <v>369</v>
      </c>
      <c r="C91" t="s">
        <v>260</v>
      </c>
      <c r="D91" t="s">
        <v>377</v>
      </c>
      <c r="E91" s="33" t="s">
        <v>268</v>
      </c>
      <c r="G91" s="32" t="s">
        <v>369</v>
      </c>
      <c r="H91" t="s">
        <v>254</v>
      </c>
      <c r="I91" t="s">
        <v>254</v>
      </c>
      <c r="J91" s="33" t="s">
        <v>253</v>
      </c>
      <c r="M91" s="52" t="s">
        <v>459</v>
      </c>
      <c r="N91" s="42"/>
      <c r="O91" s="42"/>
      <c r="P91" s="37"/>
      <c r="Q91" s="315">
        <f t="shared" si="12"/>
        <v>0</v>
      </c>
      <c r="R91" s="52" t="s">
        <v>459</v>
      </c>
      <c r="S91" s="42"/>
      <c r="T91" s="42"/>
      <c r="U91" s="37"/>
      <c r="V91" s="315">
        <f t="shared" si="13"/>
        <v>0</v>
      </c>
      <c r="W91" s="52" t="s">
        <v>459</v>
      </c>
      <c r="X91" s="42"/>
      <c r="Y91" s="42"/>
      <c r="Z91" s="37"/>
      <c r="AA91" s="315">
        <f t="shared" si="14"/>
        <v>0</v>
      </c>
      <c r="AB91" s="52" t="s">
        <v>459</v>
      </c>
      <c r="AC91" s="42"/>
      <c r="AD91" s="42"/>
      <c r="AE91" s="37"/>
      <c r="AF91" s="315">
        <f t="shared" si="15"/>
        <v>0</v>
      </c>
      <c r="AG91" s="52" t="s">
        <v>459</v>
      </c>
      <c r="AH91" s="42"/>
      <c r="AI91" s="42"/>
      <c r="AJ91" s="37"/>
      <c r="AK91" s="315">
        <f t="shared" si="16"/>
        <v>0</v>
      </c>
    </row>
    <row r="92" spans="2:37" ht="16" thickBot="1" x14ac:dyDescent="0.25">
      <c r="B92" s="32" t="s">
        <v>370</v>
      </c>
      <c r="C92" t="s">
        <v>372</v>
      </c>
      <c r="D92" t="s">
        <v>372</v>
      </c>
      <c r="E92" s="33"/>
      <c r="G92" s="32" t="s">
        <v>370</v>
      </c>
      <c r="H92" t="s">
        <v>372</v>
      </c>
      <c r="I92" t="s">
        <v>253</v>
      </c>
      <c r="J92" s="33"/>
      <c r="M92" s="54" t="s">
        <v>140</v>
      </c>
      <c r="N92" s="55"/>
      <c r="O92" s="55"/>
      <c r="P92" s="208"/>
      <c r="Q92" s="316">
        <f>SUM(N92:P92)</f>
        <v>0</v>
      </c>
      <c r="R92" s="54" t="s">
        <v>140</v>
      </c>
      <c r="S92" s="55"/>
      <c r="T92" s="55"/>
      <c r="U92" s="208"/>
      <c r="V92" s="316">
        <f>SUM(S92:U92)</f>
        <v>0</v>
      </c>
      <c r="W92" s="54" t="s">
        <v>140</v>
      </c>
      <c r="X92" s="55"/>
      <c r="Y92" s="55"/>
      <c r="Z92" s="208"/>
      <c r="AA92" s="316">
        <f>SUM(X92:Z92)</f>
        <v>0</v>
      </c>
      <c r="AB92" s="54" t="s">
        <v>140</v>
      </c>
      <c r="AC92" s="55"/>
      <c r="AD92" s="55"/>
      <c r="AE92" s="208"/>
      <c r="AF92" s="316">
        <f>SUM(AC92:AE92)</f>
        <v>0</v>
      </c>
      <c r="AG92" s="54" t="s">
        <v>140</v>
      </c>
      <c r="AH92" s="55"/>
      <c r="AI92" s="55"/>
      <c r="AJ92" s="208"/>
      <c r="AK92" s="316">
        <f>SUM(AH92:AJ92)</f>
        <v>0</v>
      </c>
    </row>
    <row r="93" spans="2:37" ht="16" thickBot="1" x14ac:dyDescent="0.25">
      <c r="B93" s="34" t="s">
        <v>371</v>
      </c>
      <c r="C93" s="35" t="s">
        <v>268</v>
      </c>
      <c r="D93" s="35" t="s">
        <v>268</v>
      </c>
      <c r="E93" s="36"/>
      <c r="G93" s="34" t="s">
        <v>371</v>
      </c>
      <c r="H93" s="35" t="s">
        <v>372</v>
      </c>
      <c r="I93" s="35" t="s">
        <v>269</v>
      </c>
      <c r="J93" s="36"/>
      <c r="M93" s="41" t="s">
        <v>141</v>
      </c>
      <c r="R93" s="41" t="s">
        <v>141</v>
      </c>
      <c r="W93" s="41" t="s">
        <v>141</v>
      </c>
      <c r="AB93" s="41" t="s">
        <v>141</v>
      </c>
      <c r="AG93" s="41" t="s">
        <v>141</v>
      </c>
    </row>
    <row r="94" spans="2:37" x14ac:dyDescent="0.2">
      <c r="M94" s="49" t="s">
        <v>142</v>
      </c>
      <c r="N94" s="50"/>
      <c r="O94" s="50"/>
      <c r="P94" s="207"/>
      <c r="Q94" s="314">
        <f>SUM(N94:P94)</f>
        <v>0</v>
      </c>
      <c r="R94" s="178" t="s">
        <v>142</v>
      </c>
      <c r="S94" s="50"/>
      <c r="T94" s="50"/>
      <c r="U94" s="207"/>
      <c r="V94" s="314">
        <f t="shared" ref="V94:V101" si="17">SUM(S94:U94)</f>
        <v>0</v>
      </c>
      <c r="W94" s="49" t="s">
        <v>142</v>
      </c>
      <c r="X94" s="50"/>
      <c r="Y94" s="50"/>
      <c r="Z94" s="207"/>
      <c r="AA94" s="314">
        <f t="shared" ref="AA94:AA101" si="18">SUM(X94:Z94)</f>
        <v>0</v>
      </c>
      <c r="AB94" s="49" t="s">
        <v>142</v>
      </c>
      <c r="AC94" s="50"/>
      <c r="AD94" s="50"/>
      <c r="AE94" s="207"/>
      <c r="AF94" s="314">
        <f t="shared" ref="AF94:AF101" si="19">SUM(AC94:AE94)</f>
        <v>0</v>
      </c>
      <c r="AG94" s="49" t="s">
        <v>142</v>
      </c>
      <c r="AH94" s="50"/>
      <c r="AI94" s="50"/>
      <c r="AJ94" s="207"/>
      <c r="AK94" s="314">
        <f t="shared" ref="AK94:AK101" si="20">SUM(AH94:AJ94)</f>
        <v>0</v>
      </c>
    </row>
    <row r="95" spans="2:37" x14ac:dyDescent="0.2">
      <c r="B95" s="337" t="s">
        <v>376</v>
      </c>
      <c r="C95" s="338" t="s">
        <v>373</v>
      </c>
      <c r="D95" s="339"/>
      <c r="E95" s="340"/>
      <c r="G95" s="227" t="s">
        <v>374</v>
      </c>
      <c r="H95" s="228" t="s">
        <v>373</v>
      </c>
      <c r="I95" s="30"/>
      <c r="J95" s="31"/>
      <c r="M95" s="52" t="s">
        <v>149</v>
      </c>
      <c r="N95" s="42"/>
      <c r="O95" s="42"/>
      <c r="P95" s="37"/>
      <c r="Q95" s="315">
        <f t="shared" ref="Q95:Q101" si="21">SUM(N95:P95)</f>
        <v>0</v>
      </c>
      <c r="R95" s="179" t="s">
        <v>149</v>
      </c>
      <c r="S95" s="42"/>
      <c r="T95" s="42"/>
      <c r="U95" s="37"/>
      <c r="V95" s="315">
        <f t="shared" si="17"/>
        <v>0</v>
      </c>
      <c r="W95" s="52" t="s">
        <v>149</v>
      </c>
      <c r="X95" s="42"/>
      <c r="Y95" s="42"/>
      <c r="Z95" s="37"/>
      <c r="AA95" s="315">
        <f t="shared" si="18"/>
        <v>0</v>
      </c>
      <c r="AB95" s="52" t="s">
        <v>149</v>
      </c>
      <c r="AC95" s="42"/>
      <c r="AD95" s="42"/>
      <c r="AE95" s="37"/>
      <c r="AF95" s="315">
        <f t="shared" si="19"/>
        <v>0</v>
      </c>
      <c r="AG95" s="52" t="s">
        <v>149</v>
      </c>
      <c r="AH95" s="42"/>
      <c r="AI95" s="42"/>
      <c r="AJ95" s="37"/>
      <c r="AK95" s="315">
        <f t="shared" si="20"/>
        <v>0</v>
      </c>
    </row>
    <row r="96" spans="2:37" x14ac:dyDescent="0.2">
      <c r="B96" s="341" t="s">
        <v>366</v>
      </c>
      <c r="C96" s="102" t="s">
        <v>268</v>
      </c>
      <c r="D96" s="102" t="s">
        <v>268</v>
      </c>
      <c r="E96" s="342"/>
      <c r="G96" s="32" t="s">
        <v>366</v>
      </c>
      <c r="H96" s="229" t="s">
        <v>269</v>
      </c>
      <c r="I96" s="229" t="s">
        <v>253</v>
      </c>
      <c r="J96" s="230"/>
      <c r="K96" s="229"/>
      <c r="M96" s="52" t="s">
        <v>150</v>
      </c>
      <c r="N96" s="42"/>
      <c r="O96" s="42"/>
      <c r="P96" s="37"/>
      <c r="Q96" s="315">
        <f t="shared" si="21"/>
        <v>0</v>
      </c>
      <c r="R96" s="179" t="s">
        <v>150</v>
      </c>
      <c r="S96" s="42"/>
      <c r="T96" s="42"/>
      <c r="U96" s="37"/>
      <c r="V96" s="315">
        <f t="shared" si="17"/>
        <v>0</v>
      </c>
      <c r="W96" s="52" t="s">
        <v>150</v>
      </c>
      <c r="X96" s="42"/>
      <c r="Y96" s="42"/>
      <c r="Z96" s="37"/>
      <c r="AA96" s="315">
        <f t="shared" si="18"/>
        <v>0</v>
      </c>
      <c r="AB96" s="52" t="s">
        <v>150</v>
      </c>
      <c r="AC96" s="42"/>
      <c r="AD96" s="42"/>
      <c r="AE96" s="37"/>
      <c r="AF96" s="315">
        <f t="shared" si="19"/>
        <v>0</v>
      </c>
      <c r="AG96" s="52" t="s">
        <v>150</v>
      </c>
      <c r="AH96" s="42"/>
      <c r="AI96" s="42"/>
      <c r="AJ96" s="37"/>
      <c r="AK96" s="315">
        <f t="shared" si="20"/>
        <v>0</v>
      </c>
    </row>
    <row r="97" spans="2:37" x14ac:dyDescent="0.2">
      <c r="B97" s="341" t="s">
        <v>367</v>
      </c>
      <c r="C97" s="102" t="s">
        <v>260</v>
      </c>
      <c r="D97" s="102" t="s">
        <v>378</v>
      </c>
      <c r="E97" s="342" t="s">
        <v>372</v>
      </c>
      <c r="G97" s="32" t="s">
        <v>367</v>
      </c>
      <c r="H97" t="s">
        <v>269</v>
      </c>
      <c r="I97" t="s">
        <v>267</v>
      </c>
      <c r="J97" s="33" t="s">
        <v>372</v>
      </c>
      <c r="M97" s="52" t="s">
        <v>143</v>
      </c>
      <c r="N97" s="42"/>
      <c r="O97" s="42"/>
      <c r="P97" s="37"/>
      <c r="Q97" s="315">
        <f t="shared" si="21"/>
        <v>0</v>
      </c>
      <c r="R97" s="179" t="s">
        <v>143</v>
      </c>
      <c r="S97" s="42"/>
      <c r="T97" s="42"/>
      <c r="U97" s="37"/>
      <c r="V97" s="315">
        <f t="shared" si="17"/>
        <v>0</v>
      </c>
      <c r="W97" s="52" t="s">
        <v>143</v>
      </c>
      <c r="X97" s="42"/>
      <c r="Y97" s="42"/>
      <c r="Z97" s="37"/>
      <c r="AA97" s="315">
        <f t="shared" si="18"/>
        <v>0</v>
      </c>
      <c r="AB97" s="52" t="s">
        <v>143</v>
      </c>
      <c r="AC97" s="42"/>
      <c r="AD97" s="42"/>
      <c r="AE97" s="37"/>
      <c r="AF97" s="315">
        <f t="shared" si="19"/>
        <v>0</v>
      </c>
      <c r="AG97" s="52" t="s">
        <v>143</v>
      </c>
      <c r="AH97" s="42"/>
      <c r="AI97" s="42"/>
      <c r="AJ97" s="37"/>
      <c r="AK97" s="315">
        <f t="shared" si="20"/>
        <v>0</v>
      </c>
    </row>
    <row r="98" spans="2:37" x14ac:dyDescent="0.2">
      <c r="B98" s="341" t="s">
        <v>368</v>
      </c>
      <c r="C98" s="102" t="s">
        <v>269</v>
      </c>
      <c r="D98" s="102" t="s">
        <v>268</v>
      </c>
      <c r="E98" s="342" t="s">
        <v>372</v>
      </c>
      <c r="G98" s="32" t="s">
        <v>368</v>
      </c>
      <c r="H98" t="s">
        <v>253</v>
      </c>
      <c r="I98" t="s">
        <v>269</v>
      </c>
      <c r="J98" s="33" t="s">
        <v>372</v>
      </c>
      <c r="M98" s="52" t="s">
        <v>144</v>
      </c>
      <c r="N98" s="42"/>
      <c r="O98" s="42"/>
      <c r="P98" s="37"/>
      <c r="Q98" s="315">
        <f t="shared" si="21"/>
        <v>0</v>
      </c>
      <c r="R98" s="179" t="s">
        <v>144</v>
      </c>
      <c r="S98" s="42"/>
      <c r="T98" s="42"/>
      <c r="U98" s="37"/>
      <c r="V98" s="315">
        <f t="shared" si="17"/>
        <v>0</v>
      </c>
      <c r="W98" s="52" t="s">
        <v>144</v>
      </c>
      <c r="X98" s="42"/>
      <c r="Y98" s="42"/>
      <c r="Z98" s="37"/>
      <c r="AA98" s="315">
        <f t="shared" si="18"/>
        <v>0</v>
      </c>
      <c r="AB98" s="52" t="s">
        <v>144</v>
      </c>
      <c r="AC98" s="42"/>
      <c r="AD98" s="42"/>
      <c r="AE98" s="37"/>
      <c r="AF98" s="315">
        <f t="shared" si="19"/>
        <v>0</v>
      </c>
      <c r="AG98" s="52" t="s">
        <v>144</v>
      </c>
      <c r="AH98" s="42"/>
      <c r="AI98" s="42"/>
      <c r="AJ98" s="37"/>
      <c r="AK98" s="315">
        <f t="shared" si="20"/>
        <v>0</v>
      </c>
    </row>
    <row r="99" spans="2:37" x14ac:dyDescent="0.2">
      <c r="B99" s="341" t="s">
        <v>369</v>
      </c>
      <c r="C99" s="102" t="s">
        <v>372</v>
      </c>
      <c r="D99" s="102" t="s">
        <v>269</v>
      </c>
      <c r="E99" s="342" t="s">
        <v>269</v>
      </c>
      <c r="G99" s="32" t="s">
        <v>369</v>
      </c>
      <c r="H99" t="s">
        <v>372</v>
      </c>
      <c r="I99" t="s">
        <v>253</v>
      </c>
      <c r="J99" s="33" t="s">
        <v>253</v>
      </c>
      <c r="M99" s="52" t="s">
        <v>145</v>
      </c>
      <c r="N99" s="42"/>
      <c r="O99" s="42"/>
      <c r="P99" s="37"/>
      <c r="Q99" s="315">
        <f t="shared" si="21"/>
        <v>0</v>
      </c>
      <c r="R99" s="179" t="s">
        <v>145</v>
      </c>
      <c r="S99" s="42"/>
      <c r="T99" s="42"/>
      <c r="U99" s="37"/>
      <c r="V99" s="315">
        <f t="shared" si="17"/>
        <v>0</v>
      </c>
      <c r="W99" s="52" t="s">
        <v>145</v>
      </c>
      <c r="X99" s="42"/>
      <c r="Y99" s="42"/>
      <c r="Z99" s="37"/>
      <c r="AA99" s="315">
        <f t="shared" si="18"/>
        <v>0</v>
      </c>
      <c r="AB99" s="52" t="s">
        <v>145</v>
      </c>
      <c r="AC99" s="42"/>
      <c r="AD99" s="42"/>
      <c r="AE99" s="37"/>
      <c r="AF99" s="315">
        <f t="shared" si="19"/>
        <v>0</v>
      </c>
      <c r="AG99" s="52" t="s">
        <v>145</v>
      </c>
      <c r="AH99" s="42"/>
      <c r="AI99" s="42"/>
      <c r="AJ99" s="37"/>
      <c r="AK99" s="315">
        <f t="shared" si="20"/>
        <v>0</v>
      </c>
    </row>
    <row r="100" spans="2:37" x14ac:dyDescent="0.2">
      <c r="B100" s="341" t="s">
        <v>370</v>
      </c>
      <c r="C100" s="102" t="s">
        <v>372</v>
      </c>
      <c r="D100" s="102" t="s">
        <v>268</v>
      </c>
      <c r="E100" s="342"/>
      <c r="G100" s="32" t="s">
        <v>370</v>
      </c>
      <c r="H100" t="s">
        <v>372</v>
      </c>
      <c r="I100" t="s">
        <v>269</v>
      </c>
      <c r="J100" s="33"/>
      <c r="M100" s="52" t="s">
        <v>146</v>
      </c>
      <c r="N100" s="42"/>
      <c r="O100" s="42"/>
      <c r="P100" s="37"/>
      <c r="Q100" s="315">
        <f t="shared" si="21"/>
        <v>0</v>
      </c>
      <c r="R100" s="179" t="s">
        <v>146</v>
      </c>
      <c r="S100" s="42"/>
      <c r="T100" s="42"/>
      <c r="U100" s="37"/>
      <c r="V100" s="315">
        <f t="shared" si="17"/>
        <v>0</v>
      </c>
      <c r="W100" s="52" t="s">
        <v>146</v>
      </c>
      <c r="X100" s="42"/>
      <c r="Y100" s="42"/>
      <c r="Z100" s="309"/>
      <c r="AA100" s="315">
        <f t="shared" si="18"/>
        <v>0</v>
      </c>
      <c r="AB100" s="52" t="s">
        <v>146</v>
      </c>
      <c r="AC100" s="42"/>
      <c r="AD100" s="42"/>
      <c r="AE100" s="37"/>
      <c r="AF100" s="315">
        <f t="shared" si="19"/>
        <v>0</v>
      </c>
      <c r="AG100" s="52" t="s">
        <v>146</v>
      </c>
      <c r="AH100" s="42"/>
      <c r="AI100" s="42"/>
      <c r="AJ100" s="37"/>
      <c r="AK100" s="315">
        <f t="shared" si="20"/>
        <v>0</v>
      </c>
    </row>
    <row r="101" spans="2:37" ht="16" thickBot="1" x14ac:dyDescent="0.25">
      <c r="B101" s="343" t="s">
        <v>371</v>
      </c>
      <c r="C101" s="344" t="s">
        <v>269</v>
      </c>
      <c r="D101" s="344" t="s">
        <v>378</v>
      </c>
      <c r="E101" s="345"/>
      <c r="G101" s="34" t="s">
        <v>371</v>
      </c>
      <c r="H101" s="231" t="s">
        <v>253</v>
      </c>
      <c r="I101" s="231" t="s">
        <v>267</v>
      </c>
      <c r="J101" s="232"/>
      <c r="K101" s="229"/>
      <c r="M101" s="54" t="s">
        <v>147</v>
      </c>
      <c r="N101" s="55"/>
      <c r="O101" s="55"/>
      <c r="P101" s="208"/>
      <c r="Q101" s="316">
        <f t="shared" si="21"/>
        <v>0</v>
      </c>
      <c r="R101" s="180" t="s">
        <v>147</v>
      </c>
      <c r="S101" s="55"/>
      <c r="T101" s="55"/>
      <c r="U101" s="208"/>
      <c r="V101" s="316">
        <f t="shared" si="17"/>
        <v>0</v>
      </c>
      <c r="W101" s="54" t="s">
        <v>147</v>
      </c>
      <c r="X101" s="55"/>
      <c r="Y101" s="55"/>
      <c r="Z101" s="208"/>
      <c r="AA101" s="316">
        <f t="shared" si="18"/>
        <v>0</v>
      </c>
      <c r="AB101" s="54" t="s">
        <v>147</v>
      </c>
      <c r="AC101" s="55"/>
      <c r="AD101" s="55"/>
      <c r="AE101" s="208"/>
      <c r="AF101" s="316">
        <f t="shared" si="19"/>
        <v>0</v>
      </c>
      <c r="AG101" s="54" t="s">
        <v>147</v>
      </c>
      <c r="AH101" s="55"/>
      <c r="AI101" s="55"/>
      <c r="AJ101" s="208"/>
      <c r="AK101" s="316">
        <f t="shared" si="20"/>
        <v>0</v>
      </c>
    </row>
    <row r="102" spans="2:37" ht="16" thickBot="1" x14ac:dyDescent="0.25">
      <c r="M102" s="182" t="s">
        <v>202</v>
      </c>
      <c r="N102" s="109"/>
      <c r="O102" s="183"/>
      <c r="P102" s="99"/>
      <c r="Q102" s="100"/>
      <c r="R102" s="98" t="s">
        <v>202</v>
      </c>
      <c r="S102" s="101"/>
      <c r="T102" s="99"/>
      <c r="U102" s="99"/>
      <c r="V102" s="100"/>
      <c r="W102" s="98" t="s">
        <v>202</v>
      </c>
      <c r="X102" s="101"/>
      <c r="Y102" s="99"/>
      <c r="Z102" s="99"/>
      <c r="AA102" s="100"/>
      <c r="AB102" s="98" t="s">
        <v>202</v>
      </c>
      <c r="AC102" s="101"/>
      <c r="AD102" s="99"/>
      <c r="AE102" s="99"/>
      <c r="AF102" s="100"/>
      <c r="AG102" s="98" t="s">
        <v>202</v>
      </c>
      <c r="AH102" s="101"/>
      <c r="AI102" s="99"/>
      <c r="AJ102" s="99"/>
      <c r="AK102" s="100"/>
    </row>
    <row r="103" spans="2:37" ht="16" thickBot="1" x14ac:dyDescent="0.25">
      <c r="M103" s="92" t="s">
        <v>151</v>
      </c>
      <c r="N103">
        <f>SUM(N94:N101)</f>
        <v>0</v>
      </c>
      <c r="O103" s="33">
        <f>SUM(O94:O101)</f>
        <v>0</v>
      </c>
      <c r="P103" s="33">
        <f>SUM(P94:P101)</f>
        <v>0</v>
      </c>
      <c r="R103" s="56" t="s">
        <v>151</v>
      </c>
      <c r="S103">
        <f>SUM(S94:S101)</f>
        <v>0</v>
      </c>
      <c r="T103" s="33">
        <f>SUM(T94:T101)</f>
        <v>0</v>
      </c>
      <c r="U103" s="33">
        <f>SUM(U94:U101)</f>
        <v>0</v>
      </c>
      <c r="W103" s="56" t="s">
        <v>151</v>
      </c>
      <c r="X103">
        <f>SUM(X94:X101)</f>
        <v>0</v>
      </c>
      <c r="Y103" s="33">
        <f>SUM(Y94:Y101)</f>
        <v>0</v>
      </c>
      <c r="Z103" s="33">
        <f>SUM(Z94:Z101)</f>
        <v>0</v>
      </c>
      <c r="AB103" s="92" t="s">
        <v>151</v>
      </c>
      <c r="AC103">
        <f>SUM(AC94:AC101)</f>
        <v>0</v>
      </c>
      <c r="AD103" s="33">
        <f>SUM(AD94:AD101)</f>
        <v>0</v>
      </c>
      <c r="AE103" s="33">
        <f>SUM(AE94:AE101)</f>
        <v>0</v>
      </c>
      <c r="AG103" s="92" t="s">
        <v>151</v>
      </c>
      <c r="AH103">
        <f>SUM(AH94:AH101)</f>
        <v>0</v>
      </c>
      <c r="AI103" s="33">
        <f>SUM(AI94:AI101)</f>
        <v>0</v>
      </c>
      <c r="AJ103" s="33">
        <f>SUM(AJ94:AJ101)</f>
        <v>0</v>
      </c>
    </row>
    <row r="104" spans="2:37" ht="16" thickBot="1" x14ac:dyDescent="0.25">
      <c r="M104" s="94" t="s">
        <v>201</v>
      </c>
      <c r="N104" s="114">
        <v>0</v>
      </c>
      <c r="O104" s="114">
        <v>0</v>
      </c>
      <c r="P104" s="226">
        <v>0</v>
      </c>
      <c r="Q104" s="321">
        <f>N104+O104</f>
        <v>0</v>
      </c>
      <c r="R104" s="94" t="s">
        <v>201</v>
      </c>
      <c r="S104" s="114">
        <v>0</v>
      </c>
      <c r="T104" s="114">
        <v>0</v>
      </c>
      <c r="U104" s="322">
        <v>0</v>
      </c>
      <c r="V104" s="321">
        <f>S104+T104</f>
        <v>0</v>
      </c>
      <c r="W104" s="94" t="s">
        <v>201</v>
      </c>
      <c r="X104" s="114">
        <v>4.1666666666666664E-2</v>
      </c>
      <c r="Y104" s="114">
        <v>8.9583333333333334E-2</v>
      </c>
      <c r="Z104" s="322">
        <v>0</v>
      </c>
      <c r="AA104" s="321">
        <f>X104+Y104</f>
        <v>0.13125000000000001</v>
      </c>
      <c r="AB104" s="94" t="s">
        <v>201</v>
      </c>
      <c r="AC104" s="114"/>
      <c r="AD104" s="93"/>
      <c r="AE104" s="119"/>
      <c r="AF104" s="321">
        <f>AC104+AD104</f>
        <v>0</v>
      </c>
      <c r="AG104" s="94" t="s">
        <v>201</v>
      </c>
      <c r="AH104" s="93">
        <v>0</v>
      </c>
      <c r="AI104" s="93"/>
      <c r="AJ104" s="119"/>
      <c r="AK104" s="321">
        <f>AH104+AI104</f>
        <v>0</v>
      </c>
    </row>
    <row r="105" spans="2:37" ht="16" thickBot="1" x14ac:dyDescent="0.25">
      <c r="M105" s="115" t="s">
        <v>217</v>
      </c>
      <c r="N105" s="404"/>
      <c r="O105" s="405"/>
      <c r="P105" s="406"/>
      <c r="R105" s="115" t="s">
        <v>217</v>
      </c>
      <c r="S105" s="404"/>
      <c r="T105" s="405"/>
      <c r="U105" s="406"/>
      <c r="W105" s="115" t="s">
        <v>217</v>
      </c>
      <c r="X105" s="404"/>
      <c r="Y105" s="405"/>
      <c r="Z105" s="406"/>
      <c r="AB105" s="115" t="s">
        <v>217</v>
      </c>
      <c r="AC105" s="404"/>
      <c r="AD105" s="405"/>
      <c r="AE105" s="406"/>
      <c r="AG105" s="115" t="s">
        <v>217</v>
      </c>
      <c r="AH105" s="404"/>
      <c r="AI105" s="405"/>
      <c r="AJ105" s="406"/>
    </row>
    <row r="106" spans="2:37" ht="16" thickBot="1" x14ac:dyDescent="0.25"/>
    <row r="107" spans="2:37" ht="16" thickBot="1" x14ac:dyDescent="0.25">
      <c r="L107" s="88" t="s">
        <v>204</v>
      </c>
      <c r="M107" s="295" t="str">
        <f>M78</f>
        <v>February</v>
      </c>
      <c r="N107" s="119" t="s">
        <v>198</v>
      </c>
      <c r="O107" s="120" t="s">
        <v>200</v>
      </c>
    </row>
    <row r="108" spans="2:37" x14ac:dyDescent="0.2">
      <c r="M108" s="89" t="s">
        <v>147</v>
      </c>
      <c r="N108" s="34">
        <f>Q101+V101+AA101+AF101+AK101</f>
        <v>0</v>
      </c>
      <c r="O108" s="118">
        <f>N108*13</f>
        <v>0</v>
      </c>
    </row>
    <row r="109" spans="2:37" x14ac:dyDescent="0.2">
      <c r="M109" s="45" t="s">
        <v>146</v>
      </c>
      <c r="N109" s="37">
        <f>Q100+V100+AA100+AF100+AK100</f>
        <v>0</v>
      </c>
      <c r="O109" s="90">
        <f t="shared" ref="O109:O111" si="22">N109*13</f>
        <v>0</v>
      </c>
    </row>
    <row r="110" spans="2:37" x14ac:dyDescent="0.2">
      <c r="M110" s="45" t="s">
        <v>145</v>
      </c>
      <c r="N110" s="37">
        <f>Q99+V99+AA99+AF99+AK99</f>
        <v>0</v>
      </c>
      <c r="O110" s="90">
        <f t="shared" si="22"/>
        <v>0</v>
      </c>
    </row>
    <row r="111" spans="2:37" x14ac:dyDescent="0.2">
      <c r="M111" s="45" t="s">
        <v>144</v>
      </c>
      <c r="N111" s="37">
        <f>Q98+V98+AA98+AF98+AK98</f>
        <v>0</v>
      </c>
      <c r="O111" s="90">
        <f t="shared" si="22"/>
        <v>0</v>
      </c>
    </row>
    <row r="112" spans="2:37" x14ac:dyDescent="0.2">
      <c r="M112" s="45" t="s">
        <v>143</v>
      </c>
      <c r="N112" s="37">
        <f>Q97+V97+AA97+AF97+AK97</f>
        <v>0</v>
      </c>
      <c r="O112" s="90">
        <f>N112*13</f>
        <v>0</v>
      </c>
    </row>
    <row r="113" spans="12:16" x14ac:dyDescent="0.2">
      <c r="M113" s="45" t="s">
        <v>150</v>
      </c>
      <c r="N113" s="37">
        <f>Q96+V96+AA96+AF96+AK96</f>
        <v>0</v>
      </c>
      <c r="O113" s="90">
        <f t="shared" ref="O113:O115" si="23">N113*13</f>
        <v>0</v>
      </c>
    </row>
    <row r="114" spans="12:16" x14ac:dyDescent="0.2">
      <c r="M114" s="45" t="s">
        <v>149</v>
      </c>
      <c r="N114" s="37">
        <f>Q95+V95+AA95+AF95+AK95</f>
        <v>0</v>
      </c>
      <c r="O114" s="90">
        <f t="shared" si="23"/>
        <v>0</v>
      </c>
    </row>
    <row r="115" spans="12:16" ht="16" thickBot="1" x14ac:dyDescent="0.25">
      <c r="M115" s="45" t="s">
        <v>142</v>
      </c>
      <c r="N115" s="37">
        <f>Q94+V94+AA94+AF94+AK94</f>
        <v>0</v>
      </c>
      <c r="O115" s="91">
        <f t="shared" si="23"/>
        <v>0</v>
      </c>
    </row>
    <row r="118" spans="12:16" ht="16" thickBot="1" x14ac:dyDescent="0.25"/>
    <row r="119" spans="12:16" ht="16" thickBot="1" x14ac:dyDescent="0.25">
      <c r="L119" s="299" t="s">
        <v>477</v>
      </c>
      <c r="M119" s="300" t="s">
        <v>129</v>
      </c>
      <c r="N119" s="301" t="s">
        <v>199</v>
      </c>
      <c r="O119" s="301" t="s">
        <v>476</v>
      </c>
      <c r="P119" s="296" t="s">
        <v>421</v>
      </c>
    </row>
    <row r="120" spans="12:16" x14ac:dyDescent="0.2">
      <c r="L120" s="394" t="s">
        <v>473</v>
      </c>
      <c r="M120" s="395"/>
      <c r="N120" s="122">
        <f>Q89+V89+AA89+AF89+AK89</f>
        <v>0</v>
      </c>
      <c r="O120" s="122">
        <f>N91+O91+P91+S91+T91+U91+X91+Y91+Z91+AC91+AD91+AE91+AH91+AI91+AJ91</f>
        <v>0</v>
      </c>
      <c r="P120" s="297">
        <f>Q88+V88+AA88+AF88+AK88</f>
        <v>0</v>
      </c>
    </row>
    <row r="121" spans="12:16" x14ac:dyDescent="0.2">
      <c r="L121" s="396" t="s">
        <v>474</v>
      </c>
      <c r="M121" s="397"/>
      <c r="N121" s="302"/>
      <c r="O121" s="302"/>
      <c r="P121" s="298">
        <f>Q89+V89+AA89+AF89+AK89</f>
        <v>0</v>
      </c>
    </row>
    <row r="122" spans="12:16" x14ac:dyDescent="0.2">
      <c r="L122" s="396" t="s">
        <v>475</v>
      </c>
      <c r="M122" s="397"/>
      <c r="N122" s="302"/>
      <c r="O122" s="302"/>
      <c r="P122" s="298">
        <f>Q90+V90+AA90+AF90+AK90</f>
        <v>0</v>
      </c>
    </row>
  </sheetData>
  <mergeCells count="38">
    <mergeCell ref="AH55:AJ55"/>
    <mergeCell ref="N105:P105"/>
    <mergeCell ref="S105:U105"/>
    <mergeCell ref="X105:Z105"/>
    <mergeCell ref="AC105:AE105"/>
    <mergeCell ref="AH105:AJ105"/>
    <mergeCell ref="AH86:AJ86"/>
    <mergeCell ref="AH85:AK85"/>
    <mergeCell ref="B25:AE25"/>
    <mergeCell ref="S55:U55"/>
    <mergeCell ref="N55:P55"/>
    <mergeCell ref="X55:Z55"/>
    <mergeCell ref="AC55:AE55"/>
    <mergeCell ref="X36:Z36"/>
    <mergeCell ref="AC36:AE36"/>
    <mergeCell ref="L120:M120"/>
    <mergeCell ref="L121:M121"/>
    <mergeCell ref="L122:M122"/>
    <mergeCell ref="B75:AE75"/>
    <mergeCell ref="N86:P86"/>
    <mergeCell ref="S86:U86"/>
    <mergeCell ref="X86:Z86"/>
    <mergeCell ref="AC86:AE86"/>
    <mergeCell ref="N85:Q85"/>
    <mergeCell ref="S85:V85"/>
    <mergeCell ref="X85:AA85"/>
    <mergeCell ref="AC85:AF85"/>
    <mergeCell ref="AH36:AJ36"/>
    <mergeCell ref="N35:Q35"/>
    <mergeCell ref="S35:V35"/>
    <mergeCell ref="X35:AA35"/>
    <mergeCell ref="AC35:AF35"/>
    <mergeCell ref="AH35:AK35"/>
    <mergeCell ref="L70:M70"/>
    <mergeCell ref="L71:M71"/>
    <mergeCell ref="L72:M72"/>
    <mergeCell ref="N36:P36"/>
    <mergeCell ref="S36:U36"/>
  </mergeCell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4B252-96EC-4189-81FC-267E9978E5D6}">
  <dimension ref="A3:AO55"/>
  <sheetViews>
    <sheetView topLeftCell="A7" workbookViewId="0">
      <selection activeCell="AC54" sqref="AC54"/>
    </sheetView>
  </sheetViews>
  <sheetFormatPr baseColWidth="10" defaultColWidth="8.83203125" defaultRowHeight="15" x14ac:dyDescent="0.2"/>
  <cols>
    <col min="1" max="1" width="15.1640625" bestFit="1" customWidth="1"/>
    <col min="2" max="2" width="10.6640625" bestFit="1" customWidth="1"/>
    <col min="3" max="3" width="10.1640625" customWidth="1"/>
    <col min="5" max="5" width="11.33203125" bestFit="1" customWidth="1"/>
    <col min="6" max="6" width="9.6640625" customWidth="1"/>
    <col min="7" max="7" width="9.6640625" bestFit="1" customWidth="1"/>
    <col min="12" max="12" width="2.83203125" bestFit="1" customWidth="1"/>
    <col min="16" max="16" width="7.1640625" bestFit="1" customWidth="1"/>
    <col min="17" max="17" width="7.33203125" bestFit="1" customWidth="1"/>
    <col min="18" max="18" width="8" customWidth="1"/>
    <col min="21" max="21" width="7.33203125" bestFit="1" customWidth="1"/>
    <col min="22" max="22" width="7.83203125" bestFit="1" customWidth="1"/>
    <col min="24" max="24" width="10.5" bestFit="1" customWidth="1"/>
    <col min="25" max="25" width="7.83203125" bestFit="1" customWidth="1"/>
    <col min="33" max="33" width="10.5" customWidth="1"/>
    <col min="38" max="38" width="10.83203125" customWidth="1"/>
  </cols>
  <sheetData>
    <row r="3" spans="1:32" x14ac:dyDescent="0.2">
      <c r="B3" s="18" t="s">
        <v>75</v>
      </c>
      <c r="C3" t="s">
        <v>76</v>
      </c>
    </row>
    <row r="4" spans="1:32" x14ac:dyDescent="0.2">
      <c r="B4" s="18" t="s">
        <v>77</v>
      </c>
      <c r="C4" t="s">
        <v>78</v>
      </c>
    </row>
    <row r="6" spans="1:32" x14ac:dyDescent="0.2">
      <c r="B6" s="19" t="s">
        <v>346</v>
      </c>
      <c r="C6" s="19" t="s">
        <v>347</v>
      </c>
      <c r="D6" s="19" t="s">
        <v>348</v>
      </c>
      <c r="E6" s="19" t="s">
        <v>349</v>
      </c>
      <c r="F6" s="19" t="s">
        <v>350</v>
      </c>
      <c r="G6" s="19" t="s">
        <v>351</v>
      </c>
      <c r="H6" s="19" t="s">
        <v>352</v>
      </c>
    </row>
    <row r="7" spans="1:32" ht="16" thickBot="1" x14ac:dyDescent="0.25">
      <c r="B7" s="20" t="s">
        <v>79</v>
      </c>
      <c r="C7" s="21" t="s">
        <v>80</v>
      </c>
      <c r="D7" s="21" t="s">
        <v>80</v>
      </c>
      <c r="E7" s="21" t="s">
        <v>80</v>
      </c>
      <c r="F7" s="22" t="s">
        <v>81</v>
      </c>
      <c r="G7" s="23" t="s">
        <v>82</v>
      </c>
      <c r="H7" s="24" t="s">
        <v>83</v>
      </c>
    </row>
    <row r="8" spans="1:32" ht="16" thickBot="1" x14ac:dyDescent="0.25">
      <c r="B8" s="25" t="s">
        <v>85</v>
      </c>
      <c r="C8" s="25"/>
      <c r="D8" s="25"/>
      <c r="E8" s="25"/>
      <c r="F8" s="25"/>
      <c r="G8" s="25" t="s">
        <v>86</v>
      </c>
      <c r="H8" s="25"/>
      <c r="Y8" s="195" t="s">
        <v>162</v>
      </c>
      <c r="Z8" s="311">
        <v>45962</v>
      </c>
    </row>
    <row r="9" spans="1:32" x14ac:dyDescent="0.2">
      <c r="Y9" s="199" t="s">
        <v>418</v>
      </c>
      <c r="Z9" s="213" t="s">
        <v>360</v>
      </c>
    </row>
    <row r="10" spans="1:32" x14ac:dyDescent="0.2">
      <c r="B10" s="18" t="s">
        <v>89</v>
      </c>
      <c r="Y10" t="s">
        <v>416</v>
      </c>
      <c r="Z10" t="s">
        <v>416</v>
      </c>
    </row>
    <row r="11" spans="1:32" ht="16" thickBot="1" x14ac:dyDescent="0.25">
      <c r="Y11" s="197"/>
      <c r="Z11" t="s">
        <v>415</v>
      </c>
      <c r="AC11" t="s">
        <v>420</v>
      </c>
    </row>
    <row r="12" spans="1:32" ht="17" thickBot="1" x14ac:dyDescent="0.25">
      <c r="A12" s="26" t="s">
        <v>92</v>
      </c>
      <c r="B12" s="26" t="s">
        <v>87</v>
      </c>
      <c r="C12" s="26" t="s">
        <v>80</v>
      </c>
      <c r="D12" s="26" t="s">
        <v>81</v>
      </c>
      <c r="E12" s="26" t="s">
        <v>93</v>
      </c>
      <c r="F12" s="26" t="s">
        <v>83</v>
      </c>
      <c r="G12" s="26" t="s">
        <v>94</v>
      </c>
      <c r="K12" s="195" t="s">
        <v>162</v>
      </c>
      <c r="Q12" s="408" t="s">
        <v>353</v>
      </c>
      <c r="R12" s="409"/>
      <c r="Y12" s="198"/>
      <c r="Z12" t="s">
        <v>419</v>
      </c>
      <c r="AC12" s="408" t="s">
        <v>467</v>
      </c>
      <c r="AD12" s="409"/>
      <c r="AE12" t="s">
        <v>256</v>
      </c>
    </row>
    <row r="13" spans="1:32" ht="16" thickBot="1" x14ac:dyDescent="0.25">
      <c r="A13" t="s">
        <v>96</v>
      </c>
      <c r="B13" s="27" t="s">
        <v>97</v>
      </c>
      <c r="C13" s="27" t="s">
        <v>98</v>
      </c>
      <c r="D13" s="27" t="s">
        <v>97</v>
      </c>
      <c r="E13" s="27" t="s">
        <v>99</v>
      </c>
      <c r="F13" s="27" t="s">
        <v>100</v>
      </c>
      <c r="G13" s="27" t="s">
        <v>97</v>
      </c>
      <c r="K13" s="199" t="s">
        <v>418</v>
      </c>
      <c r="L13" s="213" t="s">
        <v>360</v>
      </c>
      <c r="Y13" s="326" t="s">
        <v>468</v>
      </c>
      <c r="Z13" t="s">
        <v>469</v>
      </c>
    </row>
    <row r="14" spans="1:32" x14ac:dyDescent="0.2">
      <c r="B14" s="28" t="s">
        <v>103</v>
      </c>
      <c r="C14" s="28" t="s">
        <v>103</v>
      </c>
      <c r="D14" s="28" t="s">
        <v>103</v>
      </c>
      <c r="E14" s="28" t="s">
        <v>103</v>
      </c>
      <c r="F14" s="28" t="s">
        <v>103</v>
      </c>
      <c r="G14" s="28" t="s">
        <v>103</v>
      </c>
      <c r="K14" t="s">
        <v>416</v>
      </c>
      <c r="L14" t="s">
        <v>416</v>
      </c>
      <c r="P14" s="192" t="s">
        <v>358</v>
      </c>
      <c r="Q14" s="193"/>
      <c r="R14" s="51"/>
      <c r="S14" s="211">
        <v>717</v>
      </c>
      <c r="AA14" s="259" t="s">
        <v>256</v>
      </c>
      <c r="AB14" s="192" t="s">
        <v>358</v>
      </c>
      <c r="AC14" s="193"/>
      <c r="AD14" s="51"/>
      <c r="AE14" t="s">
        <v>67</v>
      </c>
    </row>
    <row r="15" spans="1:32" ht="16" thickBot="1" x14ac:dyDescent="0.25">
      <c r="K15" s="197"/>
      <c r="L15" t="s">
        <v>415</v>
      </c>
      <c r="P15" s="194" t="s">
        <v>357</v>
      </c>
      <c r="Q15" s="166"/>
      <c r="R15" s="43"/>
      <c r="S15" s="212">
        <v>700</v>
      </c>
      <c r="AA15" s="259" t="s">
        <v>258</v>
      </c>
      <c r="AB15" s="194" t="s">
        <v>357</v>
      </c>
      <c r="AC15" s="166"/>
      <c r="AD15" s="43"/>
      <c r="AE15" t="s">
        <v>67</v>
      </c>
    </row>
    <row r="16" spans="1:32" x14ac:dyDescent="0.2">
      <c r="A16" s="29" t="s">
        <v>106</v>
      </c>
      <c r="B16" s="30" t="s">
        <v>107</v>
      </c>
      <c r="C16" s="30" t="s">
        <v>108</v>
      </c>
      <c r="D16" s="30" t="s">
        <v>109</v>
      </c>
      <c r="E16" s="30"/>
      <c r="F16" s="30" t="s">
        <v>110</v>
      </c>
      <c r="G16" s="30" t="s">
        <v>111</v>
      </c>
      <c r="H16" s="31" t="s">
        <v>112</v>
      </c>
      <c r="K16" s="198"/>
      <c r="L16" t="s">
        <v>419</v>
      </c>
      <c r="O16" s="192" t="s">
        <v>356</v>
      </c>
      <c r="P16" s="193"/>
      <c r="Q16" s="50"/>
      <c r="R16" s="50"/>
      <c r="S16" s="51"/>
      <c r="T16" s="211">
        <v>667</v>
      </c>
      <c r="AA16" s="192" t="s">
        <v>356</v>
      </c>
      <c r="AB16" s="193"/>
      <c r="AC16" s="50"/>
      <c r="AD16" s="50"/>
      <c r="AE16" s="51"/>
      <c r="AF16" t="s">
        <v>63</v>
      </c>
    </row>
    <row r="17" spans="1:34" ht="16" thickBot="1" x14ac:dyDescent="0.25">
      <c r="A17" s="32"/>
      <c r="C17" t="s">
        <v>107</v>
      </c>
      <c r="D17" t="s">
        <v>107</v>
      </c>
      <c r="F17" t="s">
        <v>113</v>
      </c>
      <c r="G17" t="s">
        <v>110</v>
      </c>
      <c r="H17" s="33"/>
      <c r="P17" s="166"/>
      <c r="Q17" s="55"/>
      <c r="R17" s="55"/>
      <c r="S17" s="43"/>
      <c r="T17" s="212">
        <v>683</v>
      </c>
      <c r="AA17" s="259" t="s">
        <v>255</v>
      </c>
      <c r="AB17" s="313"/>
      <c r="AC17" s="121"/>
      <c r="AD17" s="121"/>
      <c r="AE17" s="44"/>
      <c r="AF17" t="s">
        <v>63</v>
      </c>
    </row>
    <row r="18" spans="1:34" x14ac:dyDescent="0.2">
      <c r="A18" s="34"/>
      <c r="B18" s="35" t="s">
        <v>114</v>
      </c>
      <c r="C18" s="35" t="s">
        <v>115</v>
      </c>
      <c r="D18" s="35" t="s">
        <v>116</v>
      </c>
      <c r="E18" s="35" t="s">
        <v>117</v>
      </c>
      <c r="F18" s="35" t="s">
        <v>118</v>
      </c>
      <c r="G18" s="35" t="s">
        <v>119</v>
      </c>
      <c r="H18" s="36"/>
      <c r="N18" s="192" t="s">
        <v>355</v>
      </c>
      <c r="O18" s="200">
        <v>45665</v>
      </c>
      <c r="P18" s="201">
        <v>45665</v>
      </c>
      <c r="Q18" s="225">
        <v>45718</v>
      </c>
      <c r="R18" s="201">
        <v>45721</v>
      </c>
      <c r="S18" s="201">
        <v>45721</v>
      </c>
      <c r="T18" s="258">
        <v>45771</v>
      </c>
      <c r="U18" s="211">
        <v>633</v>
      </c>
      <c r="Z18" s="192" t="s">
        <v>355</v>
      </c>
      <c r="AA18" s="331"/>
      <c r="AB18" s="332"/>
      <c r="AC18" s="333"/>
      <c r="AD18" s="260"/>
      <c r="AE18" s="260"/>
      <c r="AF18" s="261"/>
      <c r="AG18" t="s">
        <v>414</v>
      </c>
    </row>
    <row r="19" spans="1:34" ht="16" thickBot="1" x14ac:dyDescent="0.25">
      <c r="A19" s="37" t="s">
        <v>120</v>
      </c>
      <c r="B19" s="38" t="s">
        <v>121</v>
      </c>
      <c r="C19" s="38" t="s">
        <v>122</v>
      </c>
      <c r="D19" s="38" t="s">
        <v>121</v>
      </c>
      <c r="E19" s="38" t="s">
        <v>123</v>
      </c>
      <c r="F19" s="38" t="s">
        <v>123</v>
      </c>
      <c r="G19" s="39" t="s">
        <v>123</v>
      </c>
      <c r="O19" s="286">
        <v>45889</v>
      </c>
      <c r="P19" s="287">
        <v>45888</v>
      </c>
      <c r="Q19" s="286">
        <v>45888</v>
      </c>
      <c r="R19" s="286">
        <v>45888</v>
      </c>
      <c r="S19" s="288">
        <v>45885</v>
      </c>
      <c r="T19" s="44"/>
      <c r="U19" s="234">
        <v>650</v>
      </c>
      <c r="Z19" s="259" t="s">
        <v>260</v>
      </c>
      <c r="AA19" s="264">
        <v>46365</v>
      </c>
      <c r="AB19" s="235">
        <v>46043</v>
      </c>
      <c r="AC19" s="235">
        <v>46043</v>
      </c>
      <c r="AD19" s="334"/>
      <c r="AE19" s="334"/>
      <c r="AF19" s="335"/>
      <c r="AG19" t="s">
        <v>414</v>
      </c>
    </row>
    <row r="20" spans="1:34" x14ac:dyDescent="0.2">
      <c r="A20" s="37" t="s">
        <v>124</v>
      </c>
      <c r="B20" s="38" t="s">
        <v>123</v>
      </c>
      <c r="C20" s="38" t="s">
        <v>125</v>
      </c>
      <c r="D20" s="38" t="s">
        <v>122</v>
      </c>
      <c r="E20" s="38" t="s">
        <v>122</v>
      </c>
      <c r="F20" s="38" t="s">
        <v>122</v>
      </c>
      <c r="G20" s="39" t="s">
        <v>126</v>
      </c>
      <c r="M20" s="192" t="s">
        <v>354</v>
      </c>
      <c r="N20" s="289">
        <v>45885</v>
      </c>
      <c r="O20" s="290">
        <v>45885</v>
      </c>
      <c r="P20" s="291">
        <v>45885</v>
      </c>
      <c r="Q20" s="290">
        <v>45885</v>
      </c>
      <c r="R20" s="290">
        <v>45889</v>
      </c>
      <c r="S20" s="291">
        <v>45889</v>
      </c>
      <c r="T20" s="291">
        <v>45889</v>
      </c>
      <c r="U20" s="292">
        <v>45889</v>
      </c>
      <c r="V20" s="233">
        <v>600</v>
      </c>
      <c r="Y20" s="192" t="s">
        <v>354</v>
      </c>
      <c r="Z20" s="360">
        <v>46365</v>
      </c>
      <c r="AA20" s="204">
        <v>46365</v>
      </c>
      <c r="AB20" s="327">
        <v>46387</v>
      </c>
      <c r="AC20" s="327">
        <v>46387</v>
      </c>
      <c r="AD20" s="204">
        <v>46034</v>
      </c>
      <c r="AE20" s="204">
        <v>46034</v>
      </c>
      <c r="AF20" s="291"/>
      <c r="AG20" s="329"/>
      <c r="AH20" t="s">
        <v>413</v>
      </c>
    </row>
    <row r="21" spans="1:34" ht="16" thickBot="1" x14ac:dyDescent="0.25">
      <c r="A21" s="37" t="s">
        <v>127</v>
      </c>
      <c r="B21" s="38" t="s">
        <v>121</v>
      </c>
      <c r="C21" s="38" t="s">
        <v>122</v>
      </c>
      <c r="D21" s="38" t="s">
        <v>121</v>
      </c>
      <c r="E21" s="38" t="s">
        <v>123</v>
      </c>
      <c r="F21" s="38" t="s">
        <v>128</v>
      </c>
      <c r="G21" s="39" t="s">
        <v>123</v>
      </c>
      <c r="N21" s="206">
        <v>45700</v>
      </c>
      <c r="O21" s="210">
        <v>45714</v>
      </c>
      <c r="P21" s="209">
        <v>45714</v>
      </c>
      <c r="Q21" s="209">
        <v>45718</v>
      </c>
      <c r="R21" s="235">
        <v>45721</v>
      </c>
      <c r="S21" s="235">
        <v>45721</v>
      </c>
      <c r="T21" s="263">
        <v>45761</v>
      </c>
      <c r="U21" s="263">
        <v>45761</v>
      </c>
      <c r="V21" s="181">
        <v>617</v>
      </c>
      <c r="Z21" s="312">
        <v>46365</v>
      </c>
      <c r="AA21" s="209">
        <v>46365</v>
      </c>
      <c r="AB21" s="210">
        <v>46365</v>
      </c>
      <c r="AC21" s="210">
        <v>46036</v>
      </c>
      <c r="AD21" s="361">
        <v>46036</v>
      </c>
      <c r="AE21" s="235">
        <v>46034</v>
      </c>
      <c r="AF21" s="209"/>
      <c r="AG21" s="330"/>
    </row>
    <row r="22" spans="1:34" ht="16" thickBot="1" x14ac:dyDescent="0.25"/>
    <row r="23" spans="1:34" ht="16" thickBot="1" x14ac:dyDescent="0.25">
      <c r="K23" s="196" t="s">
        <v>237</v>
      </c>
      <c r="Y23" s="196" t="s">
        <v>237</v>
      </c>
      <c r="Z23" s="311">
        <v>45962</v>
      </c>
    </row>
    <row r="24" spans="1:34" ht="16" thickBot="1" x14ac:dyDescent="0.25"/>
    <row r="25" spans="1:34" x14ac:dyDescent="0.2">
      <c r="P25" s="192" t="s">
        <v>256</v>
      </c>
      <c r="Q25" s="193"/>
      <c r="R25" s="51"/>
      <c r="S25" t="s">
        <v>67</v>
      </c>
      <c r="AA25" s="259" t="s">
        <v>256</v>
      </c>
      <c r="AB25" s="192" t="s">
        <v>358</v>
      </c>
      <c r="AC25" s="193"/>
      <c r="AD25" s="51"/>
      <c r="AE25" t="s">
        <v>67</v>
      </c>
    </row>
    <row r="26" spans="1:34" ht="16" thickBot="1" x14ac:dyDescent="0.25">
      <c r="P26" s="194" t="s">
        <v>258</v>
      </c>
      <c r="Q26" s="166"/>
      <c r="R26" s="43"/>
      <c r="S26" t="s">
        <v>67</v>
      </c>
      <c r="AA26" s="259" t="s">
        <v>258</v>
      </c>
      <c r="AB26" s="194" t="s">
        <v>357</v>
      </c>
      <c r="AC26" s="166"/>
      <c r="AD26" s="43"/>
      <c r="AE26" t="s">
        <v>67</v>
      </c>
    </row>
    <row r="27" spans="1:34" x14ac:dyDescent="0.2">
      <c r="B27" t="s">
        <v>84</v>
      </c>
      <c r="O27" s="192" t="s">
        <v>356</v>
      </c>
      <c r="P27" s="193"/>
      <c r="Q27" s="50"/>
      <c r="R27" s="50"/>
      <c r="S27" s="51"/>
      <c r="T27" t="s">
        <v>63</v>
      </c>
      <c r="AA27" s="192" t="s">
        <v>356</v>
      </c>
      <c r="AB27" s="193"/>
      <c r="AC27" s="50"/>
      <c r="AD27" s="50"/>
      <c r="AE27" s="51"/>
      <c r="AF27" t="s">
        <v>63</v>
      </c>
    </row>
    <row r="28" spans="1:34" ht="16" thickBot="1" x14ac:dyDescent="0.25">
      <c r="P28" s="166"/>
      <c r="Q28" s="55"/>
      <c r="R28" s="251"/>
      <c r="S28" s="43"/>
      <c r="T28" t="s">
        <v>63</v>
      </c>
      <c r="AA28" s="259" t="s">
        <v>255</v>
      </c>
      <c r="AB28" s="313"/>
      <c r="AC28" s="121"/>
      <c r="AD28" s="121"/>
      <c r="AE28" s="44"/>
      <c r="AF28" t="s">
        <v>63</v>
      </c>
    </row>
    <row r="29" spans="1:34" x14ac:dyDescent="0.2">
      <c r="B29" t="s">
        <v>87</v>
      </c>
      <c r="D29" t="s">
        <v>88</v>
      </c>
      <c r="N29" s="192" t="s">
        <v>355</v>
      </c>
      <c r="O29" s="200">
        <v>45659</v>
      </c>
      <c r="P29" s="201">
        <v>45659</v>
      </c>
      <c r="Q29" s="201">
        <v>45659</v>
      </c>
      <c r="R29" s="201">
        <v>45728</v>
      </c>
      <c r="S29" s="201">
        <v>45748</v>
      </c>
      <c r="T29" s="201">
        <v>45748</v>
      </c>
      <c r="U29" t="s">
        <v>414</v>
      </c>
      <c r="Z29" s="192" t="s">
        <v>355</v>
      </c>
      <c r="AA29" s="331"/>
      <c r="AB29" s="332"/>
      <c r="AC29" s="333"/>
      <c r="AD29" s="260"/>
      <c r="AE29" s="260"/>
      <c r="AF29" s="261"/>
      <c r="AG29" t="s">
        <v>414</v>
      </c>
    </row>
    <row r="30" spans="1:34" ht="16" thickBot="1" x14ac:dyDescent="0.25">
      <c r="B30" t="s">
        <v>80</v>
      </c>
      <c r="D30" t="s">
        <v>90</v>
      </c>
      <c r="N30" s="191"/>
      <c r="O30" s="264">
        <v>45755</v>
      </c>
      <c r="P30" s="55"/>
      <c r="Q30" s="55"/>
      <c r="R30" s="55"/>
      <c r="S30" s="55"/>
      <c r="T30" s="43"/>
      <c r="U30" s="191" t="s">
        <v>414</v>
      </c>
      <c r="Z30" s="259" t="s">
        <v>260</v>
      </c>
      <c r="AA30" s="264"/>
      <c r="AB30" s="235"/>
      <c r="AC30" s="334"/>
      <c r="AD30" s="334"/>
      <c r="AE30" s="334"/>
      <c r="AF30" s="335"/>
      <c r="AG30" t="s">
        <v>414</v>
      </c>
    </row>
    <row r="31" spans="1:34" x14ac:dyDescent="0.2">
      <c r="B31" t="s">
        <v>81</v>
      </c>
      <c r="D31" t="s">
        <v>91</v>
      </c>
      <c r="M31" s="192" t="s">
        <v>354</v>
      </c>
      <c r="N31" s="202">
        <v>45659</v>
      </c>
      <c r="O31" s="203">
        <v>45659</v>
      </c>
      <c r="P31" s="203">
        <v>45688</v>
      </c>
      <c r="Q31" s="203">
        <v>45688</v>
      </c>
      <c r="R31" s="203">
        <v>45728</v>
      </c>
      <c r="S31" s="203">
        <v>45728</v>
      </c>
      <c r="T31" s="204">
        <v>45729</v>
      </c>
      <c r="U31" s="205">
        <v>45729</v>
      </c>
      <c r="V31" t="s">
        <v>417</v>
      </c>
      <c r="Y31" s="192" t="s">
        <v>354</v>
      </c>
      <c r="Z31" s="328"/>
      <c r="AA31" s="291"/>
      <c r="AB31" s="291"/>
      <c r="AC31" s="291"/>
      <c r="AD31" s="291"/>
      <c r="AE31" s="291"/>
      <c r="AF31" s="291"/>
      <c r="AG31" s="329"/>
      <c r="AH31" t="s">
        <v>413</v>
      </c>
    </row>
    <row r="32" spans="1:34" ht="16" thickBot="1" x14ac:dyDescent="0.25">
      <c r="B32" t="s">
        <v>93</v>
      </c>
      <c r="D32" t="s">
        <v>95</v>
      </c>
      <c r="N32" s="206">
        <v>45729</v>
      </c>
      <c r="O32" s="209">
        <v>45729</v>
      </c>
      <c r="P32" s="210">
        <v>45736</v>
      </c>
      <c r="Q32" s="210">
        <v>45736</v>
      </c>
      <c r="R32" s="209">
        <v>45755</v>
      </c>
      <c r="S32" s="139"/>
      <c r="T32" s="139"/>
      <c r="U32" s="140"/>
      <c r="V32" t="s">
        <v>417</v>
      </c>
      <c r="Z32" s="312"/>
      <c r="AA32" s="209"/>
      <c r="AB32" s="209"/>
      <c r="AC32" s="209"/>
      <c r="AD32" s="235"/>
      <c r="AE32" s="235"/>
      <c r="AF32" s="209"/>
      <c r="AG32" s="330"/>
    </row>
    <row r="33" spans="1:41" x14ac:dyDescent="0.2">
      <c r="B33" t="s">
        <v>101</v>
      </c>
      <c r="D33" t="s">
        <v>102</v>
      </c>
    </row>
    <row r="34" spans="1:41" x14ac:dyDescent="0.2">
      <c r="B34" t="s">
        <v>104</v>
      </c>
      <c r="D34" t="s">
        <v>105</v>
      </c>
      <c r="N34" s="28">
        <v>45659</v>
      </c>
      <c r="O34" t="s">
        <v>359</v>
      </c>
    </row>
    <row r="36" spans="1:41" ht="16" thickBot="1" x14ac:dyDescent="0.25"/>
    <row r="37" spans="1:41" ht="17" thickBot="1" x14ac:dyDescent="0.25">
      <c r="M37" s="257" t="s">
        <v>411</v>
      </c>
      <c r="Z37" s="257" t="s">
        <v>411</v>
      </c>
      <c r="AG37" s="398" t="s">
        <v>203</v>
      </c>
      <c r="AH37" s="399"/>
      <c r="AI37" s="399"/>
      <c r="AJ37" s="399"/>
      <c r="AK37" s="399"/>
      <c r="AL37" s="399"/>
      <c r="AM37" s="399"/>
      <c r="AN37" s="399"/>
      <c r="AO37" s="400"/>
    </row>
    <row r="38" spans="1:41" ht="16" thickBot="1" x14ac:dyDescent="0.25">
      <c r="A38" s="407" t="s">
        <v>401</v>
      </c>
      <c r="B38" s="407"/>
      <c r="C38" s="407"/>
      <c r="F38" s="407" t="s">
        <v>407</v>
      </c>
      <c r="G38" s="407"/>
      <c r="H38" s="407"/>
      <c r="I38" s="407"/>
      <c r="M38" t="s">
        <v>361</v>
      </c>
      <c r="N38" t="s">
        <v>364</v>
      </c>
      <c r="P38" t="s">
        <v>396</v>
      </c>
      <c r="Z38" t="s">
        <v>361</v>
      </c>
      <c r="AA38" t="s">
        <v>364</v>
      </c>
      <c r="AC38" t="s">
        <v>470</v>
      </c>
    </row>
    <row r="39" spans="1:41" ht="16" thickBot="1" x14ac:dyDescent="0.25">
      <c r="C39" t="s">
        <v>462</v>
      </c>
      <c r="H39" t="s">
        <v>462</v>
      </c>
      <c r="M39" s="220" t="s">
        <v>363</v>
      </c>
      <c r="N39" s="410" t="s">
        <v>362</v>
      </c>
      <c r="O39" s="411"/>
      <c r="P39" s="398" t="s">
        <v>449</v>
      </c>
      <c r="Q39" s="399"/>
      <c r="R39" s="400"/>
      <c r="W39" s="412" t="s">
        <v>412</v>
      </c>
      <c r="X39" s="413"/>
      <c r="Z39" s="220" t="s">
        <v>363</v>
      </c>
      <c r="AA39" s="220" t="s">
        <v>362</v>
      </c>
      <c r="AB39" s="325"/>
      <c r="AC39" s="175" t="s">
        <v>203</v>
      </c>
      <c r="AD39" s="176"/>
      <c r="AE39" s="177"/>
      <c r="AG39" s="407" t="s">
        <v>401</v>
      </c>
      <c r="AH39" s="407"/>
      <c r="AI39" s="407"/>
      <c r="AL39" s="407" t="s">
        <v>407</v>
      </c>
      <c r="AM39" s="407"/>
      <c r="AN39" s="407"/>
      <c r="AO39" s="407"/>
    </row>
    <row r="40" spans="1:41" ht="16" thickBot="1" x14ac:dyDescent="0.25">
      <c r="A40" s="69" t="s">
        <v>1</v>
      </c>
      <c r="B40" s="69" t="s">
        <v>161</v>
      </c>
      <c r="C40" s="69" t="s">
        <v>164</v>
      </c>
      <c r="D40" s="17" t="s">
        <v>422</v>
      </c>
      <c r="F40" s="69" t="s">
        <v>1</v>
      </c>
      <c r="G40" s="69" t="s">
        <v>161</v>
      </c>
      <c r="H40" s="69" t="s">
        <v>164</v>
      </c>
      <c r="I40" s="17" t="s">
        <v>422</v>
      </c>
      <c r="M40" s="221" t="s">
        <v>147</v>
      </c>
      <c r="N40" s="50">
        <v>733</v>
      </c>
      <c r="O40" s="207">
        <v>750</v>
      </c>
      <c r="P40" s="118"/>
      <c r="Q40" s="216"/>
      <c r="R40" s="217">
        <f>(P40*N40)+(Q40*O40)+0</f>
        <v>0</v>
      </c>
      <c r="W40" s="414"/>
      <c r="X40" s="415"/>
      <c r="Z40" s="221" t="s">
        <v>147</v>
      </c>
      <c r="AA40" s="50">
        <v>733</v>
      </c>
      <c r="AB40" s="207">
        <v>750</v>
      </c>
      <c r="AC40" s="118"/>
      <c r="AD40" s="216"/>
      <c r="AE40" s="217">
        <f>(AC40*AA40)+(AD40*AB40)+0</f>
        <v>0</v>
      </c>
      <c r="AI40" t="s">
        <v>472</v>
      </c>
      <c r="AN40" t="s">
        <v>495</v>
      </c>
    </row>
    <row r="41" spans="1:41" x14ac:dyDescent="0.2">
      <c r="A41" s="42" t="s">
        <v>155</v>
      </c>
      <c r="B41" s="306" t="s">
        <v>237</v>
      </c>
      <c r="C41" s="304"/>
      <c r="D41" s="307" t="s">
        <v>422</v>
      </c>
      <c r="F41" s="42" t="s">
        <v>155</v>
      </c>
      <c r="G41" s="306" t="s">
        <v>237</v>
      </c>
      <c r="H41" s="304"/>
      <c r="I41" s="15"/>
      <c r="M41" s="222" t="s">
        <v>146</v>
      </c>
      <c r="N41" s="42">
        <v>700</v>
      </c>
      <c r="O41" s="37">
        <v>717</v>
      </c>
      <c r="P41" s="90"/>
      <c r="Q41" s="214"/>
      <c r="R41" s="218">
        <f t="shared" ref="R41:R42" si="0">(P41*N41)+(Q41*O41)+0</f>
        <v>0</v>
      </c>
      <c r="W41" s="193">
        <v>1</v>
      </c>
      <c r="X41" s="51">
        <f>633+10</f>
        <v>643</v>
      </c>
      <c r="Z41" s="222" t="s">
        <v>146</v>
      </c>
      <c r="AA41" s="42">
        <v>700</v>
      </c>
      <c r="AB41" s="37">
        <v>717</v>
      </c>
      <c r="AC41" s="90"/>
      <c r="AD41" s="214"/>
      <c r="AE41" s="218">
        <f t="shared" ref="AE41:AE42" si="1">(AC41*AA41)+(AD41*AB41)+0</f>
        <v>0</v>
      </c>
      <c r="AG41" s="69" t="s">
        <v>1</v>
      </c>
      <c r="AH41" s="69" t="s">
        <v>161</v>
      </c>
      <c r="AI41" s="69" t="s">
        <v>164</v>
      </c>
      <c r="AJ41" s="17" t="s">
        <v>422</v>
      </c>
      <c r="AL41" s="69" t="s">
        <v>1</v>
      </c>
      <c r="AM41" s="69" t="s">
        <v>161</v>
      </c>
      <c r="AN41" s="69" t="s">
        <v>164</v>
      </c>
      <c r="AO41" s="17" t="s">
        <v>422</v>
      </c>
    </row>
    <row r="42" spans="1:41" x14ac:dyDescent="0.2">
      <c r="A42" s="42" t="s">
        <v>156</v>
      </c>
      <c r="B42" s="305" t="s">
        <v>460</v>
      </c>
      <c r="C42" s="306" t="s">
        <v>162</v>
      </c>
      <c r="D42" s="15"/>
      <c r="F42" s="42" t="s">
        <v>156</v>
      </c>
      <c r="G42" s="305" t="s">
        <v>460</v>
      </c>
      <c r="H42" s="306" t="s">
        <v>463</v>
      </c>
      <c r="I42" s="15"/>
      <c r="M42" s="222" t="s">
        <v>145</v>
      </c>
      <c r="N42" s="42">
        <v>667</v>
      </c>
      <c r="O42" s="37">
        <v>683</v>
      </c>
      <c r="P42" s="90"/>
      <c r="Q42" s="214"/>
      <c r="R42" s="218">
        <f t="shared" si="0"/>
        <v>0</v>
      </c>
      <c r="W42" s="165">
        <v>2</v>
      </c>
      <c r="X42" s="53">
        <v>643</v>
      </c>
      <c r="Z42" s="222" t="s">
        <v>145</v>
      </c>
      <c r="AA42" s="42">
        <v>667</v>
      </c>
      <c r="AB42" s="37">
        <v>683</v>
      </c>
      <c r="AC42" s="90"/>
      <c r="AD42" s="214"/>
      <c r="AE42" s="218">
        <f t="shared" si="1"/>
        <v>0</v>
      </c>
      <c r="AG42" s="42" t="s">
        <v>155</v>
      </c>
      <c r="AH42" s="306" t="s">
        <v>463</v>
      </c>
      <c r="AI42" s="15"/>
      <c r="AJ42" s="15"/>
      <c r="AL42" s="42" t="s">
        <v>155</v>
      </c>
      <c r="AM42" s="306" t="s">
        <v>237</v>
      </c>
      <c r="AN42" s="304"/>
      <c r="AO42" s="15"/>
    </row>
    <row r="43" spans="1:41" x14ac:dyDescent="0.2">
      <c r="A43" s="42" t="s">
        <v>157</v>
      </c>
      <c r="B43" s="305" t="s">
        <v>460</v>
      </c>
      <c r="C43" s="304"/>
      <c r="D43" s="15"/>
      <c r="F43" s="42" t="s">
        <v>157</v>
      </c>
      <c r="G43" s="305" t="s">
        <v>460</v>
      </c>
      <c r="H43" s="42"/>
      <c r="I43" s="303"/>
      <c r="M43" s="222" t="s">
        <v>144</v>
      </c>
      <c r="N43" s="42">
        <v>633</v>
      </c>
      <c r="O43" s="37">
        <v>650</v>
      </c>
      <c r="P43" s="90">
        <v>4</v>
      </c>
      <c r="Q43" s="214">
        <v>1</v>
      </c>
      <c r="R43" s="218">
        <f>(P43*N43)+(Q43*O43)+20</f>
        <v>3202</v>
      </c>
      <c r="W43" s="165">
        <v>3</v>
      </c>
      <c r="X43" s="53">
        <v>643</v>
      </c>
      <c r="Z43" s="222" t="s">
        <v>144</v>
      </c>
      <c r="AA43" s="42">
        <v>633</v>
      </c>
      <c r="AB43" s="37">
        <v>650</v>
      </c>
      <c r="AC43" s="90">
        <v>3</v>
      </c>
      <c r="AD43" s="214"/>
      <c r="AE43" s="218">
        <f>(AC43*AA43)+(AD43*AB43)+10</f>
        <v>1909</v>
      </c>
      <c r="AG43" s="42" t="s">
        <v>156</v>
      </c>
      <c r="AH43" s="305" t="s">
        <v>460</v>
      </c>
      <c r="AI43" s="15"/>
      <c r="AJ43" s="15"/>
      <c r="AL43" s="42" t="s">
        <v>156</v>
      </c>
      <c r="AO43" s="307" t="s">
        <v>422</v>
      </c>
    </row>
    <row r="44" spans="1:41" x14ac:dyDescent="0.2">
      <c r="A44" s="42" t="s">
        <v>158</v>
      </c>
      <c r="B44" s="307" t="s">
        <v>422</v>
      </c>
      <c r="C44" s="308" t="s">
        <v>461</v>
      </c>
      <c r="D44" s="15"/>
      <c r="F44" s="42" t="s">
        <v>158</v>
      </c>
      <c r="G44" s="307" t="s">
        <v>422</v>
      </c>
      <c r="H44" s="42"/>
      <c r="I44" s="15"/>
      <c r="M44" s="222" t="s">
        <v>143</v>
      </c>
      <c r="N44" s="42">
        <v>600</v>
      </c>
      <c r="O44" s="37">
        <v>617</v>
      </c>
      <c r="P44" s="90">
        <v>4</v>
      </c>
      <c r="Q44" s="214">
        <v>4</v>
      </c>
      <c r="R44" s="218">
        <f>(P44*N44)+(Q44*O44)+110</f>
        <v>4978</v>
      </c>
      <c r="W44" s="165">
        <v>4</v>
      </c>
      <c r="X44" s="53">
        <f t="shared" ref="X44:X48" si="2">617+10</f>
        <v>627</v>
      </c>
      <c r="Z44" s="222" t="s">
        <v>143</v>
      </c>
      <c r="AA44" s="42">
        <v>600</v>
      </c>
      <c r="AB44" s="37">
        <v>617</v>
      </c>
      <c r="AC44" s="90">
        <v>5</v>
      </c>
      <c r="AD44" s="214">
        <v>7</v>
      </c>
      <c r="AE44" s="218">
        <f>(AC44*AA44)+(AD44*AB44)+120</f>
        <v>7439</v>
      </c>
      <c r="AG44" s="42" t="s">
        <v>157</v>
      </c>
      <c r="AH44" s="306" t="s">
        <v>463</v>
      </c>
      <c r="AI44" s="15"/>
      <c r="AJ44" s="15"/>
      <c r="AL44" s="42" t="s">
        <v>157</v>
      </c>
      <c r="AM44" s="306" t="s">
        <v>463</v>
      </c>
      <c r="AN44" s="42"/>
      <c r="AO44" s="303"/>
    </row>
    <row r="45" spans="1:41" x14ac:dyDescent="0.2">
      <c r="A45" s="42" t="s">
        <v>159</v>
      </c>
      <c r="B45" s="305" t="s">
        <v>460</v>
      </c>
      <c r="C45" s="42"/>
      <c r="D45" s="15"/>
      <c r="F45" s="42" t="s">
        <v>159</v>
      </c>
      <c r="G45" s="306" t="s">
        <v>237</v>
      </c>
      <c r="H45" s="42"/>
      <c r="I45" s="15"/>
      <c r="M45" s="222" t="s">
        <v>150</v>
      </c>
      <c r="N45" s="42">
        <v>567</v>
      </c>
      <c r="O45" s="37">
        <v>583</v>
      </c>
      <c r="P45" s="90"/>
      <c r="Q45" s="214"/>
      <c r="R45" s="218">
        <f t="shared" ref="R45:R46" si="3">(P45*N45)+(Q45*O45)+0</f>
        <v>0</v>
      </c>
      <c r="W45" s="165">
        <v>5</v>
      </c>
      <c r="X45" s="53">
        <f t="shared" si="2"/>
        <v>627</v>
      </c>
      <c r="Z45" s="222" t="s">
        <v>150</v>
      </c>
      <c r="AA45" s="42">
        <v>567</v>
      </c>
      <c r="AB45" s="37">
        <v>583</v>
      </c>
      <c r="AC45" s="90"/>
      <c r="AD45" s="214"/>
      <c r="AE45" s="218">
        <f t="shared" ref="AE45:AE46" si="4">(AC45*AA45)+(AD45*AB45)+0</f>
        <v>0</v>
      </c>
      <c r="AG45" s="42" t="s">
        <v>158</v>
      </c>
      <c r="AH45" s="306" t="s">
        <v>237</v>
      </c>
      <c r="AI45" s="15"/>
      <c r="AJ45" s="15"/>
      <c r="AL45" s="42" t="s">
        <v>158</v>
      </c>
      <c r="AM45" s="305" t="s">
        <v>460</v>
      </c>
      <c r="AN45" s="42"/>
      <c r="AO45" s="15"/>
    </row>
    <row r="46" spans="1:41" ht="16" thickBot="1" x14ac:dyDescent="0.25">
      <c r="A46" s="42" t="s">
        <v>160</v>
      </c>
      <c r="B46" s="69"/>
      <c r="C46" s="42"/>
      <c r="D46" s="15"/>
      <c r="F46" s="42" t="s">
        <v>160</v>
      </c>
      <c r="G46" s="305" t="s">
        <v>460</v>
      </c>
      <c r="H46" s="42"/>
      <c r="I46" s="42"/>
      <c r="M46" s="223" t="s">
        <v>149</v>
      </c>
      <c r="N46" s="55">
        <v>500</v>
      </c>
      <c r="O46" s="208">
        <v>550</v>
      </c>
      <c r="P46" s="91"/>
      <c r="Q46" s="215"/>
      <c r="R46" s="219">
        <f t="shared" si="3"/>
        <v>0</v>
      </c>
      <c r="W46" s="165">
        <v>6</v>
      </c>
      <c r="X46" s="53">
        <f t="shared" si="2"/>
        <v>627</v>
      </c>
      <c r="Z46" s="223" t="s">
        <v>149</v>
      </c>
      <c r="AA46" s="55">
        <v>500</v>
      </c>
      <c r="AB46" s="208">
        <v>550</v>
      </c>
      <c r="AC46" s="91"/>
      <c r="AD46" s="215"/>
      <c r="AE46" s="219">
        <f t="shared" si="4"/>
        <v>0</v>
      </c>
      <c r="AG46" s="42" t="s">
        <v>159</v>
      </c>
      <c r="AH46" s="305" t="s">
        <v>460</v>
      </c>
      <c r="AI46" s="15"/>
      <c r="AJ46" s="15"/>
      <c r="AL46" s="42" t="s">
        <v>159</v>
      </c>
      <c r="AM46" s="305" t="s">
        <v>460</v>
      </c>
      <c r="AN46" s="42"/>
      <c r="AO46" s="15"/>
    </row>
    <row r="47" spans="1:41" ht="16" thickBot="1" x14ac:dyDescent="0.25">
      <c r="A47" s="42" t="s">
        <v>154</v>
      </c>
      <c r="B47" s="307" t="s">
        <v>422</v>
      </c>
      <c r="C47" s="306" t="s">
        <v>237</v>
      </c>
      <c r="D47" s="15"/>
      <c r="F47" s="42" t="s">
        <v>154</v>
      </c>
      <c r="G47" s="305" t="s">
        <v>460</v>
      </c>
      <c r="H47" s="42"/>
      <c r="I47" s="15"/>
      <c r="Q47" s="101" t="s">
        <v>151</v>
      </c>
      <c r="R47" s="100">
        <f>AVERAGE(R40:R46)</f>
        <v>1168.5714285714287</v>
      </c>
      <c r="W47" s="165">
        <v>7</v>
      </c>
      <c r="X47" s="53">
        <f t="shared" si="2"/>
        <v>627</v>
      </c>
      <c r="AB47" s="259" t="s">
        <v>471</v>
      </c>
      <c r="AC47">
        <f>SUM(AC40:AC46)+SUM(AD40:AD46)</f>
        <v>15</v>
      </c>
      <c r="AD47" s="101" t="s">
        <v>151</v>
      </c>
      <c r="AE47" s="336">
        <f>SUM(AE40:AE46)/AC47</f>
        <v>623.20000000000005</v>
      </c>
      <c r="AG47" s="42" t="s">
        <v>160</v>
      </c>
      <c r="AH47" s="69"/>
      <c r="AI47" s="15"/>
      <c r="AJ47" s="15"/>
      <c r="AL47" s="42" t="s">
        <v>160</v>
      </c>
      <c r="AN47" s="42"/>
      <c r="AO47" s="42"/>
    </row>
    <row r="48" spans="1:41" x14ac:dyDescent="0.2">
      <c r="W48" s="165">
        <v>8</v>
      </c>
      <c r="X48" s="53">
        <f t="shared" si="2"/>
        <v>627</v>
      </c>
      <c r="AG48" s="42" t="s">
        <v>154</v>
      </c>
      <c r="AH48" s="305" t="s">
        <v>460</v>
      </c>
      <c r="AI48" s="306" t="s">
        <v>237</v>
      </c>
      <c r="AJ48" s="15"/>
      <c r="AL48" s="42" t="s">
        <v>154</v>
      </c>
      <c r="AM48" s="305" t="s">
        <v>460</v>
      </c>
      <c r="AN48" s="306" t="s">
        <v>237</v>
      </c>
      <c r="AO48" s="15"/>
    </row>
    <row r="49" spans="1:39" x14ac:dyDescent="0.2">
      <c r="A49" t="s">
        <v>402</v>
      </c>
      <c r="B49" t="s">
        <v>406</v>
      </c>
      <c r="F49" t="s">
        <v>402</v>
      </c>
      <c r="G49" t="s">
        <v>63</v>
      </c>
      <c r="W49" s="165">
        <v>9</v>
      </c>
      <c r="X49" s="53">
        <v>627</v>
      </c>
    </row>
    <row r="50" spans="1:39" ht="16" thickBot="1" x14ac:dyDescent="0.25">
      <c r="A50" t="s">
        <v>403</v>
      </c>
      <c r="B50" t="s">
        <v>63</v>
      </c>
      <c r="F50" t="s">
        <v>403</v>
      </c>
      <c r="G50" t="s">
        <v>406</v>
      </c>
      <c r="W50" s="166">
        <v>10</v>
      </c>
      <c r="X50" s="43">
        <v>627</v>
      </c>
      <c r="AG50" t="s">
        <v>402</v>
      </c>
      <c r="AH50" t="s">
        <v>406</v>
      </c>
      <c r="AL50" t="s">
        <v>402</v>
      </c>
      <c r="AM50" t="s">
        <v>63</v>
      </c>
    </row>
    <row r="51" spans="1:39" ht="16" thickBot="1" x14ac:dyDescent="0.25">
      <c r="A51" t="s">
        <v>404</v>
      </c>
      <c r="B51" t="s">
        <v>67</v>
      </c>
      <c r="F51" t="s">
        <v>404</v>
      </c>
      <c r="G51" t="s">
        <v>63</v>
      </c>
      <c r="W51" s="236" t="s">
        <v>148</v>
      </c>
      <c r="X51" s="237">
        <f>AVERAGE(X41:X50)</f>
        <v>631.79999999999995</v>
      </c>
      <c r="Y51" s="224" t="str">
        <f>Z44</f>
        <v>6a-6a+</v>
      </c>
      <c r="Z51" s="323" t="s">
        <v>203</v>
      </c>
      <c r="AA51" s="324"/>
      <c r="AG51" t="s">
        <v>403</v>
      </c>
      <c r="AH51" t="s">
        <v>63</v>
      </c>
      <c r="AL51" t="s">
        <v>403</v>
      </c>
      <c r="AM51" t="s">
        <v>406</v>
      </c>
    </row>
    <row r="52" spans="1:39" ht="16" thickBot="1" x14ac:dyDescent="0.25">
      <c r="A52" t="s">
        <v>405</v>
      </c>
      <c r="B52" t="s">
        <v>406</v>
      </c>
      <c r="F52" t="s">
        <v>405</v>
      </c>
      <c r="G52" t="s">
        <v>406</v>
      </c>
      <c r="W52" s="236" t="s">
        <v>148</v>
      </c>
      <c r="X52" s="237"/>
      <c r="Y52" s="224"/>
      <c r="Z52" s="323" t="s">
        <v>220</v>
      </c>
      <c r="AA52" s="324"/>
      <c r="AG52" t="s">
        <v>404</v>
      </c>
      <c r="AH52" t="s">
        <v>67</v>
      </c>
      <c r="AL52" t="s">
        <v>404</v>
      </c>
      <c r="AM52" t="s">
        <v>63</v>
      </c>
    </row>
    <row r="53" spans="1:39" x14ac:dyDescent="0.2">
      <c r="AG53" t="s">
        <v>405</v>
      </c>
      <c r="AH53" t="s">
        <v>406</v>
      </c>
      <c r="AL53" t="s">
        <v>405</v>
      </c>
      <c r="AM53" t="s">
        <v>406</v>
      </c>
    </row>
    <row r="55" spans="1:39" x14ac:dyDescent="0.2">
      <c r="AG55" s="308" t="s">
        <v>461</v>
      </c>
    </row>
  </sheetData>
  <mergeCells count="10">
    <mergeCell ref="AG39:AI39"/>
    <mergeCell ref="AL39:AO39"/>
    <mergeCell ref="AG37:AO37"/>
    <mergeCell ref="A38:C38"/>
    <mergeCell ref="AC12:AD12"/>
    <mergeCell ref="Q12:R12"/>
    <mergeCell ref="N39:O39"/>
    <mergeCell ref="P39:R39"/>
    <mergeCell ref="W39:X40"/>
    <mergeCell ref="F38:I38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966A2-A6B4-4768-AAEB-9F779B4B4C97}">
  <dimension ref="A2:J38"/>
  <sheetViews>
    <sheetView topLeftCell="A3" zoomScale="113" workbookViewId="0">
      <selection activeCell="M17" sqref="M17"/>
    </sheetView>
  </sheetViews>
  <sheetFormatPr baseColWidth="10" defaultColWidth="8.83203125" defaultRowHeight="15" x14ac:dyDescent="0.2"/>
  <cols>
    <col min="1" max="1" width="34.83203125" bestFit="1" customWidth="1"/>
    <col min="2" max="2" width="52.1640625" bestFit="1" customWidth="1"/>
    <col min="3" max="3" width="6.6640625" style="2" bestFit="1" customWidth="1"/>
    <col min="4" max="6" width="8.6640625" style="2"/>
    <col min="7" max="7" width="10.6640625" style="2" bestFit="1" customWidth="1"/>
    <col min="8" max="10" width="8.6640625" style="2"/>
  </cols>
  <sheetData>
    <row r="2" spans="1:10" ht="16" x14ac:dyDescent="0.2">
      <c r="A2" s="167">
        <v>45717</v>
      </c>
    </row>
    <row r="4" spans="1:10" x14ac:dyDescent="0.2">
      <c r="A4" s="18" t="s">
        <v>152</v>
      </c>
      <c r="D4" s="57" t="s">
        <v>153</v>
      </c>
      <c r="E4" s="58"/>
      <c r="F4" s="59"/>
      <c r="G4" s="87" t="s">
        <v>197</v>
      </c>
    </row>
    <row r="6" spans="1:10" ht="16" thickBot="1" x14ac:dyDescent="0.25">
      <c r="D6" s="60" t="s">
        <v>154</v>
      </c>
      <c r="E6" s="60" t="s">
        <v>155</v>
      </c>
      <c r="F6" s="60" t="s">
        <v>156</v>
      </c>
      <c r="G6" s="60" t="s">
        <v>157</v>
      </c>
      <c r="H6" s="60" t="s">
        <v>158</v>
      </c>
      <c r="I6" s="60" t="s">
        <v>159</v>
      </c>
      <c r="J6" s="60" t="s">
        <v>160</v>
      </c>
    </row>
    <row r="7" spans="1:10" ht="16" thickBot="1" x14ac:dyDescent="0.25">
      <c r="C7" s="61" t="s">
        <v>161</v>
      </c>
      <c r="D7" s="62"/>
      <c r="E7" s="64" t="s">
        <v>343</v>
      </c>
      <c r="F7" s="62"/>
      <c r="G7" s="64" t="s">
        <v>162</v>
      </c>
      <c r="H7" s="62"/>
      <c r="I7" s="64" t="s">
        <v>343</v>
      </c>
      <c r="J7" s="63" t="s">
        <v>163</v>
      </c>
    </row>
    <row r="8" spans="1:10" ht="16" thickBot="1" x14ac:dyDescent="0.25">
      <c r="B8" s="41"/>
      <c r="C8" s="65" t="s">
        <v>164</v>
      </c>
      <c r="D8" s="66"/>
      <c r="E8" s="63" t="s">
        <v>163</v>
      </c>
      <c r="F8" s="67"/>
      <c r="G8" s="63" t="s">
        <v>163</v>
      </c>
      <c r="H8" s="67"/>
      <c r="I8" s="68"/>
      <c r="J8" s="68"/>
    </row>
    <row r="9" spans="1:10" x14ac:dyDescent="0.2">
      <c r="A9" s="69" t="s">
        <v>165</v>
      </c>
      <c r="C9" s="70" t="s">
        <v>17</v>
      </c>
      <c r="D9" s="71"/>
      <c r="E9" s="71"/>
      <c r="F9" s="71"/>
      <c r="G9" s="71"/>
      <c r="H9" s="71"/>
      <c r="I9" s="71"/>
      <c r="J9" s="71"/>
    </row>
    <row r="10" spans="1:10" x14ac:dyDescent="0.2">
      <c r="A10" s="73" t="s">
        <v>166</v>
      </c>
      <c r="B10" s="73" t="s">
        <v>167</v>
      </c>
      <c r="C10" s="15"/>
      <c r="D10" s="74">
        <v>1</v>
      </c>
      <c r="E10" s="15"/>
      <c r="F10" s="74">
        <v>1</v>
      </c>
      <c r="G10" s="15"/>
      <c r="H10" s="74">
        <v>1</v>
      </c>
      <c r="I10" s="15"/>
      <c r="J10" s="15"/>
    </row>
    <row r="11" spans="1:10" x14ac:dyDescent="0.2">
      <c r="A11" s="1" t="s">
        <v>168</v>
      </c>
      <c r="B11" s="1" t="s">
        <v>169</v>
      </c>
      <c r="C11" s="15">
        <v>14</v>
      </c>
      <c r="D11" s="72"/>
      <c r="E11" s="75">
        <v>1</v>
      </c>
      <c r="F11" s="72"/>
      <c r="G11" s="15"/>
      <c r="H11" s="72"/>
      <c r="I11" s="15"/>
      <c r="J11" s="15"/>
    </row>
    <row r="12" spans="1:10" x14ac:dyDescent="0.2">
      <c r="A12" s="1" t="s">
        <v>170</v>
      </c>
      <c r="B12" s="1" t="s">
        <v>171</v>
      </c>
      <c r="C12" s="15">
        <v>14</v>
      </c>
      <c r="D12" s="72"/>
      <c r="E12" s="75">
        <v>2</v>
      </c>
      <c r="F12" s="72"/>
      <c r="G12" s="15"/>
      <c r="H12" s="72"/>
      <c r="I12" s="15"/>
      <c r="J12" s="15"/>
    </row>
    <row r="13" spans="1:10" x14ac:dyDescent="0.2">
      <c r="A13" s="76" t="s">
        <v>172</v>
      </c>
      <c r="B13" s="76" t="s">
        <v>173</v>
      </c>
      <c r="C13" s="15">
        <v>-5</v>
      </c>
      <c r="D13" s="72"/>
      <c r="E13" s="77"/>
      <c r="F13" s="72"/>
      <c r="G13" s="78">
        <v>2</v>
      </c>
      <c r="H13" s="72"/>
      <c r="I13" s="15"/>
      <c r="J13" s="15"/>
    </row>
    <row r="14" spans="1:10" x14ac:dyDescent="0.2">
      <c r="A14" s="76" t="s">
        <v>174</v>
      </c>
      <c r="B14" s="76" t="s">
        <v>173</v>
      </c>
      <c r="C14" s="15">
        <v>3</v>
      </c>
      <c r="D14" s="72"/>
      <c r="E14" s="15"/>
      <c r="F14" s="72"/>
      <c r="G14" s="78">
        <v>3</v>
      </c>
      <c r="H14" s="72"/>
      <c r="I14" s="15"/>
      <c r="J14" s="15"/>
    </row>
    <row r="15" spans="1:10" x14ac:dyDescent="0.2">
      <c r="A15" s="76" t="s">
        <v>175</v>
      </c>
      <c r="B15" s="76" t="s">
        <v>173</v>
      </c>
      <c r="C15" s="15">
        <v>2</v>
      </c>
      <c r="D15" s="72"/>
      <c r="E15" s="15"/>
      <c r="F15" s="72"/>
      <c r="G15" s="78">
        <v>4</v>
      </c>
      <c r="H15" s="72"/>
      <c r="I15" s="15"/>
      <c r="J15" s="15"/>
    </row>
    <row r="16" spans="1:10" x14ac:dyDescent="0.2">
      <c r="A16" s="76" t="s">
        <v>176</v>
      </c>
      <c r="B16" s="76" t="s">
        <v>173</v>
      </c>
      <c r="C16" s="15" t="s">
        <v>177</v>
      </c>
      <c r="D16" s="72"/>
      <c r="E16" s="15"/>
      <c r="F16" s="72"/>
      <c r="G16" s="78">
        <v>5</v>
      </c>
      <c r="H16" s="72"/>
      <c r="I16" s="15"/>
      <c r="J16" s="15"/>
    </row>
    <row r="17" spans="1:10" x14ac:dyDescent="0.2">
      <c r="A17" s="76" t="s">
        <v>178</v>
      </c>
      <c r="B17" s="76" t="s">
        <v>173</v>
      </c>
      <c r="C17" s="15" t="s">
        <v>179</v>
      </c>
      <c r="D17" s="72"/>
      <c r="E17" s="15"/>
      <c r="F17" s="72"/>
      <c r="G17" s="15"/>
      <c r="H17" s="72"/>
      <c r="I17" s="78">
        <v>2</v>
      </c>
      <c r="J17" s="15"/>
    </row>
    <row r="18" spans="1:10" x14ac:dyDescent="0.2">
      <c r="A18" s="76" t="s">
        <v>180</v>
      </c>
      <c r="B18" s="76" t="s">
        <v>173</v>
      </c>
      <c r="C18" s="15">
        <v>9</v>
      </c>
      <c r="D18" s="72"/>
      <c r="E18" s="15"/>
      <c r="F18" s="72"/>
      <c r="G18" s="15"/>
      <c r="H18" s="72"/>
      <c r="I18" s="78">
        <v>3</v>
      </c>
      <c r="J18" s="15"/>
    </row>
    <row r="19" spans="1:10" x14ac:dyDescent="0.2">
      <c r="A19" s="76" t="s">
        <v>181</v>
      </c>
      <c r="B19" s="76" t="s">
        <v>173</v>
      </c>
      <c r="C19" s="15" t="s">
        <v>182</v>
      </c>
      <c r="D19" s="72"/>
      <c r="E19" s="15"/>
      <c r="F19" s="72"/>
      <c r="G19" s="15"/>
      <c r="H19" s="72"/>
      <c r="I19" s="78">
        <v>4</v>
      </c>
      <c r="J19" s="15"/>
    </row>
    <row r="21" spans="1:10" x14ac:dyDescent="0.2">
      <c r="A21" s="69" t="s">
        <v>183</v>
      </c>
    </row>
    <row r="22" spans="1:10" x14ac:dyDescent="0.2">
      <c r="A22" s="79" t="s">
        <v>184</v>
      </c>
      <c r="B22" s="79" t="s">
        <v>185</v>
      </c>
      <c r="C22" s="15">
        <v>-20</v>
      </c>
      <c r="D22" s="72"/>
      <c r="E22" s="80">
        <v>3</v>
      </c>
      <c r="F22" s="72"/>
      <c r="G22" s="15"/>
      <c r="H22" s="72"/>
      <c r="I22" s="15"/>
      <c r="J22" s="15"/>
    </row>
    <row r="23" spans="1:10" x14ac:dyDescent="0.2">
      <c r="A23" s="79" t="s">
        <v>186</v>
      </c>
      <c r="B23" s="79" t="s">
        <v>187</v>
      </c>
      <c r="C23" s="15">
        <v>25</v>
      </c>
      <c r="D23" s="72"/>
      <c r="E23" s="15"/>
      <c r="F23" s="72"/>
      <c r="G23" s="15"/>
      <c r="H23" s="72"/>
      <c r="I23" s="15"/>
      <c r="J23" s="15"/>
    </row>
    <row r="24" spans="1:10" x14ac:dyDescent="0.2">
      <c r="A24" s="79" t="s">
        <v>188</v>
      </c>
      <c r="B24" s="79" t="s">
        <v>189</v>
      </c>
      <c r="C24" s="15"/>
      <c r="D24" s="72"/>
      <c r="E24" s="15"/>
      <c r="F24" s="72"/>
      <c r="G24" s="15"/>
      <c r="H24" s="72"/>
      <c r="I24" s="15"/>
      <c r="J24" s="15"/>
    </row>
    <row r="26" spans="1:10" x14ac:dyDescent="0.2">
      <c r="A26" s="69" t="s">
        <v>190</v>
      </c>
    </row>
    <row r="27" spans="1:10" x14ac:dyDescent="0.2">
      <c r="A27" s="81" t="s">
        <v>191</v>
      </c>
      <c r="B27" s="81" t="s">
        <v>192</v>
      </c>
      <c r="C27" s="15"/>
      <c r="D27" s="72"/>
      <c r="E27" s="82">
        <v>4</v>
      </c>
      <c r="F27" s="72"/>
      <c r="G27" s="15"/>
      <c r="H27" s="72"/>
      <c r="I27" s="15"/>
      <c r="J27" s="15"/>
    </row>
    <row r="28" spans="1:10" x14ac:dyDescent="0.2">
      <c r="A28" s="83" t="s">
        <v>193</v>
      </c>
      <c r="B28" s="83" t="s">
        <v>194</v>
      </c>
      <c r="C28" s="15"/>
      <c r="D28" s="72"/>
      <c r="E28" s="15"/>
      <c r="F28" s="72"/>
      <c r="G28" s="84">
        <v>2</v>
      </c>
      <c r="H28" s="72"/>
      <c r="I28" s="84">
        <v>2</v>
      </c>
      <c r="J28" s="15"/>
    </row>
    <row r="29" spans="1:10" x14ac:dyDescent="0.2">
      <c r="A29" s="85" t="s">
        <v>195</v>
      </c>
      <c r="B29" s="85" t="s">
        <v>196</v>
      </c>
      <c r="C29" s="15"/>
      <c r="D29" s="72"/>
      <c r="E29" s="15"/>
      <c r="F29" s="72"/>
      <c r="G29" s="15"/>
      <c r="H29" s="72"/>
      <c r="I29" s="86">
        <v>5</v>
      </c>
      <c r="J29" s="15"/>
    </row>
    <row r="30" spans="1:10" x14ac:dyDescent="0.2">
      <c r="C30" s="17" t="s">
        <v>17</v>
      </c>
      <c r="D30" s="17" t="s">
        <v>154</v>
      </c>
      <c r="E30" s="17" t="s">
        <v>155</v>
      </c>
      <c r="F30" s="17" t="s">
        <v>156</v>
      </c>
      <c r="G30" s="17" t="s">
        <v>157</v>
      </c>
      <c r="H30" s="17" t="s">
        <v>158</v>
      </c>
      <c r="I30" s="17" t="s">
        <v>159</v>
      </c>
      <c r="J30" s="17" t="s">
        <v>160</v>
      </c>
    </row>
    <row r="33" spans="2:6" ht="16" thickBot="1" x14ac:dyDescent="0.25"/>
    <row r="34" spans="2:6" s="2" customFormat="1" x14ac:dyDescent="0.2">
      <c r="B34" s="168" t="s">
        <v>73</v>
      </c>
      <c r="C34" s="116">
        <v>49</v>
      </c>
      <c r="D34" s="116">
        <v>50</v>
      </c>
      <c r="E34" s="116">
        <v>51</v>
      </c>
      <c r="F34" s="117">
        <v>52</v>
      </c>
    </row>
    <row r="35" spans="2:6" s="2" customFormat="1" x14ac:dyDescent="0.2">
      <c r="B35" s="169" t="s">
        <v>74</v>
      </c>
      <c r="C35" s="170">
        <v>45564</v>
      </c>
      <c r="D35" s="170">
        <v>45565</v>
      </c>
      <c r="E35" s="170">
        <v>45572</v>
      </c>
      <c r="F35" s="171">
        <v>45579</v>
      </c>
    </row>
    <row r="36" spans="2:6" s="2" customFormat="1" ht="16" thickBot="1" x14ac:dyDescent="0.25">
      <c r="B36" s="172" t="s">
        <v>21</v>
      </c>
      <c r="C36" s="173">
        <v>0.65</v>
      </c>
      <c r="D36" s="173">
        <v>0.8</v>
      </c>
      <c r="E36" s="173">
        <v>0.95</v>
      </c>
      <c r="F36" s="174">
        <v>0.65</v>
      </c>
    </row>
    <row r="37" spans="2:6" s="2" customFormat="1" x14ac:dyDescent="0.2"/>
    <row r="38" spans="2:6" s="2" customFormat="1" x14ac:dyDescent="0.2"/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FH_25 Rehab</vt:lpstr>
      <vt:lpstr>Gym&amp;Cimb 2026</vt:lpstr>
      <vt:lpstr>Climbing assessement</vt:lpstr>
      <vt:lpstr>My Climb Jan26</vt:lpstr>
      <vt:lpstr>Climbing_Pyramid26</vt:lpstr>
      <vt:lpstr>MyCimbMicroCy26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Josina Bernardes</dc:creator>
  <cp:lastModifiedBy>sportsmanagementjb@gmail.com</cp:lastModifiedBy>
  <dcterms:created xsi:type="dcterms:W3CDTF">2015-06-05T18:19:34Z</dcterms:created>
  <dcterms:modified xsi:type="dcterms:W3CDTF">2026-03-17T18:45:12Z</dcterms:modified>
</cp:coreProperties>
</file>